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Balance data\"/>
    </mc:Choice>
  </mc:AlternateContent>
  <xr:revisionPtr revIDLastSave="0" documentId="13_ncr:1_{4FB9E74D-CC33-470B-B7C6-401A254A6C8A}" xr6:coauthVersionLast="47" xr6:coauthVersionMax="47" xr10:uidLastSave="{00000000-0000-0000-0000-000000000000}"/>
  <bookViews>
    <workbookView xWindow="-108" yWindow="-108" windowWidth="23256" windowHeight="14016" xr2:uid="{79B5F999-455D-4D7F-9DB3-D28FD17C10D2}"/>
  </bookViews>
  <sheets>
    <sheet name="Sheet1" sheetId="1" r:id="rId1"/>
    <sheet name="Setups" sheetId="6" r:id="rId2"/>
    <sheet name="Data In" sheetId="5" r:id="rId3"/>
    <sheet name="Data Out" sheetId="4" r:id="rId4"/>
    <sheet name="Settings" sheetId="3" r:id="rId5"/>
    <sheet name="Manifest" sheetId="2" r:id="rId6"/>
  </sheets>
  <definedNames>
    <definedName name="avertime">'Data In'!$A$8:$A$22</definedName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  <definedName name="_xlnm.Print_Area" localSheetId="1">Setups!$C$45:$C$63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 a="1"/>
  <c r="A11" i="1" s="1"/>
  <c r="I6" i="1" a="1"/>
  <c r="I6" i="1" s="1"/>
  <c r="N3" i="1"/>
  <c r="O5" i="1"/>
  <c r="EP78" i="6"/>
  <c r="EO78" i="6"/>
  <c r="EQ78" i="6" s="1"/>
  <c r="EW78" i="6" s="1"/>
  <c r="EM78" i="6"/>
  <c r="EU78" i="6" s="1"/>
  <c r="EK78" i="6"/>
  <c r="EJ78" i="6"/>
  <c r="EL78" i="6" s="1"/>
  <c r="ER78" i="6" s="1"/>
  <c r="Y78" i="6"/>
  <c r="D78" i="6"/>
  <c r="A78" i="6"/>
  <c r="DC78" i="6" s="1"/>
  <c r="EM65" i="6"/>
  <c r="EL65" i="6"/>
  <c r="EN65" i="6" s="1"/>
  <c r="EQ65" i="6" s="1"/>
  <c r="EK65" i="6"/>
  <c r="ER65" i="6" s="1"/>
  <c r="EI65" i="6"/>
  <c r="EH65" i="6"/>
  <c r="EJ65" i="6" s="1"/>
  <c r="EO65" i="6" s="1"/>
  <c r="Y65" i="6"/>
  <c r="D65" i="6"/>
  <c r="A65" i="6"/>
  <c r="C65" i="6" s="1"/>
  <c r="EM64" i="6"/>
  <c r="EL64" i="6"/>
  <c r="EN64" i="6" s="1"/>
  <c r="EQ64" i="6" s="1"/>
  <c r="EK64" i="6"/>
  <c r="ER64" i="6" s="1"/>
  <c r="EI64" i="6"/>
  <c r="EH64" i="6"/>
  <c r="EJ64" i="6" s="1"/>
  <c r="EO64" i="6" s="1"/>
  <c r="DC64" i="6"/>
  <c r="Y64" i="6"/>
  <c r="D64" i="6"/>
  <c r="C64" i="6"/>
  <c r="A64" i="6"/>
  <c r="ER80" i="6"/>
  <c r="EQ80" i="6"/>
  <c r="EW80" i="6" s="1"/>
  <c r="EP80" i="6"/>
  <c r="EO80" i="6"/>
  <c r="EN80" i="6"/>
  <c r="EV80" i="6" s="1"/>
  <c r="EM80" i="6"/>
  <c r="EU80" i="6" s="1"/>
  <c r="EL80" i="6"/>
  <c r="EK80" i="6"/>
  <c r="EJ80" i="6"/>
  <c r="Y80" i="6"/>
  <c r="D80" i="6"/>
  <c r="AC11" i="1"/>
  <c r="EC27" i="6"/>
  <c r="ED27" i="6"/>
  <c r="EE27" i="6"/>
  <c r="EF27" i="6"/>
  <c r="EE26" i="6"/>
  <c r="EF26" i="6"/>
  <c r="ED26" i="6"/>
  <c r="EC26" i="6"/>
  <c r="EN78" i="6" l="1"/>
  <c r="EV78" i="6" s="1"/>
  <c r="C78" i="6"/>
  <c r="DC65" i="6"/>
  <c r="FG27" i="6"/>
  <c r="EX27" i="6"/>
  <c r="EY27" i="6"/>
  <c r="EZ27" i="6"/>
  <c r="FA27" i="6"/>
  <c r="FB27" i="6"/>
  <c r="FC27" i="6"/>
  <c r="FD27" i="6"/>
  <c r="FE27" i="6"/>
  <c r="FF27" i="6"/>
  <c r="EW27" i="6"/>
  <c r="FG26" i="6"/>
  <c r="FF26" i="6"/>
  <c r="EX26" i="6"/>
  <c r="EY26" i="6"/>
  <c r="EZ26" i="6"/>
  <c r="FA26" i="6"/>
  <c r="FB26" i="6"/>
  <c r="FC26" i="6"/>
  <c r="FD26" i="6"/>
  <c r="FE26" i="6"/>
  <c r="EW26" i="6"/>
  <c r="EZ85" i="6" l="1"/>
  <c r="EY85" i="6"/>
  <c r="EW85" i="6"/>
  <c r="EV85" i="6"/>
  <c r="EN85" i="6"/>
  <c r="EO85" i="6" s="1"/>
  <c r="EJ85" i="6"/>
  <c r="EK85" i="6" s="1"/>
  <c r="EL85" i="6" s="1"/>
  <c r="EI85" i="6"/>
  <c r="EH85" i="6"/>
  <c r="DT85" i="6"/>
  <c r="EU85" i="6" s="1"/>
  <c r="DS85" i="6"/>
  <c r="ET85" i="6" s="1"/>
  <c r="DR85" i="6"/>
  <c r="ES85" i="6" s="1"/>
  <c r="DQ85" i="6"/>
  <c r="ER85" i="6" s="1"/>
  <c r="DP85" i="6"/>
  <c r="EQ85" i="6" s="1"/>
  <c r="DO85" i="6"/>
  <c r="EP85" i="6" s="1"/>
  <c r="EX85" i="6" l="1"/>
  <c r="FA85" i="6"/>
  <c r="EM85" i="6"/>
  <c r="D81" i="6"/>
  <c r="Y81" i="6"/>
  <c r="EK81" i="6"/>
  <c r="EL81" i="6"/>
  <c r="ET81" i="6" s="1"/>
  <c r="EN81" i="6"/>
  <c r="EP81" i="6"/>
  <c r="EQ81" i="6"/>
  <c r="D79" i="6"/>
  <c r="Y79" i="6"/>
  <c r="EJ79" i="6"/>
  <c r="EK79" i="6"/>
  <c r="EM79" i="6"/>
  <c r="EU79" i="6" s="1"/>
  <c r="EO79" i="6"/>
  <c r="EP79" i="6"/>
  <c r="D82" i="6"/>
  <c r="Y82" i="6"/>
  <c r="EH82" i="6"/>
  <c r="EI82" i="6"/>
  <c r="D83" i="6"/>
  <c r="Y83" i="6"/>
  <c r="EH83" i="6"/>
  <c r="EI83" i="6"/>
  <c r="EK83" i="6"/>
  <c r="D84" i="6"/>
  <c r="Y84" i="6"/>
  <c r="EH84" i="6"/>
  <c r="EI84" i="6"/>
  <c r="EK84" i="6"/>
  <c r="EN74" i="6"/>
  <c r="EN75" i="6"/>
  <c r="EN76" i="6"/>
  <c r="EN77" i="6"/>
  <c r="EM75" i="6"/>
  <c r="EM76" i="6"/>
  <c r="EM77" i="6"/>
  <c r="EM74" i="6"/>
  <c r="EK74" i="6"/>
  <c r="EK75" i="6"/>
  <c r="EK76" i="6"/>
  <c r="EK77" i="6"/>
  <c r="EH72" i="6"/>
  <c r="EI72" i="6"/>
  <c r="EJ72" i="6" s="1"/>
  <c r="EP72" i="6" s="1"/>
  <c r="EK72" i="6"/>
  <c r="ES72" i="6" s="1"/>
  <c r="EM72" i="6"/>
  <c r="EN72" i="6"/>
  <c r="EH73" i="6"/>
  <c r="EI73" i="6"/>
  <c r="EK73" i="6"/>
  <c r="EM73" i="6"/>
  <c r="EO73" i="6" s="1"/>
  <c r="EU73" i="6" s="1"/>
  <c r="EN73" i="6"/>
  <c r="ER81" i="6" l="1"/>
  <c r="EX81" i="6" s="1"/>
  <c r="EJ82" i="6"/>
  <c r="EL82" i="6" s="1"/>
  <c r="EV81" i="6"/>
  <c r="EO72" i="6"/>
  <c r="EU72" i="6" s="1"/>
  <c r="EM81" i="6"/>
  <c r="ES81" i="6" s="1"/>
  <c r="EL79" i="6"/>
  <c r="ER79" i="6" s="1"/>
  <c r="EU81" i="6"/>
  <c r="EO81" i="6"/>
  <c r="EW81" i="6" s="1"/>
  <c r="EL84" i="6"/>
  <c r="EO84" i="6" s="1"/>
  <c r="EN79" i="6"/>
  <c r="EV79" i="6" s="1"/>
  <c r="EL83" i="6"/>
  <c r="EO83" i="6" s="1"/>
  <c r="EJ83" i="6"/>
  <c r="EM83" i="6" s="1"/>
  <c r="EQ79" i="6"/>
  <c r="EW79" i="6" s="1"/>
  <c r="ES73" i="6"/>
  <c r="EJ84" i="6"/>
  <c r="EM84" i="6" s="1"/>
  <c r="EJ73" i="6"/>
  <c r="EP73" i="6" s="1"/>
  <c r="EL73" i="6"/>
  <c r="ET73" i="6" s="1"/>
  <c r="EL72" i="6"/>
  <c r="ET72" i="6" s="1"/>
  <c r="EN71" i="6" l="1"/>
  <c r="EM71" i="6"/>
  <c r="EK71" i="6"/>
  <c r="EO77" i="6"/>
  <c r="EU77" i="6" s="1"/>
  <c r="EI77" i="6"/>
  <c r="EH77" i="6"/>
  <c r="EJ77" i="6" s="1"/>
  <c r="EP77" i="6" s="1"/>
  <c r="Y77" i="6"/>
  <c r="D77" i="6"/>
  <c r="EI76" i="6"/>
  <c r="EH76" i="6"/>
  <c r="EJ76" i="6" s="1"/>
  <c r="EP76" i="6" s="1"/>
  <c r="Y76" i="6"/>
  <c r="D76" i="6"/>
  <c r="EI75" i="6"/>
  <c r="EH75" i="6"/>
  <c r="EJ75" i="6" s="1"/>
  <c r="EP75" i="6" s="1"/>
  <c r="Y75" i="6"/>
  <c r="D75" i="6"/>
  <c r="EO74" i="6"/>
  <c r="EU74" i="6" s="1"/>
  <c r="EI74" i="6"/>
  <c r="EH74" i="6"/>
  <c r="Y74" i="6"/>
  <c r="D74" i="6"/>
  <c r="Y73" i="6"/>
  <c r="D73" i="6"/>
  <c r="Y72" i="6"/>
  <c r="D72" i="6"/>
  <c r="EI71" i="6"/>
  <c r="EH71" i="6"/>
  <c r="Y71" i="6"/>
  <c r="D71" i="6"/>
  <c r="F11" i="1"/>
  <c r="F10" i="1"/>
  <c r="F9" i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6" i="6"/>
  <c r="D67" i="6"/>
  <c r="D68" i="6"/>
  <c r="D69" i="6"/>
  <c r="D70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4" i="6"/>
  <c r="D3" i="6"/>
  <c r="EH68" i="6"/>
  <c r="EJ68" i="6" s="1"/>
  <c r="EN68" i="6" s="1"/>
  <c r="EI68" i="6"/>
  <c r="EK68" i="6"/>
  <c r="EL68" i="6"/>
  <c r="EM68" i="6" s="1"/>
  <c r="EP68" i="6" s="1"/>
  <c r="EH69" i="6"/>
  <c r="EI69" i="6"/>
  <c r="EK69" i="6"/>
  <c r="EM69" i="6" s="1"/>
  <c r="EP69" i="6" s="1"/>
  <c r="EL69" i="6"/>
  <c r="EH70" i="6"/>
  <c r="EI70" i="6"/>
  <c r="EK70" i="6"/>
  <c r="EL70" i="6"/>
  <c r="EL67" i="6"/>
  <c r="EK67" i="6"/>
  <c r="EM67" i="6" s="1"/>
  <c r="EP67" i="6" s="1"/>
  <c r="EI67" i="6"/>
  <c r="EH67" i="6"/>
  <c r="EJ67" i="6" s="1"/>
  <c r="EN67" i="6" s="1"/>
  <c r="EH66" i="6"/>
  <c r="EI66" i="6"/>
  <c r="EK66" i="6"/>
  <c r="EM66" i="6" s="1"/>
  <c r="EP66" i="6" s="1"/>
  <c r="EL66" i="6"/>
  <c r="EM70" i="6" l="1"/>
  <c r="EP70" i="6" s="1"/>
  <c r="EJ70" i="6"/>
  <c r="EN70" i="6" s="1"/>
  <c r="EL71" i="6"/>
  <c r="ET71" i="6" s="1"/>
  <c r="EL75" i="6"/>
  <c r="ET75" i="6" s="1"/>
  <c r="ES75" i="6"/>
  <c r="ES77" i="6"/>
  <c r="EL77" i="6"/>
  <c r="ET77" i="6" s="1"/>
  <c r="EJ71" i="6"/>
  <c r="EP71" i="6" s="1"/>
  <c r="ES71" i="6"/>
  <c r="EJ66" i="6"/>
  <c r="EN66" i="6" s="1"/>
  <c r="EJ69" i="6"/>
  <c r="EN69" i="6" s="1"/>
  <c r="EJ74" i="6"/>
  <c r="EP74" i="6" s="1"/>
  <c r="EL74" i="6"/>
  <c r="ET74" i="6" s="1"/>
  <c r="ES74" i="6"/>
  <c r="EL76" i="6"/>
  <c r="ET76" i="6" s="1"/>
  <c r="ES76" i="6"/>
  <c r="EO76" i="6"/>
  <c r="EU76" i="6" s="1"/>
  <c r="EO71" i="6"/>
  <c r="EU71" i="6" s="1"/>
  <c r="EO75" i="6"/>
  <c r="EU75" i="6" s="1"/>
  <c r="EL25" i="6"/>
  <c r="EL23" i="6"/>
  <c r="EL21" i="6"/>
  <c r="EL20" i="6"/>
  <c r="EL19" i="6"/>
  <c r="EI4" i="6"/>
  <c r="B5" i="1"/>
  <c r="G9" i="1"/>
  <c r="H9" i="1" s="1"/>
  <c r="G10" i="1"/>
  <c r="H10" i="1" s="1"/>
  <c r="G11" i="1"/>
  <c r="H11" i="1" s="1"/>
  <c r="BC1" i="6"/>
  <c r="DB1" i="6"/>
  <c r="C11" i="1"/>
  <c r="C10" i="1"/>
  <c r="C9" i="1"/>
  <c r="C8" i="1"/>
  <c r="L4" i="1"/>
  <c r="N5" i="1"/>
  <c r="FX41" i="6"/>
  <c r="FW41" i="6"/>
  <c r="FV41" i="6"/>
  <c r="FU41" i="6"/>
  <c r="FT41" i="6"/>
  <c r="FS41" i="6"/>
  <c r="FR41" i="6"/>
  <c r="FQ41" i="6"/>
  <c r="FP41" i="6"/>
  <c r="FO41" i="6"/>
  <c r="FN41" i="6"/>
  <c r="FM41" i="6"/>
  <c r="FL41" i="6"/>
  <c r="FK41" i="6"/>
  <c r="EK6" i="6" l="1"/>
  <c r="EI1" i="6"/>
  <c r="EH16" i="6"/>
  <c r="B7" i="1"/>
  <c r="C7" i="1"/>
  <c r="CF6" i="1"/>
  <c r="GE1" i="6"/>
  <c r="EI54" i="6"/>
  <c r="EH54" i="6"/>
  <c r="EM52" i="6"/>
  <c r="EN52" i="6"/>
  <c r="EO52" i="6"/>
  <c r="EL52" i="6"/>
  <c r="EI52" i="6"/>
  <c r="EJ52" i="6"/>
  <c r="EK52" i="6"/>
  <c r="EH52" i="6"/>
  <c r="EI51" i="6"/>
  <c r="EJ51" i="6"/>
  <c r="EH51" i="6"/>
  <c r="EL51" i="6"/>
  <c r="EM51" i="6"/>
  <c r="EK51" i="6"/>
  <c r="EH50" i="6"/>
  <c r="EI50" i="6" s="1"/>
  <c r="EH49" i="6"/>
  <c r="EI49" i="6"/>
  <c r="EI48" i="6"/>
  <c r="EH48" i="6"/>
  <c r="EJ46" i="6"/>
  <c r="EI46" i="6" s="1"/>
  <c r="EH46" i="6"/>
  <c r="EJ45" i="6"/>
  <c r="EH45" i="6"/>
  <c r="EJ44" i="6"/>
  <c r="EK44" i="6"/>
  <c r="EL44" i="6"/>
  <c r="EM44" i="6"/>
  <c r="EN44" i="6"/>
  <c r="EO44" i="6"/>
  <c r="EP44" i="6"/>
  <c r="EQ44" i="6"/>
  <c r="ER44" i="6"/>
  <c r="EI44" i="6"/>
  <c r="EH44" i="6"/>
  <c r="EK25" i="6"/>
  <c r="EK23" i="6"/>
  <c r="EH23" i="6"/>
  <c r="EI23" i="6"/>
  <c r="EH24" i="6"/>
  <c r="EI24" i="6"/>
  <c r="EH25" i="6"/>
  <c r="EI25" i="6"/>
  <c r="EI22" i="6"/>
  <c r="EH22" i="6"/>
  <c r="EP21" i="6"/>
  <c r="EO21" i="6"/>
  <c r="EP19" i="6"/>
  <c r="EO19" i="6"/>
  <c r="EK19" i="6"/>
  <c r="EK20" i="6"/>
  <c r="EN20" i="6"/>
  <c r="EK21" i="6"/>
  <c r="EL18" i="6"/>
  <c r="EK18" i="6"/>
  <c r="EH17" i="6"/>
  <c r="EI17" i="6"/>
  <c r="EH18" i="6"/>
  <c r="EI18" i="6"/>
  <c r="EH19" i="6"/>
  <c r="EI19" i="6"/>
  <c r="EH20" i="6"/>
  <c r="EI20" i="6"/>
  <c r="EH21" i="6"/>
  <c r="EI21" i="6"/>
  <c r="EI16" i="6"/>
  <c r="ER15" i="6"/>
  <c r="ER13" i="6"/>
  <c r="EN13" i="6"/>
  <c r="EN14" i="6"/>
  <c r="EN15" i="6"/>
  <c r="EN12" i="6"/>
  <c r="EK12" i="6"/>
  <c r="EK13" i="6"/>
  <c r="EK14" i="6"/>
  <c r="EK15" i="6"/>
  <c r="EK11" i="6"/>
  <c r="EK10" i="6"/>
  <c r="EH10" i="6"/>
  <c r="EI10" i="6"/>
  <c r="EH11" i="6"/>
  <c r="EI11" i="6"/>
  <c r="EH12" i="6"/>
  <c r="EI12" i="6"/>
  <c r="EH13" i="6"/>
  <c r="EI13" i="6"/>
  <c r="EH14" i="6"/>
  <c r="EI14" i="6"/>
  <c r="EH15" i="6"/>
  <c r="EI15" i="6"/>
  <c r="EI9" i="6"/>
  <c r="EH9" i="6"/>
  <c r="EI8" i="6"/>
  <c r="EH8" i="6"/>
  <c r="EO7" i="6"/>
  <c r="EN7" i="6"/>
  <c r="EJ6" i="6"/>
  <c r="EK5" i="6"/>
  <c r="EJ5" i="6"/>
  <c r="EM7" i="6"/>
  <c r="EL7" i="6"/>
  <c r="EI7" i="6"/>
  <c r="EK7" i="6" s="1"/>
  <c r="EH7" i="6"/>
  <c r="EJ7" i="6" s="1"/>
  <c r="EH6" i="6"/>
  <c r="EI6" i="6"/>
  <c r="EH5" i="6"/>
  <c r="EI5" i="6"/>
  <c r="EL4" i="6"/>
  <c r="EJ4" i="6"/>
  <c r="EK4" i="6"/>
  <c r="EH4" i="6"/>
  <c r="A4" i="6"/>
  <c r="A5" i="6" s="1"/>
  <c r="DC103" i="6"/>
  <c r="DC104" i="6"/>
  <c r="DC105" i="6"/>
  <c r="DC106" i="6"/>
  <c r="DC107" i="6"/>
  <c r="DC108" i="6"/>
  <c r="DC109" i="6"/>
  <c r="DC110" i="6"/>
  <c r="DC111" i="6"/>
  <c r="DC112" i="6"/>
  <c r="DC113" i="6"/>
  <c r="DC114" i="6"/>
  <c r="DC115" i="6"/>
  <c r="DC116" i="6"/>
  <c r="DC117" i="6"/>
  <c r="DC118" i="6"/>
  <c r="DC119" i="6"/>
  <c r="DC120" i="6"/>
  <c r="DC121" i="6"/>
  <c r="DC122" i="6"/>
  <c r="DC123" i="6"/>
  <c r="DC3" i="6"/>
  <c r="EJ9" i="6" l="1"/>
  <c r="EJ8" i="6"/>
  <c r="CF7" i="1"/>
  <c r="EN21" i="6"/>
  <c r="EJ25" i="6"/>
  <c r="EM18" i="6"/>
  <c r="EO15" i="6"/>
  <c r="EP15" i="6" s="1"/>
  <c r="EO13" i="6"/>
  <c r="EP13" i="6" s="1"/>
  <c r="EN23" i="6"/>
  <c r="EJ12" i="6"/>
  <c r="A1" i="6"/>
  <c r="EM21" i="6"/>
  <c r="EJ17" i="6"/>
  <c r="ER21" i="6"/>
  <c r="EN19" i="6"/>
  <c r="EJ48" i="6"/>
  <c r="ES52" i="6"/>
  <c r="EJ10" i="6"/>
  <c r="ES13" i="6"/>
  <c r="ET13" i="6" s="1"/>
  <c r="EN51" i="6"/>
  <c r="ER52" i="6"/>
  <c r="EP51" i="6"/>
  <c r="EQ52" i="6"/>
  <c r="EM45" i="6"/>
  <c r="EJ13" i="6"/>
  <c r="EO14" i="6"/>
  <c r="EP14" i="6" s="1"/>
  <c r="EL12" i="6"/>
  <c r="EM12" i="6" s="1"/>
  <c r="EP52" i="6"/>
  <c r="EJ11" i="6"/>
  <c r="EM20" i="6"/>
  <c r="EJ22" i="6"/>
  <c r="EJ19" i="6"/>
  <c r="EJ15" i="6"/>
  <c r="EL10" i="6"/>
  <c r="EM10" i="6" s="1"/>
  <c r="EJ18" i="6"/>
  <c r="EK46" i="6"/>
  <c r="EO51" i="6"/>
  <c r="EL11" i="6"/>
  <c r="EM11" i="6" s="1"/>
  <c r="EL46" i="6"/>
  <c r="EL15" i="6"/>
  <c r="EM15" i="6" s="1"/>
  <c r="ES15" i="6"/>
  <c r="EU15" i="6" s="1"/>
  <c r="EJ54" i="6"/>
  <c r="EJ16" i="6"/>
  <c r="ER19" i="6"/>
  <c r="EJ49" i="6"/>
  <c r="EJ21" i="6"/>
  <c r="EN18" i="6"/>
  <c r="EN25" i="6"/>
  <c r="EJ23" i="6"/>
  <c r="EJ20" i="6"/>
  <c r="EQ19" i="6"/>
  <c r="EM19" i="6"/>
  <c r="EO12" i="6"/>
  <c r="EJ14" i="6"/>
  <c r="EJ24" i="6"/>
  <c r="EL14" i="6"/>
  <c r="EM14" i="6" s="1"/>
  <c r="EL13" i="6"/>
  <c r="EM13" i="6" s="1"/>
  <c r="EQ21" i="6"/>
  <c r="DC4" i="6"/>
  <c r="A6" i="6"/>
  <c r="A7" i="6" s="1"/>
  <c r="DC5" i="6"/>
  <c r="Y101" i="6"/>
  <c r="Y102" i="6"/>
  <c r="C4" i="6"/>
  <c r="Y30" i="6"/>
  <c r="Y4" i="6"/>
  <c r="Y7" i="6"/>
  <c r="ES80" i="6" l="1"/>
  <c r="ET80" i="6" s="1"/>
  <c r="EP64" i="6"/>
  <c r="EP65" i="6"/>
  <c r="ES78" i="6"/>
  <c r="ET78" i="6" s="1"/>
  <c r="EN83" i="6"/>
  <c r="EN84" i="6"/>
  <c r="ES79" i="6"/>
  <c r="ET79" i="6" s="1"/>
  <c r="EK82" i="6"/>
  <c r="EQ73" i="6"/>
  <c r="ER73" i="6" s="1"/>
  <c r="EQ72" i="6"/>
  <c r="ER72" i="6" s="1"/>
  <c r="EQ75" i="6"/>
  <c r="ER75" i="6" s="1"/>
  <c r="EQ76" i="6"/>
  <c r="ER76" i="6" s="1"/>
  <c r="EQ74" i="6"/>
  <c r="ER74" i="6" s="1"/>
  <c r="EQ71" i="6"/>
  <c r="ER71" i="6" s="1"/>
  <c r="EQ77" i="6"/>
  <c r="ER77" i="6" s="1"/>
  <c r="EO69" i="6"/>
  <c r="EO67" i="6"/>
  <c r="EO68" i="6"/>
  <c r="EO70" i="6"/>
  <c r="EO66" i="6"/>
  <c r="EQ15" i="6"/>
  <c r="EQ13" i="6"/>
  <c r="EQ14" i="6"/>
  <c r="EM25" i="6"/>
  <c r="EM23" i="6"/>
  <c r="EU13" i="6"/>
  <c r="ET15" i="6"/>
  <c r="EQ12" i="6"/>
  <c r="EP12" i="6"/>
  <c r="DC6" i="6"/>
  <c r="A8" i="6"/>
  <c r="C8" i="6" s="1"/>
  <c r="DC7" i="6"/>
  <c r="C7" i="6"/>
  <c r="C6" i="6"/>
  <c r="C5" i="6"/>
  <c r="Y9" i="6"/>
  <c r="Y10" i="6"/>
  <c r="Y12" i="6"/>
  <c r="Y13" i="6"/>
  <c r="Y16" i="6"/>
  <c r="Y22" i="6"/>
  <c r="Y23" i="6"/>
  <c r="Y18" i="6"/>
  <c r="Y19" i="6"/>
  <c r="Y45" i="6"/>
  <c r="Y46" i="6"/>
  <c r="Y33" i="6"/>
  <c r="Y34" i="6"/>
  <c r="Y35" i="6"/>
  <c r="Y44" i="6"/>
  <c r="Y47" i="6"/>
  <c r="Y50" i="6"/>
  <c r="Y51" i="6"/>
  <c r="Y52" i="6"/>
  <c r="Y53" i="6"/>
  <c r="Y54" i="6"/>
  <c r="Y11" i="6"/>
  <c r="Y14" i="6"/>
  <c r="Y15" i="6"/>
  <c r="Y17" i="6"/>
  <c r="Y24" i="6"/>
  <c r="Y25" i="6"/>
  <c r="Y20" i="6"/>
  <c r="Y21" i="6"/>
  <c r="Y55" i="6"/>
  <c r="Y56" i="6"/>
  <c r="Y57" i="6"/>
  <c r="Y58" i="6"/>
  <c r="Y59" i="6"/>
  <c r="Y48" i="6"/>
  <c r="Y49" i="6"/>
  <c r="Y60" i="6"/>
  <c r="Y26" i="6"/>
  <c r="Y27" i="6"/>
  <c r="Y43" i="6"/>
  <c r="Y32" i="6"/>
  <c r="Y31" i="6"/>
  <c r="Y29" i="6"/>
  <c r="Y28" i="6"/>
  <c r="Y37" i="6"/>
  <c r="Y38" i="6"/>
  <c r="Y39" i="6"/>
  <c r="Y40" i="6"/>
  <c r="Y41" i="6"/>
  <c r="Y42" i="6"/>
  <c r="Y61" i="6"/>
  <c r="Y36" i="6"/>
  <c r="Y62" i="6"/>
  <c r="Y63" i="6"/>
  <c r="Y66" i="6"/>
  <c r="Y67" i="6"/>
  <c r="Y68" i="6"/>
  <c r="Y69" i="6"/>
  <c r="Y70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A9" i="6" l="1"/>
  <c r="DC8" i="6"/>
  <c r="C6" i="1"/>
  <c r="C5" i="1"/>
  <c r="C4" i="1"/>
  <c r="C3" i="1"/>
  <c r="C2" i="1"/>
  <c r="Y8" i="6"/>
  <c r="A10" i="6" l="1"/>
  <c r="DC9" i="6"/>
  <c r="C9" i="6"/>
  <c r="Y5" i="6"/>
  <c r="Y6" i="6"/>
  <c r="Y3" i="6"/>
  <c r="C3" i="6"/>
  <c r="U4" i="1"/>
  <c r="DC10" i="6" l="1"/>
  <c r="A11" i="6"/>
  <c r="C10" i="6"/>
  <c r="A12" i="6" l="1"/>
  <c r="DC11" i="6"/>
  <c r="C11" i="6"/>
  <c r="N2" i="1" a="1"/>
  <c r="N2" i="1" s="1"/>
  <c r="N1" i="1"/>
  <c r="A13" i="6" l="1"/>
  <c r="DC12" i="6"/>
  <c r="C12" i="6"/>
  <c r="DC13" i="6" l="1"/>
  <c r="A14" i="6"/>
  <c r="C13" i="6"/>
  <c r="EM36" i="6" l="1"/>
  <c r="EK37" i="6"/>
  <c r="EO29" i="6"/>
  <c r="EN30" i="6"/>
  <c r="EH34" i="6"/>
  <c r="EI38" i="6"/>
  <c r="EK33" i="6"/>
  <c r="EK35" i="6"/>
  <c r="EO36" i="6"/>
  <c r="ER31" i="6"/>
  <c r="EH40" i="6"/>
  <c r="EJ29" i="6"/>
  <c r="EL33" i="6"/>
  <c r="EL35" i="6"/>
  <c r="EP36" i="6"/>
  <c r="EQ31" i="6"/>
  <c r="ES36" i="6"/>
  <c r="EN40" i="6"/>
  <c r="FD28" i="6"/>
  <c r="ER29" i="6"/>
  <c r="EL40" i="6"/>
  <c r="EL42" i="6"/>
  <c r="EQ43" i="6"/>
  <c r="EH31" i="6"/>
  <c r="EP35" i="6"/>
  <c r="EJ39" i="6"/>
  <c r="ER28" i="6"/>
  <c r="EV28" i="6"/>
  <c r="ER30" i="6"/>
  <c r="EP31" i="6"/>
  <c r="EO32" i="6"/>
  <c r="EN33" i="6"/>
  <c r="EI34" i="6"/>
  <c r="FF28" i="6"/>
  <c r="ES30" i="6"/>
  <c r="EO33" i="6"/>
  <c r="EV29" i="6"/>
  <c r="ER32" i="6"/>
  <c r="EU36" i="6"/>
  <c r="EL34" i="6"/>
  <c r="EJ36" i="6"/>
  <c r="EV36" i="6"/>
  <c r="EP38" i="6"/>
  <c r="EL29" i="6"/>
  <c r="EK30" i="6"/>
  <c r="EZ31" i="6"/>
  <c r="EU31" i="6"/>
  <c r="EH37" i="6"/>
  <c r="EI41" i="6"/>
  <c r="FD41" i="6" s="1"/>
  <c r="EI29" i="6"/>
  <c r="EJ37" i="6"/>
  <c r="ER38" i="6"/>
  <c r="EN39" i="6"/>
  <c r="EM41" i="6"/>
  <c r="FH41" i="6" s="1"/>
  <c r="DC14" i="6"/>
  <c r="A15" i="6"/>
  <c r="C14" i="6"/>
  <c r="EL31" i="6" l="1"/>
  <c r="ES38" i="6"/>
  <c r="EM32" i="6"/>
  <c r="EW38" i="6"/>
  <c r="EN34" i="6"/>
  <c r="EI36" i="6"/>
  <c r="EJ32" i="6"/>
  <c r="EO34" i="6"/>
  <c r="FK34" i="6" s="1"/>
  <c r="EX28" i="6"/>
  <c r="EI42" i="6"/>
  <c r="ET31" i="6"/>
  <c r="FE28" i="6"/>
  <c r="FG28" i="6"/>
  <c r="EK34" i="6"/>
  <c r="EU32" i="6"/>
  <c r="EM39" i="6"/>
  <c r="EI30" i="6"/>
  <c r="EY31" i="6"/>
  <c r="FU31" i="6" s="1"/>
  <c r="ET36" i="6"/>
  <c r="FP36" i="6" s="1"/>
  <c r="EM42" i="6"/>
  <c r="FF42" i="6" s="1"/>
  <c r="EH43" i="6"/>
  <c r="FI43" i="6" s="1"/>
  <c r="EQ36" i="6"/>
  <c r="EO42" i="6"/>
  <c r="EH32" i="6"/>
  <c r="EQ29" i="6"/>
  <c r="EH33" i="6"/>
  <c r="EP29" i="6"/>
  <c r="ET38" i="6"/>
  <c r="EK31" i="6"/>
  <c r="EN43" i="6"/>
  <c r="FJ43" i="6" s="1"/>
  <c r="EL36" i="6"/>
  <c r="FH36" i="6" s="1"/>
  <c r="EW31" i="6"/>
  <c r="FS31" i="6" s="1"/>
  <c r="EO41" i="6"/>
  <c r="FJ41" i="6" s="1"/>
  <c r="ER43" i="6"/>
  <c r="EI37" i="6"/>
  <c r="EQ32" i="6"/>
  <c r="EY38" i="6"/>
  <c r="EM35" i="6"/>
  <c r="EN38" i="6"/>
  <c r="FJ38" i="6" s="1"/>
  <c r="EP43" i="6"/>
  <c r="FL43" i="6" s="1"/>
  <c r="FC28" i="6"/>
  <c r="EO43" i="6"/>
  <c r="FB28" i="6"/>
  <c r="EL37" i="6"/>
  <c r="EI39" i="6"/>
  <c r="EM30" i="6"/>
  <c r="FA28" i="6"/>
  <c r="EK43" i="6"/>
  <c r="ES29" i="6"/>
  <c r="EN31" i="6"/>
  <c r="EV32" i="6"/>
  <c r="EL41" i="6"/>
  <c r="FG41" i="6" s="1"/>
  <c r="EK38" i="6"/>
  <c r="EJ30" i="6"/>
  <c r="EM40" i="6"/>
  <c r="ES28" i="6"/>
  <c r="EJ31" i="6"/>
  <c r="EW36" i="6"/>
  <c r="EH38" i="6"/>
  <c r="EK29" i="6"/>
  <c r="EX38" i="6"/>
  <c r="FT38" i="6" s="1"/>
  <c r="EI31" i="6"/>
  <c r="FM31" i="6" s="1"/>
  <c r="EO35" i="6"/>
  <c r="EM33" i="6"/>
  <c r="FN33" i="6" s="1"/>
  <c r="EJ34" i="6"/>
  <c r="EK42" i="6"/>
  <c r="EJ42" i="6"/>
  <c r="EN36" i="6"/>
  <c r="EH35" i="6"/>
  <c r="FO35" i="6" s="1"/>
  <c r="EN29" i="6"/>
  <c r="FJ29" i="6" s="1"/>
  <c r="EL32" i="6"/>
  <c r="FS32" i="6" s="1"/>
  <c r="ES32" i="6"/>
  <c r="FO32" i="6" s="1"/>
  <c r="EH39" i="6"/>
  <c r="FD39" i="6" s="1"/>
  <c r="EO40" i="6"/>
  <c r="EP30" i="6"/>
  <c r="EL30" i="6"/>
  <c r="EW28" i="6"/>
  <c r="EI33" i="6"/>
  <c r="EL38" i="6"/>
  <c r="EJ41" i="6"/>
  <c r="FE41" i="6" s="1"/>
  <c r="EP32" i="6"/>
  <c r="EN32" i="6"/>
  <c r="FJ32" i="6" s="1"/>
  <c r="EU29" i="6"/>
  <c r="FQ29" i="6" s="1"/>
  <c r="EK40" i="6"/>
  <c r="FX40" i="6" s="1"/>
  <c r="EJ40" i="6"/>
  <c r="EJ35" i="6"/>
  <c r="EM43" i="6"/>
  <c r="EZ28" i="6"/>
  <c r="ET29" i="6"/>
  <c r="EH30" i="6"/>
  <c r="FS30" i="6" s="1"/>
  <c r="EH42" i="6"/>
  <c r="FW42" i="6" s="1"/>
  <c r="EP39" i="6"/>
  <c r="FL39" i="6" s="1"/>
  <c r="EV31" i="6"/>
  <c r="FR31" i="6" s="1"/>
  <c r="EJ43" i="6"/>
  <c r="FK43" i="6" s="1"/>
  <c r="EH36" i="6"/>
  <c r="FT36" i="6" s="1"/>
  <c r="EM29" i="6"/>
  <c r="EM34" i="6"/>
  <c r="EK41" i="6"/>
  <c r="FF41" i="6" s="1"/>
  <c r="EN42" i="6"/>
  <c r="ER36" i="6"/>
  <c r="EO38" i="6"/>
  <c r="FK38" i="6" s="1"/>
  <c r="ET28" i="6"/>
  <c r="EO31" i="6"/>
  <c r="FK31" i="6" s="1"/>
  <c r="EU28" i="6"/>
  <c r="EV38" i="6"/>
  <c r="FR38" i="6" s="1"/>
  <c r="EI43" i="6"/>
  <c r="EU38" i="6"/>
  <c r="EJ33" i="6"/>
  <c r="EN41" i="6"/>
  <c r="FI41" i="6" s="1"/>
  <c r="EI32" i="6"/>
  <c r="FW32" i="6" s="1"/>
  <c r="EM31" i="6"/>
  <c r="FI31" i="6" s="1"/>
  <c r="EO30" i="6"/>
  <c r="FO30" i="6" s="1"/>
  <c r="EQ38" i="6"/>
  <c r="FM38" i="6" s="1"/>
  <c r="EI40" i="6"/>
  <c r="FS40" i="6" s="1"/>
  <c r="EK36" i="6"/>
  <c r="FD36" i="6" s="1"/>
  <c r="EL43" i="6"/>
  <c r="EY28" i="6"/>
  <c r="GH28" i="6" s="1"/>
  <c r="ET32" i="6"/>
  <c r="EL39" i="6"/>
  <c r="EK39" i="6"/>
  <c r="EM38" i="6"/>
  <c r="EN35" i="6"/>
  <c r="FJ35" i="6" s="1"/>
  <c r="ES31" i="6"/>
  <c r="EI35" i="6"/>
  <c r="FP35" i="6" s="1"/>
  <c r="EQ30" i="6"/>
  <c r="FX30" i="6" s="1"/>
  <c r="EH29" i="6"/>
  <c r="FP29" i="6" s="1"/>
  <c r="EJ38" i="6"/>
  <c r="FN38" i="6" s="1"/>
  <c r="EQ35" i="6"/>
  <c r="EM37" i="6"/>
  <c r="EX31" i="6"/>
  <c r="EK32" i="6"/>
  <c r="EO39" i="6"/>
  <c r="FJ42" i="6"/>
  <c r="FQ37" i="6"/>
  <c r="FP37" i="6"/>
  <c r="FV37" i="6"/>
  <c r="FD37" i="6"/>
  <c r="FT37" i="6"/>
  <c r="FO37" i="6"/>
  <c r="FS37" i="6"/>
  <c r="FN37" i="6"/>
  <c r="FR37" i="6"/>
  <c r="FM37" i="6"/>
  <c r="FL37" i="6"/>
  <c r="FK37" i="6"/>
  <c r="FJ37" i="6"/>
  <c r="FX37" i="6"/>
  <c r="FW37" i="6"/>
  <c r="FU37" i="6"/>
  <c r="FI37" i="6"/>
  <c r="FF43" i="6"/>
  <c r="FS35" i="6"/>
  <c r="FV35" i="6"/>
  <c r="FQ35" i="6"/>
  <c r="FT39" i="6"/>
  <c r="FF34" i="6"/>
  <c r="FI30" i="6"/>
  <c r="FV36" i="6"/>
  <c r="FK29" i="6"/>
  <c r="FX42" i="6"/>
  <c r="FR42" i="6"/>
  <c r="FM42" i="6"/>
  <c r="FH30" i="6"/>
  <c r="FS34" i="6"/>
  <c r="FD34" i="6"/>
  <c r="FL34" i="6"/>
  <c r="FX34" i="6"/>
  <c r="FH37" i="6"/>
  <c r="FE35" i="6"/>
  <c r="FE29" i="6"/>
  <c r="FN31" i="6"/>
  <c r="FH35" i="6"/>
  <c r="FG37" i="6"/>
  <c r="FD29" i="6"/>
  <c r="FW29" i="6"/>
  <c r="FM30" i="6"/>
  <c r="FG32" i="6"/>
  <c r="FQ30" i="6"/>
  <c r="FW30" i="6"/>
  <c r="FF36" i="6"/>
  <c r="FR33" i="6"/>
  <c r="FG35" i="6"/>
  <c r="FF37" i="6"/>
  <c r="FI29" i="6"/>
  <c r="FG31" i="6"/>
  <c r="FF29" i="6"/>
  <c r="FO29" i="6"/>
  <c r="FE31" i="6"/>
  <c r="FS43" i="6"/>
  <c r="FR32" i="6"/>
  <c r="FL35" i="6"/>
  <c r="FQ31" i="6"/>
  <c r="FE37" i="6"/>
  <c r="FN29" i="6"/>
  <c r="FH42" i="6"/>
  <c r="FL30" i="6"/>
  <c r="DC15" i="6"/>
  <c r="A16" i="6"/>
  <c r="C15" i="6"/>
  <c r="FT28" i="6" l="1"/>
  <c r="GF28" i="6"/>
  <c r="FN28" i="6"/>
  <c r="FS28" i="6"/>
  <c r="FP28" i="6"/>
  <c r="FD38" i="6"/>
  <c r="FO43" i="6"/>
  <c r="FG43" i="6"/>
  <c r="FQ33" i="6"/>
  <c r="FQ38" i="6"/>
  <c r="FD30" i="6"/>
  <c r="FN43" i="6"/>
  <c r="FE30" i="6"/>
  <c r="FU38" i="6"/>
  <c r="FP42" i="6"/>
  <c r="FU36" i="6"/>
  <c r="FY28" i="6"/>
  <c r="FV39" i="6"/>
  <c r="FR35" i="6"/>
  <c r="FJ39" i="6"/>
  <c r="FH40" i="6"/>
  <c r="GG28" i="6"/>
  <c r="FL40" i="6"/>
  <c r="FX38" i="6"/>
  <c r="FG33" i="6"/>
  <c r="FK35" i="6"/>
  <c r="FG38" i="6"/>
  <c r="FP31" i="6"/>
  <c r="FL32" i="6"/>
  <c r="FF33" i="6"/>
  <c r="FX39" i="6"/>
  <c r="FT40" i="6"/>
  <c r="FL31" i="6"/>
  <c r="FJ30" i="6"/>
  <c r="FH39" i="6"/>
  <c r="FI38" i="6"/>
  <c r="FM36" i="6"/>
  <c r="FV33" i="6"/>
  <c r="FR36" i="6"/>
  <c r="FJ34" i="6"/>
  <c r="FN42" i="6"/>
  <c r="FH32" i="6"/>
  <c r="FO42" i="6"/>
  <c r="FN39" i="6"/>
  <c r="FT35" i="6"/>
  <c r="FD32" i="6"/>
  <c r="FP40" i="6"/>
  <c r="FZ28" i="6"/>
  <c r="FN36" i="6"/>
  <c r="FG29" i="6"/>
  <c r="FE36" i="6"/>
  <c r="FH38" i="6"/>
  <c r="FQ28" i="6"/>
  <c r="FP32" i="6"/>
  <c r="FJ40" i="6"/>
  <c r="FX29" i="6"/>
  <c r="FF32" i="6"/>
  <c r="FW31" i="6"/>
  <c r="FK36" i="6"/>
  <c r="FN34" i="6"/>
  <c r="FF38" i="6"/>
  <c r="FT42" i="6"/>
  <c r="FG40" i="6"/>
  <c r="FJ31" i="6"/>
  <c r="FR39" i="6"/>
  <c r="FX35" i="6"/>
  <c r="FU32" i="6"/>
  <c r="FG42" i="6"/>
  <c r="FN40" i="6"/>
  <c r="FK30" i="6"/>
  <c r="FF31" i="6"/>
  <c r="FE43" i="6"/>
  <c r="FQ43" i="6"/>
  <c r="FE38" i="6"/>
  <c r="FO39" i="6"/>
  <c r="FH33" i="6"/>
  <c r="FH34" i="6"/>
  <c r="FN32" i="6"/>
  <c r="FV31" i="6"/>
  <c r="FT43" i="6"/>
  <c r="FD31" i="6"/>
  <c r="FF35" i="6"/>
  <c r="FI35" i="6"/>
  <c r="FD35" i="6"/>
  <c r="FI40" i="6"/>
  <c r="FW40" i="6"/>
  <c r="FI42" i="6"/>
  <c r="FS42" i="6"/>
  <c r="FO28" i="6"/>
  <c r="FK33" i="6"/>
  <c r="FN30" i="6"/>
  <c r="FU35" i="6"/>
  <c r="FU28" i="6"/>
  <c r="FJ36" i="6"/>
  <c r="FV34" i="6"/>
  <c r="FK42" i="6"/>
  <c r="FH43" i="6"/>
  <c r="FH31" i="6"/>
  <c r="FI34" i="6"/>
  <c r="FO33" i="6"/>
  <c r="FX31" i="6"/>
  <c r="FF40" i="6"/>
  <c r="FU42" i="6"/>
  <c r="FS36" i="6"/>
  <c r="FP39" i="6"/>
  <c r="FM29" i="6"/>
  <c r="FQ36" i="6"/>
  <c r="FM35" i="6"/>
  <c r="FI36" i="6"/>
  <c r="FD33" i="6"/>
  <c r="FP33" i="6"/>
  <c r="FU30" i="6"/>
  <c r="FT31" i="6"/>
  <c r="FU29" i="6"/>
  <c r="FX28" i="6"/>
  <c r="FU34" i="6"/>
  <c r="FQ34" i="6"/>
  <c r="FQ42" i="6"/>
  <c r="FR28" i="6"/>
  <c r="FO38" i="6"/>
  <c r="FL29" i="6"/>
  <c r="FS39" i="6"/>
  <c r="FN35" i="6"/>
  <c r="FT32" i="6"/>
  <c r="FE39" i="6"/>
  <c r="FI33" i="6"/>
  <c r="FU40" i="6"/>
  <c r="GA28" i="6"/>
  <c r="FG34" i="6"/>
  <c r="FX36" i="6"/>
  <c r="FW38" i="6"/>
  <c r="FV28" i="6"/>
  <c r="FV38" i="6"/>
  <c r="FO31" i="6"/>
  <c r="FW33" i="6"/>
  <c r="FL36" i="6"/>
  <c r="FV30" i="6"/>
  <c r="FU43" i="6"/>
  <c r="FP34" i="6"/>
  <c r="FD43" i="6"/>
  <c r="FK40" i="6"/>
  <c r="FR30" i="6"/>
  <c r="FT29" i="6"/>
  <c r="FM34" i="6"/>
  <c r="FV42" i="6"/>
  <c r="FW36" i="6"/>
  <c r="FP38" i="6"/>
  <c r="FM39" i="6"/>
  <c r="FQ39" i="6"/>
  <c r="FW35" i="6"/>
  <c r="FX32" i="6"/>
  <c r="GD28" i="6"/>
  <c r="FK32" i="6"/>
  <c r="FD40" i="6"/>
  <c r="FS33" i="6"/>
  <c r="FW39" i="6"/>
  <c r="FO36" i="6"/>
  <c r="FI32" i="6"/>
  <c r="FO40" i="6"/>
  <c r="FT33" i="6"/>
  <c r="FR34" i="6"/>
  <c r="FQ32" i="6"/>
  <c r="FM32" i="6"/>
  <c r="FS38" i="6"/>
  <c r="FV43" i="6"/>
  <c r="GB28" i="6"/>
  <c r="FX33" i="6"/>
  <c r="FV29" i="6"/>
  <c r="FL38" i="6"/>
  <c r="FG30" i="6"/>
  <c r="FP30" i="6"/>
  <c r="FS29" i="6"/>
  <c r="FT34" i="6"/>
  <c r="FI39" i="6"/>
  <c r="FE42" i="6"/>
  <c r="FV32" i="6"/>
  <c r="FQ40" i="6"/>
  <c r="FP43" i="6"/>
  <c r="FL33" i="6"/>
  <c r="FU33" i="6"/>
  <c r="FE33" i="6"/>
  <c r="FR29" i="6"/>
  <c r="FW43" i="6"/>
  <c r="FJ33" i="6"/>
  <c r="GC28" i="6"/>
  <c r="FM33" i="6"/>
  <c r="FE40" i="6"/>
  <c r="FH29" i="6"/>
  <c r="FW34" i="6"/>
  <c r="FD42" i="6"/>
  <c r="FU39" i="6"/>
  <c r="FG36" i="6"/>
  <c r="GE28" i="6"/>
  <c r="FV40" i="6"/>
  <c r="FM40" i="6"/>
  <c r="FF39" i="6"/>
  <c r="FE32" i="6"/>
  <c r="FR43" i="6"/>
  <c r="FM43" i="6"/>
  <c r="FF30" i="6"/>
  <c r="FX43" i="6"/>
  <c r="FG39" i="6"/>
  <c r="FT30" i="6"/>
  <c r="FK39" i="6"/>
  <c r="FO34" i="6"/>
  <c r="FL42" i="6"/>
  <c r="FE34" i="6"/>
  <c r="FW28" i="6"/>
  <c r="FR40" i="6"/>
  <c r="A17" i="6"/>
  <c r="DC16" i="6"/>
  <c r="C16" i="6"/>
  <c r="DC17" i="6" l="1"/>
  <c r="A18" i="6"/>
  <c r="C17" i="6"/>
  <c r="A19" i="6" l="1"/>
  <c r="DC18" i="6"/>
  <c r="C18" i="6"/>
  <c r="A20" i="6" l="1"/>
  <c r="DC19" i="6"/>
  <c r="C19" i="6"/>
  <c r="DC20" i="6" l="1"/>
  <c r="A21" i="6"/>
  <c r="C20" i="6"/>
  <c r="A22" i="6" l="1"/>
  <c r="DC21" i="6"/>
  <c r="C21" i="6"/>
  <c r="DC22" i="6" l="1"/>
  <c r="A23" i="6"/>
  <c r="C22" i="6"/>
  <c r="A24" i="6" l="1"/>
  <c r="DC23" i="6"/>
  <c r="C23" i="6"/>
  <c r="A25" i="6" l="1"/>
  <c r="DC24" i="6"/>
  <c r="C24" i="6"/>
  <c r="DC25" i="6" l="1"/>
  <c r="A26" i="6"/>
  <c r="C25" i="6"/>
  <c r="DC26" i="6" l="1"/>
  <c r="A27" i="6"/>
  <c r="C26" i="6"/>
  <c r="DC27" i="6" l="1"/>
  <c r="A28" i="6"/>
  <c r="C27" i="6"/>
  <c r="A29" i="6" l="1"/>
  <c r="DC28" i="6"/>
  <c r="C28" i="6"/>
  <c r="A30" i="6" l="1"/>
  <c r="DC29" i="6"/>
  <c r="C29" i="6"/>
  <c r="A31" i="6" l="1"/>
  <c r="DC30" i="6"/>
  <c r="C30" i="6"/>
  <c r="DC31" i="6" l="1"/>
  <c r="A32" i="6"/>
  <c r="C31" i="6"/>
  <c r="A33" i="6" l="1"/>
  <c r="DC32" i="6"/>
  <c r="C32" i="6"/>
  <c r="A34" i="6" l="1"/>
  <c r="DC33" i="6"/>
  <c r="C33" i="6"/>
  <c r="DC34" i="6" l="1"/>
  <c r="A35" i="6"/>
  <c r="C34" i="6"/>
  <c r="A36" i="6" l="1"/>
  <c r="DC35" i="6"/>
  <c r="C35" i="6"/>
  <c r="A37" i="6" l="1"/>
  <c r="DC36" i="6"/>
  <c r="C36" i="6"/>
  <c r="DC37" i="6" l="1"/>
  <c r="A38" i="6"/>
  <c r="C37" i="6"/>
  <c r="DC38" i="6" l="1"/>
  <c r="A39" i="6"/>
  <c r="C38" i="6"/>
  <c r="DC39" i="6" l="1"/>
  <c r="A40" i="6"/>
  <c r="C39" i="6"/>
  <c r="A41" i="6" l="1"/>
  <c r="DC40" i="6"/>
  <c r="C40" i="6"/>
  <c r="A42" i="6" l="1"/>
  <c r="DC41" i="6"/>
  <c r="C41" i="6"/>
  <c r="A43" i="6" l="1"/>
  <c r="DC42" i="6"/>
  <c r="C42" i="6"/>
  <c r="A44" i="6" l="1"/>
  <c r="DC43" i="6"/>
  <c r="C43" i="6"/>
  <c r="A45" i="6" l="1"/>
  <c r="DC44" i="6"/>
  <c r="C44" i="6"/>
  <c r="A46" i="6" l="1"/>
  <c r="DC45" i="6"/>
  <c r="C45" i="6"/>
  <c r="A47" i="6" l="1"/>
  <c r="DC46" i="6"/>
  <c r="C46" i="6"/>
  <c r="A48" i="6" l="1"/>
  <c r="DC47" i="6"/>
  <c r="C47" i="6"/>
  <c r="A49" i="6" l="1"/>
  <c r="DC48" i="6"/>
  <c r="C48" i="6"/>
  <c r="DC49" i="6" l="1"/>
  <c r="A50" i="6"/>
  <c r="C49" i="6"/>
  <c r="DC50" i="6" l="1"/>
  <c r="A51" i="6"/>
  <c r="C50" i="6"/>
  <c r="BF13" i="1" l="1"/>
  <c r="D13" i="1"/>
  <c r="AC13" i="1"/>
  <c r="X13" i="1"/>
  <c r="BH13" i="1"/>
  <c r="M13" i="1"/>
  <c r="BY13" i="1"/>
  <c r="AJ13" i="1"/>
  <c r="BM13" i="1"/>
  <c r="L13" i="1"/>
  <c r="E13" i="1"/>
  <c r="AQ13" i="1"/>
  <c r="BC13" i="1"/>
  <c r="S13" i="1"/>
  <c r="J13" i="1"/>
  <c r="G13" i="1"/>
  <c r="BW13" i="1"/>
  <c r="W13" i="1"/>
  <c r="BK13" i="1"/>
  <c r="BU13" i="1"/>
  <c r="BJ13" i="1"/>
  <c r="BA13" i="1"/>
  <c r="CF13" i="1"/>
  <c r="AL13" i="1"/>
  <c r="Q13" i="1"/>
  <c r="U13" i="1"/>
  <c r="BN13" i="1"/>
  <c r="BQ13" i="1"/>
  <c r="AD13" i="1"/>
  <c r="BD13" i="1"/>
  <c r="BV13" i="1"/>
  <c r="CB13" i="1"/>
  <c r="O13" i="1"/>
  <c r="BE13" i="1"/>
  <c r="F13" i="1"/>
  <c r="AW13" i="1"/>
  <c r="AE13" i="1"/>
  <c r="CD13" i="1"/>
  <c r="BX13" i="1"/>
  <c r="E2" i="1"/>
  <c r="E7" i="1"/>
  <c r="F7" i="1" s="1"/>
  <c r="DC51" i="6"/>
  <c r="A52" i="6"/>
  <c r="Z13" i="1" s="1"/>
  <c r="C51" i="6"/>
  <c r="E4" i="1"/>
  <c r="F4" i="1" s="1"/>
  <c r="E6" i="1"/>
  <c r="F6" i="1" s="1"/>
  <c r="E8" i="1"/>
  <c r="F8" i="1" s="1"/>
  <c r="AR13" i="1" l="1"/>
  <c r="BL13" i="1"/>
  <c r="BG13" i="1"/>
  <c r="BT13" i="1"/>
  <c r="R13" i="1"/>
  <c r="BS13" i="1"/>
  <c r="AX13" i="1"/>
  <c r="BO13" i="1"/>
  <c r="AV13" i="1"/>
  <c r="P13" i="1"/>
  <c r="AH13" i="1"/>
  <c r="N13" i="1"/>
  <c r="AP13" i="1"/>
  <c r="E5" i="1"/>
  <c r="F5" i="1" s="1"/>
  <c r="BI13" i="1"/>
  <c r="AY13" i="1"/>
  <c r="BB13" i="1"/>
  <c r="AI13" i="1"/>
  <c r="CE13" i="1"/>
  <c r="V13" i="1"/>
  <c r="Y13" i="1"/>
  <c r="E3" i="1"/>
  <c r="F3" i="1" s="1"/>
  <c r="G3" i="1" s="1"/>
  <c r="H3" i="1" s="1"/>
  <c r="AS13" i="1"/>
  <c r="K13" i="1"/>
  <c r="CC13" i="1"/>
  <c r="AN13" i="1"/>
  <c r="AM13" i="1"/>
  <c r="AZ13" i="1"/>
  <c r="BR13" i="1"/>
  <c r="AF13" i="1"/>
  <c r="AA13" i="1"/>
  <c r="AB13" i="1"/>
  <c r="BP13" i="1"/>
  <c r="T13" i="1"/>
  <c r="CA13" i="1"/>
  <c r="AK13" i="1"/>
  <c r="H13" i="1"/>
  <c r="I13" i="1"/>
  <c r="AU13" i="1"/>
  <c r="BZ13" i="1"/>
  <c r="AT13" i="1"/>
  <c r="AO13" i="1"/>
  <c r="F2" i="1"/>
  <c r="G2" i="1" s="1"/>
  <c r="H2" i="1" s="1"/>
  <c r="G8" i="1"/>
  <c r="H8" i="1" s="1"/>
  <c r="G4" i="1"/>
  <c r="H4" i="1" s="1"/>
  <c r="G5" i="1"/>
  <c r="H5" i="1" s="1"/>
  <c r="G6" i="1"/>
  <c r="H6" i="1" s="1"/>
  <c r="G7" i="1"/>
  <c r="H7" i="1" s="1"/>
  <c r="A53" i="6"/>
  <c r="DC52" i="6"/>
  <c r="C52" i="6"/>
  <c r="DC53" i="6" l="1"/>
  <c r="A54" i="6"/>
  <c r="C53" i="6"/>
  <c r="A55" i="6" l="1"/>
  <c r="DC54" i="6"/>
  <c r="C54" i="6"/>
  <c r="A56" i="6" l="1"/>
  <c r="DC55" i="6"/>
  <c r="C55" i="6"/>
  <c r="A57" i="6" l="1"/>
  <c r="A58" i="6" s="1"/>
  <c r="DC56" i="6"/>
  <c r="C56" i="6"/>
  <c r="DC57" i="6" l="1"/>
  <c r="C57" i="6"/>
  <c r="A59" i="6" l="1"/>
  <c r="DC58" i="6"/>
  <c r="C58" i="6"/>
  <c r="A60" i="6" l="1"/>
  <c r="DC59" i="6"/>
  <c r="C59" i="6"/>
  <c r="DC60" i="6" l="1"/>
  <c r="A61" i="6"/>
  <c r="C60" i="6"/>
  <c r="DC61" i="6" l="1"/>
  <c r="A62" i="6"/>
  <c r="C61" i="6"/>
  <c r="DC62" i="6" l="1"/>
  <c r="A63" i="6"/>
  <c r="C62" i="6"/>
  <c r="DC63" i="6" l="1"/>
  <c r="C63" i="6"/>
  <c r="A66" i="6" l="1"/>
  <c r="DC66" i="6" l="1"/>
  <c r="A67" i="6"/>
  <c r="C66" i="6"/>
  <c r="A68" i="6" l="1"/>
  <c r="DC67" i="6"/>
  <c r="C67" i="6"/>
  <c r="A69" i="6" l="1"/>
  <c r="DC68" i="6"/>
  <c r="C68" i="6"/>
  <c r="DC69" i="6" l="1"/>
  <c r="A70" i="6"/>
  <c r="C69" i="6"/>
  <c r="A71" i="6" l="1"/>
  <c r="DC70" i="6"/>
  <c r="C70" i="6"/>
  <c r="C71" i="6" l="1"/>
  <c r="DC71" i="6"/>
  <c r="A72" i="6"/>
  <c r="DC72" i="6" l="1"/>
  <c r="C72" i="6"/>
  <c r="A73" i="6"/>
  <c r="DC73" i="6" l="1"/>
  <c r="C73" i="6"/>
  <c r="A74" i="6"/>
  <c r="DC74" i="6" l="1"/>
  <c r="C74" i="6"/>
  <c r="A75" i="6"/>
  <c r="C75" i="6" l="1"/>
  <c r="DC75" i="6"/>
  <c r="A76" i="6"/>
  <c r="DC76" i="6" l="1"/>
  <c r="C76" i="6"/>
  <c r="A77" i="6"/>
  <c r="C77" i="6" l="1"/>
  <c r="DC77" i="6"/>
  <c r="A79" i="6" l="1"/>
  <c r="A80" i="6" s="1"/>
  <c r="DC80" i="6" l="1"/>
  <c r="C80" i="6"/>
  <c r="A81" i="6"/>
  <c r="C81" i="6"/>
  <c r="DC81" i="6"/>
  <c r="DC79" i="6"/>
  <c r="C79" i="6"/>
  <c r="C82" i="6" l="1"/>
  <c r="DC82" i="6"/>
  <c r="A82" i="6"/>
  <c r="DC83" i="6" l="1"/>
  <c r="C83" i="6"/>
  <c r="A83" i="6"/>
  <c r="C84" i="6" l="1"/>
  <c r="DC84" i="6"/>
  <c r="A84" i="6"/>
  <c r="A85" i="6" l="1"/>
  <c r="DC85" i="6"/>
  <c r="C85" i="6"/>
  <c r="DC86" i="6" l="1"/>
  <c r="A86" i="6"/>
  <c r="C86" i="6"/>
  <c r="A87" i="6" l="1"/>
  <c r="DC87" i="6" l="1"/>
  <c r="A88" i="6"/>
  <c r="C87" i="6"/>
  <c r="A89" i="6" l="1"/>
  <c r="DC88" i="6"/>
  <c r="C88" i="6"/>
  <c r="A90" i="6" l="1"/>
  <c r="DC89" i="6"/>
  <c r="C89" i="6"/>
  <c r="A91" i="6" l="1"/>
  <c r="DC90" i="6"/>
  <c r="C90" i="6"/>
  <c r="A92" i="6" l="1"/>
  <c r="DC91" i="6"/>
  <c r="C91" i="6"/>
  <c r="A93" i="6" l="1"/>
  <c r="DC92" i="6"/>
  <c r="C92" i="6"/>
  <c r="A94" i="6" l="1"/>
  <c r="DC93" i="6"/>
  <c r="C93" i="6"/>
  <c r="DC94" i="6" l="1"/>
  <c r="A95" i="6"/>
  <c r="C94" i="6"/>
  <c r="A96" i="6" l="1"/>
  <c r="DC95" i="6"/>
  <c r="C95" i="6"/>
  <c r="A97" i="6" l="1"/>
  <c r="DC96" i="6"/>
  <c r="C96" i="6"/>
  <c r="DC97" i="6" l="1"/>
  <c r="A98" i="6"/>
  <c r="C97" i="6"/>
  <c r="DC98" i="6" l="1"/>
  <c r="A99" i="6"/>
  <c r="C98" i="6"/>
  <c r="DC99" i="6" l="1"/>
  <c r="A100" i="6"/>
  <c r="C99" i="6"/>
  <c r="A101" i="6" l="1"/>
  <c r="DC100" i="6"/>
  <c r="C100" i="6"/>
  <c r="DC101" i="6" l="1"/>
  <c r="A102" i="6"/>
  <c r="C101" i="6"/>
  <c r="DC102" i="6" l="1"/>
  <c r="C102" i="6"/>
  <c r="EL45" i="6" l="1"/>
  <c r="EK45" i="6"/>
  <c r="EI45" i="6" l="1"/>
  <c r="EO45" i="6" s="1"/>
  <c r="EN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Hartley</author>
    <author>laser-sizer</author>
  </authors>
  <commentList>
    <comment ref="AH1" authorId="0" shapeId="0" xr:uid="{353BE6B8-1409-499B-904F-F4A585AD9E3E}">
      <text>
        <r>
          <rPr>
            <b/>
            <sz val="9"/>
            <color indexed="81"/>
            <rFont val="Tahoma"/>
            <family val="2"/>
          </rPr>
          <t xml:space="preserve">Enter units and select in cell B4
</t>
        </r>
      </text>
    </comment>
    <comment ref="A13" authorId="0" shapeId="0" xr:uid="{4D709E2A-6C49-4C97-BD12-0175427B7B41}">
      <text>
        <r>
          <rPr>
            <b/>
            <sz val="14"/>
            <color indexed="81"/>
            <rFont val="Tahoma"/>
            <family val="2"/>
          </rPr>
          <t>Sample label can be any combination of letters, numbers or symbols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13" authorId="0" shapeId="0" xr:uid="{79996C0F-3461-40EC-8FD6-AED2C5F473F8}">
      <text>
        <r>
          <rPr>
            <b/>
            <sz val="14"/>
            <color indexed="81"/>
            <rFont val="Tahoma"/>
            <family val="2"/>
          </rPr>
          <t xml:space="preserve">Quick labels might be simply "1, 2, 3," to save labelling beaker with 'complicated' labels
Also used to denote a sieve tare set (1 or 2)
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C13" authorId="1" shapeId="0" xr:uid="{80499258-3DDD-40DA-BF69-E5CC6735F34A}">
      <text>
        <r>
          <rPr>
            <b/>
            <sz val="14"/>
            <color indexed="81"/>
            <rFont val="Tahoma"/>
            <family val="2"/>
          </rPr>
          <t>general notes. Also used to denote which tare values to subtract if sieving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Hartley</author>
  </authors>
  <commentList>
    <comment ref="E5" authorId="0" shapeId="0" xr:uid="{BE1B98BB-2BA1-4C49-8A19-23B4F40C7088}">
      <text>
        <r>
          <rPr>
            <sz val="9"/>
            <color indexed="81"/>
            <rFont val="Tahoma"/>
            <family val="2"/>
          </rPr>
          <t>Sess1 starts with wt1</t>
        </r>
      </text>
    </comment>
    <comment ref="F5" authorId="0" shapeId="0" xr:uid="{C858DAD6-B5B0-458F-82F0-DA52C4A796F1}">
      <text>
        <r>
          <rPr>
            <b/>
            <sz val="9"/>
            <color indexed="81"/>
            <rFont val="Tahoma"/>
            <family val="2"/>
          </rPr>
          <t>Sess2</t>
        </r>
        <r>
          <rPr>
            <sz val="9"/>
            <color indexed="81"/>
            <rFont val="Tahoma"/>
            <family val="2"/>
          </rPr>
          <t xml:space="preserve"> starts with </t>
        </r>
        <r>
          <rPr>
            <b/>
            <sz val="9"/>
            <color indexed="81"/>
            <rFont val="Tahoma"/>
            <family val="2"/>
          </rPr>
          <t>wt3</t>
        </r>
      </text>
    </comment>
    <comment ref="EQ12" authorId="0" shapeId="0" xr:uid="{78E3A5F5-E443-498B-936E-F39D6CD8D174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5 loss x 1.3636 to account for co2
</t>
        </r>
      </text>
    </comment>
    <comment ref="ET13" authorId="0" shapeId="0" xr:uid="{816EE36C-DD43-4AF2-A202-53694A59E341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these extra % just as percent of last initial wt and not compensated by 1.3636
</t>
        </r>
      </text>
    </comment>
    <comment ref="EN18" authorId="0" shapeId="0" xr:uid="{3D1F450B-FDAE-458F-A702-006FA5D0466F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5 loss x 1.3636 to account for co2
</t>
        </r>
      </text>
    </comment>
    <comment ref="EN20" authorId="0" shapeId="0" xr:uid="{C89981AF-F200-40B6-B030-A2CE90A6990D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5 loss x 1.3636 to account for co2
</t>
        </r>
      </text>
    </comment>
    <comment ref="EM23" authorId="0" shapeId="0" xr:uid="{A0231A95-24A2-42AD-A787-9E2EA0F73DA0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no 1.3636 applied
</t>
        </r>
      </text>
    </comment>
    <comment ref="EM25" authorId="0" shapeId="0" xr:uid="{F9001652-055B-4A14-B03E-A49884AE61A6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no 1.3636 applied
</t>
        </r>
      </text>
    </comment>
    <comment ref="CC26" authorId="0" shapeId="0" xr:uid="{F4833469-0C03-451F-B10A-6A06E196C504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correct column position for laser sizer input</t>
        </r>
      </text>
    </comment>
    <comment ref="DF26" authorId="0" shapeId="0" xr:uid="{6D027F8E-9EFB-4894-AD71-874D684CDE93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search for 1st label =tare and if so then and &gt; 0 then subtract 1st row from this col weight</t>
        </r>
      </text>
    </comment>
    <comment ref="FG26" authorId="0" shapeId="0" xr:uid="{BF0D728C-9F9A-4C27-A551-6997BE0256F3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correct column position for laser sizer input</t>
        </r>
      </text>
    </comment>
    <comment ref="DE27" authorId="0" shapeId="0" xr:uid="{E2DF1CDF-5F2A-4CDE-A318-68892D00B346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search for 1st label =tare and if so then and &gt; 0 then subtract 1st row from this col weight</t>
        </r>
      </text>
    </comment>
    <comment ref="BD47" authorId="0" shapeId="0" xr:uid="{1F49007C-CAF6-4FA8-ACF8-EB1B186FF546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Add in CORR check for filter correction factos</t>
        </r>
      </text>
    </comment>
    <comment ref="BD55" authorId="0" shapeId="0" xr:uid="{2F0A3300-784A-4DA8-BF71-AABBB74BA42B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add check for TARE</t>
        </r>
      </text>
    </comment>
    <comment ref="B78" authorId="0" shapeId="0" xr:uid="{D32A63F1-DC11-4133-AE32-C67BD70B0E3A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put bag into tray on tared balance. Bag and tray weights from averaged values. Then empty bag into tray and dry and carry on as usual</t>
        </r>
      </text>
    </comment>
    <comment ref="EH78" authorId="0" shapeId="0" xr:uid="{738B3B79-DE60-4948-8634-7507F93286D5}">
      <text>
        <r>
          <rPr>
            <b/>
            <sz val="9"/>
            <color indexed="81"/>
            <rFont val="Tahoma"/>
            <family val="2"/>
          </rPr>
          <t>average wt 50 bags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6x9 = 3.35078
5x7= 3.10062</t>
        </r>
      </text>
    </comment>
    <comment ref="EI78" authorId="0" shapeId="0" xr:uid="{CA298FF7-4A62-4BB6-9076-B9D26D4CBAC2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</text>
    </comment>
    <comment ref="EH79" authorId="0" shapeId="0" xr:uid="{7ED637E3-CDBD-43D6-A7BB-33661AF7238F}">
      <text>
        <r>
          <rPr>
            <b/>
            <sz val="9"/>
            <color indexed="81"/>
            <rFont val="Tahoma"/>
            <family val="2"/>
          </rPr>
          <t>average wt 50 bags
6x9 = 3.35078
5x7= 3.10062</t>
        </r>
      </text>
    </comment>
    <comment ref="EI79" authorId="0" shapeId="0" xr:uid="{D3BB2ABB-9386-4E10-8E71-F49B6E5BC0DA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</text>
    </comment>
    <comment ref="B80" authorId="0" shapeId="0" xr:uid="{2EDB125E-550A-4CFC-A1D9-E057720D568A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put bag into tray on tared balance. Bag and tray weights from averaged values. Then empty bag into tray and dry and carry on as usual</t>
        </r>
      </text>
    </comment>
    <comment ref="EH80" authorId="0" shapeId="0" xr:uid="{E76F8B9B-8F17-43FA-BADE-95A9CAD97FBC}">
      <text>
        <r>
          <rPr>
            <b/>
            <sz val="9"/>
            <color indexed="81"/>
            <rFont val="Tahoma"/>
            <family val="2"/>
          </rPr>
          <t>average wt 50 bags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6x9 = 3.35078
5x7= 3.10062</t>
        </r>
      </text>
    </comment>
    <comment ref="EI80" authorId="0" shapeId="0" xr:uid="{178DEA44-357B-4266-8E19-1419C7E64DA1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</text>
    </comment>
    <comment ref="EH81" authorId="0" shapeId="0" xr:uid="{0D902976-0793-4313-BDA1-FE842F2AAAA0}">
      <text>
        <r>
          <rPr>
            <b/>
            <sz val="9"/>
            <color indexed="81"/>
            <rFont val="Tahoma"/>
            <family val="2"/>
          </rPr>
          <t>average wt 50 bags
6x9 = 3.35078
5x7= 3.10062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81" authorId="0" shapeId="0" xr:uid="{C684FF52-4793-47D4-B049-6AA2181C2E0D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J81" authorId="0" shapeId="0" xr:uid="{012DE41A-9A11-40A7-97DC-5D5CA5FB4649}">
      <text>
        <r>
          <rPr>
            <b/>
            <sz val="9"/>
            <color indexed="81"/>
            <rFont val="Tahoma"/>
            <family val="2"/>
          </rPr>
          <t>Edit core volume
Labcell 248.82
UK pitman 219.34
US pitman 68.20
fixed vol hand 192.42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V85" authorId="0" shapeId="0" xr:uid="{61D97CE8-8B89-4E95-8477-BC76D6F9BDDA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paint wt1</t>
        </r>
      </text>
    </comment>
    <comment ref="DW85" authorId="0" shapeId="0" xr:uid="{0AAF5297-F85E-4625-A4EE-846A79F239A9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paint wt2</t>
        </r>
      </text>
    </comment>
    <comment ref="DX85" authorId="0" shapeId="0" xr:uid="{86A8D0F2-39A0-45AD-ADEE-C6E2B2C86A3C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paint wt2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<sst xmlns="http://schemas.openxmlformats.org/spreadsheetml/2006/main" count="2298" uniqueCount="986">
  <si>
    <t>Channels</t>
  </si>
  <si>
    <t>Data Source Id</t>
  </si>
  <si>
    <t>Data Interval (ms)</t>
  </si>
  <si>
    <t>Baud Rate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</si>
  <si>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</si>
  <si>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</si>
  <si>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</si>
  <si>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</si>
  <si>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</si>
  <si>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</si>
  <si>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</si>
  <si>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</si>
  <si>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</si>
  <si>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</si>
  <si>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</si>
  <si>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</si>
  <si>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</si>
  <si>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</si>
  <si>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</si>
  <si>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</si>
  <si>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</si>
  <si>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</si>
  <si>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</si>
  <si>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</si>
  <si>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</si>
  <si>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</si>
  <si>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</si>
  <si>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</si>
  <si>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</si>
  <si>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</si>
  <si>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</si>
  <si>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</si>
  <si>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</si>
  <si>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</si>
  <si>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Session</t>
  </si>
  <si>
    <t>Wts from</t>
  </si>
  <si>
    <t>Wts to</t>
  </si>
  <si>
    <t>Direction</t>
  </si>
  <si>
    <t>Done?</t>
  </si>
  <si>
    <t>Down</t>
  </si>
  <si>
    <t>Right</t>
  </si>
  <si>
    <t>Left</t>
  </si>
  <si>
    <t>Up</t>
  </si>
  <si>
    <t>Data to row</t>
  </si>
  <si>
    <t>Wt 1</t>
  </si>
  <si>
    <t>Wt 2</t>
  </si>
  <si>
    <t>Wt 3</t>
  </si>
  <si>
    <t>Wt 4</t>
  </si>
  <si>
    <t>Wt 5</t>
  </si>
  <si>
    <t>Wt 6</t>
  </si>
  <si>
    <t>Wt 7</t>
  </si>
  <si>
    <t>Wt 8</t>
  </si>
  <si>
    <t>Wt 9</t>
  </si>
  <si>
    <t>Wt 10</t>
  </si>
  <si>
    <t>Wt 11</t>
  </si>
  <si>
    <t>Wt 12</t>
  </si>
  <si>
    <t>Wt 13</t>
  </si>
  <si>
    <t>Wt 14</t>
  </si>
  <si>
    <t>Wt 15</t>
  </si>
  <si>
    <t>Wt 16</t>
  </si>
  <si>
    <t>Wt 17</t>
  </si>
  <si>
    <t>Wt 18</t>
  </si>
  <si>
    <t>Wt 19</t>
  </si>
  <si>
    <t>Wt 20</t>
  </si>
  <si>
    <t>Wt 21</t>
  </si>
  <si>
    <t>Wt 22</t>
  </si>
  <si>
    <t>Wt 23</t>
  </si>
  <si>
    <t>Wt 24</t>
  </si>
  <si>
    <t>Wt 25</t>
  </si>
  <si>
    <t>Last session</t>
  </si>
  <si>
    <t>Current time</t>
  </si>
  <si>
    <t>Time last value</t>
  </si>
  <si>
    <t>Last value</t>
  </si>
  <si>
    <t>Historical Data</t>
  </si>
  <si>
    <t>Sample</t>
  </si>
  <si>
    <t>Name / description</t>
  </si>
  <si>
    <t>setup #</t>
  </si>
  <si>
    <t>Calculations</t>
  </si>
  <si>
    <t>weigh 1 » weigh 2 (together) &gt; then later weigh 3</t>
  </si>
  <si>
    <t>Setup</t>
  </si>
  <si>
    <t>Title</t>
  </si>
  <si>
    <t>input column count</t>
  </si>
  <si>
    <t>Wt 26</t>
  </si>
  <si>
    <t>Wt 27</t>
  </si>
  <si>
    <t>Wt 28</t>
  </si>
  <si>
    <t>Wt 29</t>
  </si>
  <si>
    <t>Wt 30</t>
  </si>
  <si>
    <t>Sessions</t>
  </si>
  <si>
    <t>Session - which columns to start in per session</t>
  </si>
  <si>
    <t>soil moist \ organic@550 \ CaCO3@950 \ ? (empty» wet &gt; dry &gt; LOI &gt; CO3 &gt; burn 3)</t>
  </si>
  <si>
    <t xml:space="preserve">PSA dry sieve (whole-phi): 32 - 0.125mm + pan general                      </t>
  </si>
  <si>
    <t>PSA wet siv (phi): MT » MT+dry samp » MT_beakers 32 - 0.063mm &gt; dry beakers</t>
  </si>
  <si>
    <t>Suspended sediment: filter » vessel » vessel+water » vol added &gt; dry filter+sed</t>
  </si>
  <si>
    <t>Gravimetric CaCO3 content: MT flask » with sed &gt; final weight after 1 hour</t>
  </si>
  <si>
    <t>Plastic limits: MT V1 »V2 »V3 &gt; wet V1 »V2 »V3 &gt; dry V1 » V2 » V3</t>
  </si>
  <si>
    <t>Liquid limits : MT V1 » V2» V3» V4 &gt; wet V1» V2» V3» V4 &gt; dry V1» V2» V3» V4</t>
  </si>
  <si>
    <t xml:space="preserve">Full spec gravity w/ bottles: MT &gt; dry+soil &gt; soil+full w/ water &gt; +water  </t>
  </si>
  <si>
    <t>Quik spec grav w/ volumetric flsk: 100ml volumetric » +soil &gt; 100+full</t>
  </si>
  <si>
    <t>soil mositure then organic matter   (empty &gt; wet &gt; dry &gt; burnt)</t>
  </si>
  <si>
    <t>soil moisture \ organic@550\ CaCO3@950 (empty &gt; wet &gt; dry &gt; LOI &gt; CO3)</t>
  </si>
  <si>
    <t>soil moist \ organic@550 \ CaCO3@950 \ ? (empty &gt; wet &gt; dry &gt; LOI &gt; CO3 &gt; brn3)</t>
  </si>
  <si>
    <t xml:space="preserve">organic matter    (empty &gt; full &gt; burnt) </t>
  </si>
  <si>
    <t>CaCO3 @ 950 (one burn)   (empty &gt; full &gt; CO3)</t>
  </si>
  <si>
    <t>CaCO3 @ 950 \ further burn @ ? (two burns) (empty &gt; full &gt; burn 1 &gt; burn 2)</t>
  </si>
  <si>
    <t xml:space="preserve">Organic \ CaCO3 (empty &gt; full &gt; OM burn &gt; CO3)  </t>
  </si>
  <si>
    <t>Organic \ CaCO3 \ 3rd burn @ ? (empty &gt; full &gt; OM &gt; CO3 &gt; 3rd burn)</t>
  </si>
  <si>
    <t xml:space="preserve">Aggregate size distribution 16mm - 2.8mm + pan                             </t>
  </si>
  <si>
    <t>Diatom sampling with moisture correction (MPT1» diatom » MPT2»wet &gt; dry)</t>
  </si>
  <si>
    <t>Lab permeameter oven dry Db and stone content: dry &gt; ring &gt; stones</t>
  </si>
  <si>
    <t xml:space="preserve">Stone content 1: oven-dry WHOLE sample &gt;  &gt;2mm stones </t>
  </si>
  <si>
    <t>Stone content 2: oven-dry &gt;2mm stones » &lt;2mm fine earth</t>
  </si>
  <si>
    <t xml:space="preserve">PSA dry sieve : 1.4-0.063mm + pan general @ half-phi                       </t>
  </si>
  <si>
    <t xml:space="preserve">PSA dry sieve 32mm - 0.71mm @ 1/4 phi intervals                            </t>
  </si>
  <si>
    <t xml:space="preserve">PSA dry sieve 32mm - 1mm @ 1/4 phi intervals                               </t>
  </si>
  <si>
    <t xml:space="preserve">PSA dry sieve 128mm - 1.4mm @ 1/2 phi intervals                            </t>
  </si>
  <si>
    <t xml:space="preserve">PSA dry sieve 16-1mm @ 1/2 phi                                             </t>
  </si>
  <si>
    <t xml:space="preserve">PSA dry sieve 16mm - 1mm @ 1/4 phi intervals                               </t>
  </si>
  <si>
    <t xml:space="preserve">PSA dry sieve 16-1.4mm +pan @ 1/2 phi                                      </t>
  </si>
  <si>
    <t xml:space="preserve">PSA dry sieve 8-1mm + pan @ 1/2 phi                                        </t>
  </si>
  <si>
    <t xml:space="preserve">psa DRY SIEVE 4-0.063MM + PAN SANDS @ WHOLE PHI                            </t>
  </si>
  <si>
    <t xml:space="preserve">PSA dry sieve 16-1mm @ whole phi                                            </t>
  </si>
  <si>
    <t>IKmpsep @1mm 125um</t>
  </si>
  <si>
    <t>IK wet subsamples syr-sry+sed-vol-smsamp</t>
  </si>
  <si>
    <t>Weight g</t>
  </si>
  <si>
    <t>Weight 1</t>
  </si>
  <si>
    <t>Weight 2</t>
  </si>
  <si>
    <t>Weight 3</t>
  </si>
  <si>
    <t>Weight 4</t>
  </si>
  <si>
    <t>Wet</t>
  </si>
  <si>
    <t>Dry</t>
  </si>
  <si>
    <t>Tin/ring</t>
  </si>
  <si>
    <t>Empty</t>
  </si>
  <si>
    <t>with wet</t>
  </si>
  <si>
    <t>with dry</t>
  </si>
  <si>
    <t>oven dry</t>
  </si>
  <si>
    <t>burnt</t>
  </si>
  <si>
    <t>OM @550</t>
  </si>
  <si>
    <t>CaCO3 @950</t>
  </si>
  <si>
    <t>burn 2</t>
  </si>
  <si>
    <t>OM burnt</t>
  </si>
  <si>
    <t>with sample</t>
  </si>
  <si>
    <t>burn 3</t>
  </si>
  <si>
    <t>Empty 100ml</t>
  </si>
  <si>
    <t>Empty 250ml</t>
  </si>
  <si>
    <t>100ml + soil</t>
  </si>
  <si>
    <t>250ml + soil</t>
  </si>
  <si>
    <t>dry100 +soil</t>
  </si>
  <si>
    <t>dry250 +aggs</t>
  </si>
  <si>
    <t>dry250 +rock</t>
  </si>
  <si>
    <t>32mm</t>
  </si>
  <si>
    <t>16mm</t>
  </si>
  <si>
    <t>8mm</t>
  </si>
  <si>
    <t>5.6mm</t>
  </si>
  <si>
    <t>4mm</t>
  </si>
  <si>
    <t>2.8mm</t>
  </si>
  <si>
    <t>pan</t>
  </si>
  <si>
    <t>16.0mm</t>
  </si>
  <si>
    <t>8.0mm</t>
  </si>
  <si>
    <t>4.0mm</t>
  </si>
  <si>
    <t>2.0mm</t>
  </si>
  <si>
    <t>11.2mm</t>
  </si>
  <si>
    <t>32.0mm</t>
  </si>
  <si>
    <t>1.0mm</t>
  </si>
  <si>
    <t>0.5mm</t>
  </si>
  <si>
    <t>0.25mm</t>
  </si>
  <si>
    <t>0.125mm</t>
  </si>
  <si>
    <t>Beaker</t>
  </si>
  <si>
    <t xml:space="preserve"> with oven dry</t>
  </si>
  <si>
    <t>0.063mm</t>
  </si>
  <si>
    <t>Filter</t>
  </si>
  <si>
    <t>Vessel</t>
  </si>
  <si>
    <t>Vessel+water</t>
  </si>
  <si>
    <t>mls added</t>
  </si>
  <si>
    <t>Filter+sed</t>
  </si>
  <si>
    <t>Flask</t>
  </si>
  <si>
    <t>Flask + sed</t>
  </si>
  <si>
    <t>Flask - 1hr</t>
  </si>
  <si>
    <t>Empty V1</t>
  </si>
  <si>
    <t>Empty V2</t>
  </si>
  <si>
    <t>Empty V3</t>
  </si>
  <si>
    <t>V1 + sample</t>
  </si>
  <si>
    <t>V2 + sample</t>
  </si>
  <si>
    <t>V3 + sample</t>
  </si>
  <si>
    <t>Dry V1+samp</t>
  </si>
  <si>
    <t>Dry V2+samp</t>
  </si>
  <si>
    <t>Dry V3+samp</t>
  </si>
  <si>
    <t>MT V1</t>
  </si>
  <si>
    <t>MT V2</t>
  </si>
  <si>
    <t>MT V3</t>
  </si>
  <si>
    <t>MT V4</t>
  </si>
  <si>
    <t>V1 + sed</t>
  </si>
  <si>
    <t>V2 + sed</t>
  </si>
  <si>
    <t>V3 + sed</t>
  </si>
  <si>
    <t>V4 + sed</t>
  </si>
  <si>
    <t>Dry V1+sed</t>
  </si>
  <si>
    <t>Dry V2+sed</t>
  </si>
  <si>
    <t>Dry V3+sed</t>
  </si>
  <si>
    <t>Dry V4+sed</t>
  </si>
  <si>
    <t>soil+full</t>
  </si>
  <si>
    <t>100ml volum</t>
  </si>
  <si>
    <t>100ml +soil</t>
  </si>
  <si>
    <t>100ml full</t>
  </si>
  <si>
    <t>CaCO3 burn2</t>
  </si>
  <si>
    <t>diatom recep.</t>
  </si>
  <si>
    <t>recep + sample</t>
  </si>
  <si>
    <t>moistr recep.</t>
  </si>
  <si>
    <t>recep + wet sample</t>
  </si>
  <si>
    <t>recep + dry sample</t>
  </si>
  <si>
    <t>Oven dry</t>
  </si>
  <si>
    <t>Metal ring</t>
  </si>
  <si>
    <t>Stones &gt;2mm</t>
  </si>
  <si>
    <t>&gt;2mm stones</t>
  </si>
  <si>
    <t>Total sample</t>
  </si>
  <si>
    <t>&lt;2mm fines</t>
  </si>
  <si>
    <t>wt beaker</t>
  </si>
  <si>
    <t>bkr+runoff</t>
  </si>
  <si>
    <t>bkr+dry sed</t>
  </si>
  <si>
    <t>MT&gt;2mm</t>
  </si>
  <si>
    <t>MT&lt;2mm</t>
  </si>
  <si>
    <t>+ &gt;2mm</t>
  </si>
  <si>
    <t>+ &lt;2mm</t>
  </si>
  <si>
    <t>empty &lt;1mm</t>
  </si>
  <si>
    <t>dry &lt;1mm</t>
  </si>
  <si>
    <t>1.4mm</t>
  </si>
  <si>
    <t>1mm(pan)</t>
  </si>
  <si>
    <t>1mm</t>
  </si>
  <si>
    <t>710um</t>
  </si>
  <si>
    <t>500um</t>
  </si>
  <si>
    <t>355um</t>
  </si>
  <si>
    <t>250um</t>
  </si>
  <si>
    <t>180um</t>
  </si>
  <si>
    <t>125um</t>
  </si>
  <si>
    <t>90um</t>
  </si>
  <si>
    <t>63um</t>
  </si>
  <si>
    <t>4.75mm</t>
  </si>
  <si>
    <t>2.36mm</t>
  </si>
  <si>
    <t>2mm</t>
  </si>
  <si>
    <t>0.71mm</t>
  </si>
  <si>
    <t>13.2mm</t>
  </si>
  <si>
    <t>9.5mm</t>
  </si>
  <si>
    <t>6.7mm</t>
  </si>
  <si>
    <t>3.35mm</t>
  </si>
  <si>
    <t>1.6mm</t>
  </si>
  <si>
    <t>1.18mm</t>
  </si>
  <si>
    <t>128mm</t>
  </si>
  <si>
    <t>90.5mm</t>
  </si>
  <si>
    <t>64mm</t>
  </si>
  <si>
    <t>45mm</t>
  </si>
  <si>
    <t>22.6mm</t>
  </si>
  <si>
    <t>11.3mm</t>
  </si>
  <si>
    <t>Init wt</t>
  </si>
  <si>
    <t>Wt</t>
  </si>
  <si>
    <t>A</t>
  </si>
  <si>
    <t>B</t>
  </si>
  <si>
    <t>C</t>
  </si>
  <si>
    <t>mt&gt;1mm</t>
  </si>
  <si>
    <t>mt&gt;125um</t>
  </si>
  <si>
    <t>dry&gt;1mm</t>
  </si>
  <si>
    <t>dry&gt;125um</t>
  </si>
  <si>
    <t>SYRINGE</t>
  </si>
  <si>
    <t>SYR+SED</t>
  </si>
  <si>
    <t>VOL</t>
  </si>
  <si>
    <t>SM SAMP</t>
  </si>
  <si>
    <t xml:space="preserve">suspend sed by evap - 1: bkr &gt; bkr+runoff &gt; bkr+dry sed                    </t>
  </si>
  <si>
    <t xml:space="preserve">suspend sed by evap - 2: bkr » bkr+runoff &gt; bkr+dry sed                    </t>
  </si>
  <si>
    <t xml:space="preserve">MT &gt;&amp;&lt; 2mm beakers &gt; dry reweigh &gt;&amp;&lt; 2mm material                   </t>
  </si>
  <si>
    <t xml:space="preserve">PSA gritty mud: MT&lt;1mm &gt; dry sv 32/16-1.4mm @ half-phi  &gt;  &lt;1mm dry (CEFAS)   </t>
  </si>
  <si>
    <t xml:space="preserve">Initial weights » then dry sieve 8-1mm + pan @ 1/2 phi                        </t>
  </si>
  <si>
    <t>+ dry soil</t>
  </si>
  <si>
    <t>+ water</t>
  </si>
  <si>
    <t>one-off 'single list' weighing</t>
  </si>
  <si>
    <t>weigh 1 &gt; then weigh 2 » weigh 3 (2&amp;3 together later)</t>
  </si>
  <si>
    <t>soil moisture (weigh wet &gt; weigh dry &gt; weigh soil tin)</t>
  </si>
  <si>
    <t>soil mositure then organic matter @550  (empty»wet &gt; dry &gt; burnt)</t>
  </si>
  <si>
    <t>soil moisture \ organic@550\ CaCO3@950 (empty» wet &gt; dry &gt; LOI &gt; CO3)</t>
  </si>
  <si>
    <t>CaCO3 @ 950 \ further burn @  (two burns) (empty» full &gt; CaCO3 &gt; burn 2)</t>
  </si>
  <si>
    <t>Organic \ CaCO3 (empty» full &gt; OM burn &gt; CaCO3)</t>
  </si>
  <si>
    <t>Organic \ CaCO3 \ 3rd burn @  (empty» full &gt; OM burn &gt; CaCO3[1] &gt; burn 3)</t>
  </si>
  <si>
    <t>WSA : MT_100 &gt; MT_250 &gt; wet+100 &gt; soil+250 &gt; dry+100 &gt; dry+250 &gt; rock+250</t>
  </si>
  <si>
    <t>WSA WITHOUT moisture compensation: MT_250» soil+250 &gt; dry+250 &gt; rock+250</t>
  </si>
  <si>
    <t>weigh 1 &gt; weigh 2 &gt; weigh 3 &gt; weigh 4 &gt; weigh 5 &gt; weigh 6</t>
  </si>
  <si>
    <t>Weight 5</t>
  </si>
  <si>
    <t>Weight 6</t>
  </si>
  <si>
    <t>organic matter    (empty » full &gt; burnt)</t>
  </si>
  <si>
    <t>CaCO3 @ 950 (one burn) (empty » full &gt; burnt)</t>
  </si>
  <si>
    <t>soil moisture sub-sample in  empty phial (empty»wet &gt; dry)</t>
  </si>
  <si>
    <t>PSA WET gritty mud: MT&lt;1mm &gt;  &lt;1mm dry &gt; dry siv 32-1mm @ half-phi (CEFAS)</t>
  </si>
  <si>
    <t xml:space="preserve">PSA dry sieve 32mm - 1mm @ 1/2 phi intervals                               </t>
  </si>
  <si>
    <t>22.4mm</t>
  </si>
  <si>
    <t>PSA dry sieve 32-8@ 1-phi then 1/2-phi below 8mm 32 - 2mm + pan</t>
  </si>
  <si>
    <t xml:space="preserve">PSA dry sieve 16mm-2mm @ 1/2-phi + pan    </t>
  </si>
  <si>
    <t>conditional formatting is set for most of these cells. Some have checks on &lt;0 values = red cell</t>
  </si>
  <si>
    <t>Dummy calculation data</t>
  </si>
  <si>
    <t>Calc 1</t>
  </si>
  <si>
    <t>Calc 2</t>
  </si>
  <si>
    <t>Calc 3</t>
  </si>
  <si>
    <t>Calc 4</t>
  </si>
  <si>
    <t>Calc 5</t>
  </si>
  <si>
    <t>Calc 6</t>
  </si>
  <si>
    <t>Calc 7</t>
  </si>
  <si>
    <t>Calc 8</t>
  </si>
  <si>
    <t>Calc 9</t>
  </si>
  <si>
    <t>Calc 10</t>
  </si>
  <si>
    <t>Calc 11</t>
  </si>
  <si>
    <t>Calc 12</t>
  </si>
  <si>
    <t>Calc 13</t>
  </si>
  <si>
    <t>Calc 14</t>
  </si>
  <si>
    <t>Calc 15</t>
  </si>
  <si>
    <t>Calc 16</t>
  </si>
  <si>
    <t>Calc 17</t>
  </si>
  <si>
    <t>Calc 18</t>
  </si>
  <si>
    <t>Calc 19</t>
  </si>
  <si>
    <t>Calc 20</t>
  </si>
  <si>
    <t>Calc 21</t>
  </si>
  <si>
    <t>Calc 22</t>
  </si>
  <si>
    <t>Calc 23</t>
  </si>
  <si>
    <t>Calc 24</t>
  </si>
  <si>
    <t>Calc 25</t>
  </si>
  <si>
    <t>Calc 26</t>
  </si>
  <si>
    <t>Calc 27</t>
  </si>
  <si>
    <t>Calc 28</t>
  </si>
  <si>
    <t>Calc 29</t>
  </si>
  <si>
    <t>Calc 30</t>
  </si>
  <si>
    <t xml:space="preserve">weight and shape (A/B/C axes lengths in CM )                                      </t>
  </si>
  <si>
    <t>Calculation titles</t>
  </si>
  <si>
    <t>Wt2-Wt1</t>
  </si>
  <si>
    <t>Wt3-Wt2</t>
  </si>
  <si>
    <t>Wt4-Wt3</t>
  </si>
  <si>
    <t>Wt5-Wt4</t>
  </si>
  <si>
    <t>Wt5-Wt6</t>
  </si>
  <si>
    <t>weigh 1 » weigh 2 (together) &gt; then later reweigh 1 » weight 2</t>
  </si>
  <si>
    <t>Weight 1a</t>
  </si>
  <si>
    <t>Weight 2a</t>
  </si>
  <si>
    <t>Wt1a-Wt1</t>
  </si>
  <si>
    <t>Wt2a-Wt2</t>
  </si>
  <si>
    <t>Wt water</t>
  </si>
  <si>
    <t>Wt dry soil</t>
  </si>
  <si>
    <t>SM %</t>
  </si>
  <si>
    <t>Wt burnt</t>
  </si>
  <si>
    <t>Wt loss</t>
  </si>
  <si>
    <t>OM %</t>
  </si>
  <si>
    <t>Wt burnt2</t>
  </si>
  <si>
    <t>Wt loss 2</t>
  </si>
  <si>
    <t>CaCO3 %</t>
  </si>
  <si>
    <t>Wt burnt3</t>
  </si>
  <si>
    <t>Wt loss 3</t>
  </si>
  <si>
    <t>Burn 3 %</t>
  </si>
  <si>
    <t>Wt dry sample</t>
  </si>
  <si>
    <t>&lt;1.0mm</t>
  </si>
  <si>
    <t>Wt sample</t>
  </si>
  <si>
    <t>Wt 32.0mm</t>
  </si>
  <si>
    <t>Wt 16.0mm</t>
  </si>
  <si>
    <t>Wt 8.0mm</t>
  </si>
  <si>
    <t>Wt 4.0mm</t>
  </si>
  <si>
    <t>Wt 2.0mm</t>
  </si>
  <si>
    <t>Wt 1.0mm</t>
  </si>
  <si>
    <t>Wt 0.5mm</t>
  </si>
  <si>
    <t>Wt 0.25mm</t>
  </si>
  <si>
    <t>Wt 0.125mm</t>
  </si>
  <si>
    <t>Wt 0.063mm</t>
  </si>
  <si>
    <t>% 32.0mm</t>
  </si>
  <si>
    <t>% 16.0mm</t>
  </si>
  <si>
    <t>% 8.0mm</t>
  </si>
  <si>
    <t>% 4.0mm</t>
  </si>
  <si>
    <t>% 2.0mm</t>
  </si>
  <si>
    <t>% 1.0mm</t>
  </si>
  <si>
    <t>% 0.5mm</t>
  </si>
  <si>
    <t>% 0.25mm</t>
  </si>
  <si>
    <t>% 0.125mm</t>
  </si>
  <si>
    <t>% 0.063mm</t>
  </si>
  <si>
    <t>% 128mm</t>
  </si>
  <si>
    <t>% 90.5mm</t>
  </si>
  <si>
    <t>% 64mm</t>
  </si>
  <si>
    <t>% 45mm</t>
  </si>
  <si>
    <t>% 32mm</t>
  </si>
  <si>
    <t>% 22.6mm</t>
  </si>
  <si>
    <t>% 16mm</t>
  </si>
  <si>
    <t>% 11.3mm</t>
  </si>
  <si>
    <t>% 8mm</t>
  </si>
  <si>
    <t>% 5.6mm</t>
  </si>
  <si>
    <t>% 4mm</t>
  </si>
  <si>
    <t>% 2.8mm</t>
  </si>
  <si>
    <t>% 2mm</t>
  </si>
  <si>
    <t>% 1.4mm</t>
  </si>
  <si>
    <t>% 1mm</t>
  </si>
  <si>
    <t>% pan</t>
  </si>
  <si>
    <t>% 22.4mm</t>
  </si>
  <si>
    <t>% 11.2mm</t>
  </si>
  <si>
    <t>% 13.2mm</t>
  </si>
  <si>
    <t>% 9.5mm</t>
  </si>
  <si>
    <t>% 6.7mm</t>
  </si>
  <si>
    <t>% 4.75mm</t>
  </si>
  <si>
    <t>% 3.35mm</t>
  </si>
  <si>
    <t>% 2.36mm</t>
  </si>
  <si>
    <t>% 1.6mm</t>
  </si>
  <si>
    <t>% 1.18mm</t>
  </si>
  <si>
    <t>% 0.71mm</t>
  </si>
  <si>
    <t>% 710um</t>
  </si>
  <si>
    <t>% 500um</t>
  </si>
  <si>
    <t>% 355um</t>
  </si>
  <si>
    <t>% 250um</t>
  </si>
  <si>
    <t>% 180um</t>
  </si>
  <si>
    <t>% 125um</t>
  </si>
  <si>
    <t>% 90um</t>
  </si>
  <si>
    <t>% 63um</t>
  </si>
  <si>
    <t>% moisture</t>
  </si>
  <si>
    <t>%WSA&gt;2.8mm</t>
  </si>
  <si>
    <t>Wt moist soil</t>
  </si>
  <si>
    <t>Wt WSA soil</t>
  </si>
  <si>
    <t>Wt moisture</t>
  </si>
  <si>
    <t>Wt WSA residue</t>
  </si>
  <si>
    <t>Wt WSA rock</t>
  </si>
  <si>
    <t>% rocks</t>
  </si>
  <si>
    <t>sediment</t>
  </si>
  <si>
    <t>mls water original</t>
  </si>
  <si>
    <t>mg l-1</t>
  </si>
  <si>
    <t>Sediment</t>
  </si>
  <si>
    <t>Runoff vol</t>
  </si>
  <si>
    <t>Wt soil 1</t>
  </si>
  <si>
    <t>Wt soil 2</t>
  </si>
  <si>
    <t>Wt soil 3</t>
  </si>
  <si>
    <t>Wt water 1</t>
  </si>
  <si>
    <t>Wt water 2</t>
  </si>
  <si>
    <t>Wt water 3</t>
  </si>
  <si>
    <t>SM % 1</t>
  </si>
  <si>
    <t>SM % 2</t>
  </si>
  <si>
    <t>SM % 3</t>
  </si>
  <si>
    <t>Wt water 4</t>
  </si>
  <si>
    <t>Wt soil 4</t>
  </si>
  <si>
    <t>SM % 4</t>
  </si>
  <si>
    <t>Wt soil</t>
  </si>
  <si>
    <t>SG</t>
  </si>
  <si>
    <t>Volume</t>
  </si>
  <si>
    <t>Pore volume</t>
  </si>
  <si>
    <t>wet diatom g</t>
  </si>
  <si>
    <t>Gravimetric moisture</t>
  </si>
  <si>
    <t>dry adjusted diatom</t>
  </si>
  <si>
    <t>&lt;2mm fines g</t>
  </si>
  <si>
    <t>total sample g</t>
  </si>
  <si>
    <t>% stones</t>
  </si>
  <si>
    <t>% fines</t>
  </si>
  <si>
    <t>Db g cm-3</t>
  </si>
  <si>
    <t>% porosity</t>
  </si>
  <si>
    <t>wt fines</t>
  </si>
  <si>
    <t>Wt &gt;2mm</t>
  </si>
  <si>
    <t>Wt &lt;2mm</t>
  </si>
  <si>
    <t>% &gt;2mm</t>
  </si>
  <si>
    <t>% &lt;2mm</t>
  </si>
  <si>
    <t>Total wt</t>
  </si>
  <si>
    <t>Wt2-Wt3</t>
  </si>
  <si>
    <t>Wt1-Wt1a</t>
  </si>
  <si>
    <t>Wt2-Wt2a</t>
  </si>
  <si>
    <t>1 as % of 1a</t>
  </si>
  <si>
    <t>2 as % of 2a</t>
  </si>
  <si>
    <t>1a as % of 1</t>
  </si>
  <si>
    <t>2a as % of 2</t>
  </si>
  <si>
    <t>CaCO3 as % of mineral</t>
  </si>
  <si>
    <t>Burn3 as % of burn2</t>
  </si>
  <si>
    <t>Wt burnt 2</t>
  </si>
  <si>
    <t>Burn2 % of initial wt</t>
  </si>
  <si>
    <t>Burn2 % of burn2 wt</t>
  </si>
  <si>
    <t>32.0mm  bkr</t>
  </si>
  <si>
    <t>16.0mm bkr</t>
  </si>
  <si>
    <t>8.0mm bkr</t>
  </si>
  <si>
    <t>4.0mm bkr</t>
  </si>
  <si>
    <t>2.0mm bkr</t>
  </si>
  <si>
    <t>1.0mm bkr</t>
  </si>
  <si>
    <t>0.5mm bkr</t>
  </si>
  <si>
    <t>0.25mm bkr</t>
  </si>
  <si>
    <t>0.125mm bkr</t>
  </si>
  <si>
    <t>0.063mm bkr</t>
  </si>
  <si>
    <t>32.0mm+dry</t>
  </si>
  <si>
    <t>16.0mm+dry</t>
  </si>
  <si>
    <t>8.0mm+dry</t>
  </si>
  <si>
    <t>4.0mm+dry</t>
  </si>
  <si>
    <t>2.0mm+dry</t>
  </si>
  <si>
    <t>1.0mm+dry</t>
  </si>
  <si>
    <t>0.5mm+dry</t>
  </si>
  <si>
    <t>0.25mm+dry</t>
  </si>
  <si>
    <t>0.125mm+dry</t>
  </si>
  <si>
    <t>0.063mm+dry</t>
  </si>
  <si>
    <t>Calc 31</t>
  </si>
  <si>
    <t>Calc 32</t>
  </si>
  <si>
    <t>Calc 33</t>
  </si>
  <si>
    <t>Calc 34</t>
  </si>
  <si>
    <t>Calc 35</t>
  </si>
  <si>
    <t>Calc 36</t>
  </si>
  <si>
    <t>Calc 37</t>
  </si>
  <si>
    <t>Calc 38</t>
  </si>
  <si>
    <t>Calc 39</t>
  </si>
  <si>
    <t>Calc 40</t>
  </si>
  <si>
    <t>Calc 41</t>
  </si>
  <si>
    <t>Calc 42</t>
  </si>
  <si>
    <t>Calc 43</t>
  </si>
  <si>
    <t>Calc 44</t>
  </si>
  <si>
    <t>Calc 45</t>
  </si>
  <si>
    <t>Calc 46</t>
  </si>
  <si>
    <t>Calc 47</t>
  </si>
  <si>
    <t>Calc 48</t>
  </si>
  <si>
    <t>Calc 49</t>
  </si>
  <si>
    <t>Calc 50</t>
  </si>
  <si>
    <t>Calc 51</t>
  </si>
  <si>
    <t>of dry soil CaCO3 %</t>
  </si>
  <si>
    <t>1: Blank</t>
  </si>
  <si>
    <t>oldval</t>
  </si>
  <si>
    <t>currval</t>
  </si>
  <si>
    <t>copyval</t>
  </si>
  <si>
    <t>count</t>
  </si>
  <si>
    <t xml:space="preserve">1&gt; In cell A14 enter or paste from elsewhere labels </t>
  </si>
  <si>
    <t>3&gt; Enter filename to save-as or accept date-time name</t>
  </si>
  <si>
    <t xml:space="preserve">     &gt;      = weigh next step later</t>
  </si>
  <si>
    <r>
      <rPr>
        <sz val="14"/>
        <color theme="1"/>
        <rFont val="Work Sans"/>
      </rPr>
      <t xml:space="preserve">  »   </t>
    </r>
    <r>
      <rPr>
        <sz val="11"/>
        <color theme="1"/>
        <rFont val="Calibri"/>
        <family val="2"/>
        <scheme val="minor"/>
      </rPr>
      <t xml:space="preserve"> = weigh next step now</t>
    </r>
  </si>
  <si>
    <t>2&gt; Select setup from A1 drop-down list above</t>
  </si>
  <si>
    <t>Wet core</t>
  </si>
  <si>
    <t>Dry core</t>
  </si>
  <si>
    <t>Core ring</t>
  </si>
  <si>
    <t>Crucible</t>
  </si>
  <si>
    <t>Crucible + soil</t>
  </si>
  <si>
    <t>Burnt 550c</t>
  </si>
  <si>
    <t>wt wet soil</t>
  </si>
  <si>
    <t>wt dry soil</t>
  </si>
  <si>
    <t>wt LOI sample</t>
  </si>
  <si>
    <t>wt LOI residual</t>
  </si>
  <si>
    <t>% GSM</t>
  </si>
  <si>
    <t>Db g/cm3</t>
  </si>
  <si>
    <t>wt moisture</t>
  </si>
  <si>
    <t>%OM 550</t>
  </si>
  <si>
    <t>wt loss</t>
  </si>
  <si>
    <t xml:space="preserve"> fixed vol other sample &gt; dry &gt; &gt; LOI = %SM, DB, LOI (Vol=100.00)</t>
  </si>
  <si>
    <t>Tray</t>
  </si>
  <si>
    <t>Dry soil+tray</t>
  </si>
  <si>
    <t>Wet soil+tray</t>
  </si>
  <si>
    <t>Cruc + dry peat</t>
  </si>
  <si>
    <t>Burnt</t>
  </si>
  <si>
    <t>Dry wt</t>
  </si>
  <si>
    <t>Burnt residue</t>
  </si>
  <si>
    <t>Fixed vol peat Db-LOI: Cruc &gt; dry+peat &gt; burnt (Vol=10.00)</t>
  </si>
  <si>
    <t>Fixed vol peat %SM-Db-%LOI: Cruc &gt; wet wt &gt; dry &gt; burnt (Vol=10.00)</t>
  </si>
  <si>
    <t>Cruc+wet</t>
  </si>
  <si>
    <t>Cruc+dry</t>
  </si>
  <si>
    <t>Cruc+burnt 550c</t>
  </si>
  <si>
    <t>Wet wt</t>
  </si>
  <si>
    <t>Burn wt loss</t>
  </si>
  <si>
    <t>%SM</t>
  </si>
  <si>
    <r>
      <t xml:space="preserve">Fixed vol peat %SM-Db-%LOI: Cruc </t>
    </r>
    <r>
      <rPr>
        <b/>
        <sz val="16"/>
        <color theme="1"/>
        <rFont val="Calibri"/>
        <family val="2"/>
        <scheme val="minor"/>
      </rPr>
      <t>»</t>
    </r>
    <r>
      <rPr>
        <sz val="11"/>
        <color theme="1"/>
        <rFont val="Calibri"/>
        <family val="2"/>
        <scheme val="minor"/>
      </rPr>
      <t xml:space="preserve"> wet wt &gt; dry &gt; burnt (Vol=10.00)</t>
    </r>
  </si>
  <si>
    <t xml:space="preserve"> fixed vol other sample &gt; dry &gt; stones &gt; LOI = %SM, DB, stones, LOI (Vol=100.00)</t>
  </si>
  <si>
    <t>Wt stones</t>
  </si>
  <si>
    <t>Wt stones &gt;2mm</t>
  </si>
  <si>
    <t>Wt fine earth &lt;2mm</t>
  </si>
  <si>
    <t>Labcell soil core &gt; dry &gt; ring &gt; stones &gt; LOI = %SM, DB, Stones, LOI (Vol=248.82)</t>
  </si>
  <si>
    <t>UK pitman Soil core &gt; dry &gt; ring &gt; stones &gt; LOI = %SM, DB, sotnes, LOI (Vol=219.34)</t>
  </si>
  <si>
    <t>US pitman Soil core &gt; dry &gt; ring &gt; LOI = %SM, DB, LOI (Vol=68.20)</t>
  </si>
  <si>
    <t>US pitman Soil core &gt; dry &gt; ring &gt; stones &gt; LOI = %SM, DB, stones, LOI (Vol=68.20)</t>
  </si>
  <si>
    <t>fixed vol shallow sample &gt; dry &gt; LOI = %SM, DB, LOI (Vol=76.97)</t>
  </si>
  <si>
    <t>fixed vol shallow sample &gt; dry &gt; stones &gt; LOI = %SM, DB, stones, LOI (Vol=76.97)</t>
  </si>
  <si>
    <t>fixed vol deep sample &gt; dry &gt; LOI = %SM, DB, LOI (Vol=192.42)</t>
  </si>
  <si>
    <t xml:space="preserve"> fixed vol new sample &gt; dry &gt; LOI = %SM, DB, LOI (Vol=192.42)</t>
  </si>
  <si>
    <t>fixed vol deep sample &gt; dry &gt; stones &gt; LOI = %SM, DB, stones, LOI (Vol=192.42)</t>
  </si>
  <si>
    <t xml:space="preserve"> fixed vol new sample &gt; dry &gt; stones &gt; LOI = %SM, DB, stones, LOI (Vol=192.42)</t>
  </si>
  <si>
    <t>Average wt 6x9 bag</t>
  </si>
  <si>
    <t>Average wt no1 tray</t>
  </si>
  <si>
    <t>Wet soil in bag and tray</t>
  </si>
  <si>
    <t>Dry soil in tray</t>
  </si>
  <si>
    <t>Labcell soil core in 5x7 bag-in-tray &gt; dry &gt; stones &gt; LOI = %SM, DB, Stones, LOI (Vol=248.82)</t>
  </si>
  <si>
    <t>Labcell soil core in 6x9 bag-in-tray &gt; dry &gt; stones &gt; LOI = %SM, DB, Stones, LOI (Vol=248.82)</t>
  </si>
  <si>
    <t>variable soil core in bag-in-tray &gt; dry &gt; stones &gt; LOI = %SM, DB, Stones, LOI</t>
  </si>
  <si>
    <t>core volume cm-3</t>
  </si>
  <si>
    <t>Quick label / tare set</t>
  </si>
  <si>
    <t>notes / tare</t>
  </si>
  <si>
    <t>Sample jar + sediment</t>
  </si>
  <si>
    <t>SM tin</t>
  </si>
  <si>
    <t>SM tin+wet sampe</t>
  </si>
  <si>
    <t>Beaker &gt;5mm</t>
  </si>
  <si>
    <t>beaker 5-2mm</t>
  </si>
  <si>
    <t>beaker 2mm-710um</t>
  </si>
  <si>
    <t>beaker 710-425um</t>
  </si>
  <si>
    <t>beaker 425-250um</t>
  </si>
  <si>
    <t>beaker &lt;250um</t>
  </si>
  <si>
    <t>Dry sed+bkr &gt;5mm</t>
  </si>
  <si>
    <t>Dry sed+bkr 5-2mm</t>
  </si>
  <si>
    <t>Dry sed+bkr 2mm-710um</t>
  </si>
  <si>
    <t>Dry sed+bkr 710-425um</t>
  </si>
  <si>
    <t>Dry sed+bkr 425-250um</t>
  </si>
  <si>
    <t>Dry sed+bkr &lt;250um</t>
  </si>
  <si>
    <t>SM tin+dry sed</t>
  </si>
  <si>
    <t>Wt jar or average</t>
  </si>
  <si>
    <t>Wet sediment in jar</t>
  </si>
  <si>
    <t>Dry sediment</t>
  </si>
  <si>
    <t>moisture sample wt</t>
  </si>
  <si>
    <t>dry mositure sample</t>
  </si>
  <si>
    <t>% water content</t>
  </si>
  <si>
    <t>wt sed  &gt;5mm</t>
  </si>
  <si>
    <t>wt sed  5-2mm</t>
  </si>
  <si>
    <t>wt sed  2mm-710um</t>
  </si>
  <si>
    <t>wt sed  710-425um</t>
  </si>
  <si>
    <t>wt sed  425-250um</t>
  </si>
  <si>
    <t>wt sed  &lt;250um</t>
  </si>
  <si>
    <t>Wt paint &gt;5mm</t>
  </si>
  <si>
    <t>Wt paint 5mm-250um</t>
  </si>
  <si>
    <t>wt water in SM sample</t>
  </si>
  <si>
    <t>Sample jar after subsampling</t>
  </si>
  <si>
    <t>Wet wt sediment used</t>
  </si>
  <si>
    <t>Dry wt sediment used</t>
  </si>
  <si>
    <t>Andy Cheung pot &gt; SM tin &gt; SM tin+wet &gt; empty bkrs &gt; SM tin+dry &gt; bkrs + dry sediment &gt; MT jar &gt; LOI</t>
  </si>
  <si>
    <t>Wt paint &lt;250um</t>
  </si>
  <si>
    <t>LOI &lt;250um crucible</t>
  </si>
  <si>
    <t>LOI &lt;250um cruc+sed</t>
  </si>
  <si>
    <t>LOI &lt;250um burnt</t>
  </si>
  <si>
    <t>LOI 5mm-250um cruc+sed</t>
  </si>
  <si>
    <t>LOI 5mm-250um burnt</t>
  </si>
  <si>
    <t>LOI 5mm-250um crucible</t>
  </si>
  <si>
    <t>LOI 5mm-250 sample wt</t>
  </si>
  <si>
    <t>LOI 5mm-250 organic loss</t>
  </si>
  <si>
    <t>LOI 5mm-250 % OM</t>
  </si>
  <si>
    <t>LOI &lt;250um sample wt</t>
  </si>
  <si>
    <t>LOI &lt;250um organic loss</t>
  </si>
  <si>
    <t>LOI &lt;250um % OM</t>
  </si>
  <si>
    <t>Settling tube - 10 drops</t>
  </si>
  <si>
    <t>Drop 1</t>
  </si>
  <si>
    <t>Drop 2</t>
  </si>
  <si>
    <t>Drop 3</t>
  </si>
  <si>
    <t>Drop 4</t>
  </si>
  <si>
    <t>Drop 5</t>
  </si>
  <si>
    <t>Drop 6</t>
  </si>
  <si>
    <t>Drop 7</t>
  </si>
  <si>
    <t>Drop 8</t>
  </si>
  <si>
    <t>Drop 9</t>
  </si>
  <si>
    <t>Drop 10</t>
  </si>
  <si>
    <t>g</t>
  </si>
  <si>
    <t>ug</t>
  </si>
  <si>
    <t>mg</t>
  </si>
  <si>
    <t>dg</t>
  </si>
  <si>
    <t>kg</t>
  </si>
  <si>
    <t>oz</t>
  </si>
  <si>
    <t>lb</t>
  </si>
  <si>
    <r>
      <t xml:space="preserve">Selected weight Units </t>
    </r>
    <r>
      <rPr>
        <b/>
        <sz val="8"/>
        <rFont val="Arial"/>
        <family val="2"/>
      </rPr>
      <t>(edit in AH1:AH11)</t>
    </r>
  </si>
  <si>
    <t>LOI crucible</t>
  </si>
  <si>
    <t>Crucible + sed</t>
  </si>
  <si>
    <t>Post 550 burn</t>
  </si>
  <si>
    <t>LOI sample wt</t>
  </si>
  <si>
    <t>LOI residual wt</t>
  </si>
  <si>
    <t>% Organic matter</t>
  </si>
  <si>
    <t>LOI loss wt</t>
  </si>
  <si>
    <t>Root corer soil core in 6x9 bag-in-tray &gt; dry &gt; stones &gt; LOI = %SM, DB, Stones, LOI (Vol=248.82)</t>
  </si>
  <si>
    <t>Labcell soil core &gt; dry &gt; ring &gt; Stones &gt; LOI = %SM, DB, LOI (Vol=248.82)</t>
  </si>
  <si>
    <t>Wt Stones &gt;2mm + no.1 tray</t>
  </si>
  <si>
    <t>Wt Stones &gt;2mm</t>
  </si>
  <si>
    <t>% stones &gt;2mm</t>
  </si>
  <si>
    <t>UK pitman Soil core &gt; dry &gt; ring &gt; Stones &gt; LOI = %SM, DB, LOI (Vol=219.34)</t>
  </si>
  <si>
    <t>Wt stones in no.1 tray</t>
  </si>
  <si>
    <t xml:space="preserve">PSA dry sieve 128mm - 1mm @ 1/2 phi intervals (for laser difffraction)                     </t>
  </si>
  <si>
    <t>1_1_1</t>
  </si>
  <si>
    <t>1_1_2</t>
  </si>
  <si>
    <t>1_1_3</t>
  </si>
  <si>
    <t>1_1_4</t>
  </si>
  <si>
    <t>1_1_5</t>
  </si>
  <si>
    <t>1_1_6</t>
  </si>
  <si>
    <t>1_1_7</t>
  </si>
  <si>
    <t>1_1_8</t>
  </si>
  <si>
    <t>1_1_9</t>
  </si>
  <si>
    <t>1_1_10</t>
  </si>
  <si>
    <t>1_2_1</t>
  </si>
  <si>
    <t>1_2_2</t>
  </si>
  <si>
    <t>1_2_3</t>
  </si>
  <si>
    <t>1_2_4</t>
  </si>
  <si>
    <t>1_2_5</t>
  </si>
  <si>
    <t>1_2_6</t>
  </si>
  <si>
    <t>1_2_7</t>
  </si>
  <si>
    <t>1_2_8</t>
  </si>
  <si>
    <t>1_2_9</t>
  </si>
  <si>
    <t>1_2_10</t>
  </si>
  <si>
    <t>2_1_1</t>
  </si>
  <si>
    <t>2_1_2</t>
  </si>
  <si>
    <t>2_1_3</t>
  </si>
  <si>
    <t>2_1_4</t>
  </si>
  <si>
    <t>2_1_5</t>
  </si>
  <si>
    <t>2_1_6</t>
  </si>
  <si>
    <t>2_1_7</t>
  </si>
  <si>
    <t>2_1_8</t>
  </si>
  <si>
    <t>2_1_9</t>
  </si>
  <si>
    <t>2_1_10</t>
  </si>
  <si>
    <t>2_1_11</t>
  </si>
  <si>
    <t>2_2_1</t>
  </si>
  <si>
    <t>2_2_2</t>
  </si>
  <si>
    <t>2_2_3</t>
  </si>
  <si>
    <t>2_2_4</t>
  </si>
  <si>
    <t>2_2_5</t>
  </si>
  <si>
    <t>2_2_6</t>
  </si>
  <si>
    <t>2_2_7</t>
  </si>
  <si>
    <t>2_2_8</t>
  </si>
  <si>
    <t>2_2_9</t>
  </si>
  <si>
    <t>2_2_10</t>
  </si>
  <si>
    <t>2_3_1</t>
  </si>
  <si>
    <t>2_3_2</t>
  </si>
  <si>
    <t>2_3_3</t>
  </si>
  <si>
    <t>2_3_4</t>
  </si>
  <si>
    <t>2_3_5</t>
  </si>
  <si>
    <t>2_3_6</t>
  </si>
  <si>
    <t>2_3_7</t>
  </si>
  <si>
    <t>2_3_8</t>
  </si>
  <si>
    <t>2_3_9</t>
  </si>
  <si>
    <t>2_3_10</t>
  </si>
  <si>
    <t>2_7_1</t>
  </si>
  <si>
    <t>2_7_2</t>
  </si>
  <si>
    <t>2_7_3</t>
  </si>
  <si>
    <t>2_7_4</t>
  </si>
  <si>
    <t>2_7_5</t>
  </si>
  <si>
    <t>2_7_6</t>
  </si>
  <si>
    <t>2_7_7</t>
  </si>
  <si>
    <t>2_7_8</t>
  </si>
  <si>
    <t>2_7_9</t>
  </si>
  <si>
    <t>2_7_10</t>
  </si>
  <si>
    <t>2_7_11</t>
  </si>
  <si>
    <t>1_3_1</t>
  </si>
  <si>
    <t>1_3_2</t>
  </si>
  <si>
    <t>1_3_3</t>
  </si>
  <si>
    <t>1_3_4</t>
  </si>
  <si>
    <t>1_3_5</t>
  </si>
  <si>
    <t>1_3_6</t>
  </si>
  <si>
    <t>1_3_7</t>
  </si>
  <si>
    <t>1_3_8</t>
  </si>
  <si>
    <t>1_3_9</t>
  </si>
  <si>
    <t>1_3_10</t>
  </si>
  <si>
    <t>1_4_1</t>
  </si>
  <si>
    <t>1_4_2</t>
  </si>
  <si>
    <t>1_4_3</t>
  </si>
  <si>
    <t>1_4_4</t>
  </si>
  <si>
    <t>1_4_5</t>
  </si>
  <si>
    <t>1_4_6</t>
  </si>
  <si>
    <t>1_4_7</t>
  </si>
  <si>
    <t>1_4_8</t>
  </si>
  <si>
    <t>1_4_9</t>
  </si>
  <si>
    <t>1_4_10</t>
  </si>
  <si>
    <t>1_4_11</t>
  </si>
  <si>
    <t>2_4_1</t>
  </si>
  <si>
    <t>2_4_2</t>
  </si>
  <si>
    <t>2_4_3</t>
  </si>
  <si>
    <t>2_4_4</t>
  </si>
  <si>
    <t>2_4_5</t>
  </si>
  <si>
    <t>2_4_6</t>
  </si>
  <si>
    <t>2_4_7</t>
  </si>
  <si>
    <t>2_4_8</t>
  </si>
  <si>
    <t>2_4_9</t>
  </si>
  <si>
    <t>2_4_10</t>
  </si>
  <si>
    <t>2_4_11</t>
  </si>
  <si>
    <t>2_5_1</t>
  </si>
  <si>
    <t>2_5_2</t>
  </si>
  <si>
    <t>2_5_3</t>
  </si>
  <si>
    <t>2_5_4</t>
  </si>
  <si>
    <t>2_5_5</t>
  </si>
  <si>
    <t>2_5_6</t>
  </si>
  <si>
    <t>2_5_7</t>
  </si>
  <si>
    <t>2_5_8</t>
  </si>
  <si>
    <t>2_5_9</t>
  </si>
  <si>
    <t>2_5_10</t>
  </si>
  <si>
    <t>2_6_1</t>
  </si>
  <si>
    <t>2_6_2</t>
  </si>
  <si>
    <t>2_6_3</t>
  </si>
  <si>
    <t>2_6_4</t>
  </si>
  <si>
    <t>2_6_5</t>
  </si>
  <si>
    <t>2_6_6</t>
  </si>
  <si>
    <t>2_6_7</t>
  </si>
  <si>
    <t>2_6_8</t>
  </si>
  <si>
    <t>2_6_9</t>
  </si>
  <si>
    <t>2_6_10</t>
  </si>
  <si>
    <t>2_6_11</t>
  </si>
  <si>
    <t>2_8_1</t>
  </si>
  <si>
    <t>2_8_2</t>
  </si>
  <si>
    <t>2_8_3</t>
  </si>
  <si>
    <t>2_8_4</t>
  </si>
  <si>
    <t>2_8_5</t>
  </si>
  <si>
    <t>2_8_6</t>
  </si>
  <si>
    <t>2_8_7</t>
  </si>
  <si>
    <t>2_8_8</t>
  </si>
  <si>
    <t>2_8_9</t>
  </si>
  <si>
    <t>2_8_10</t>
  </si>
  <si>
    <t>2_8_11</t>
  </si>
  <si>
    <t>1_5_1</t>
  </si>
  <si>
    <t>1_5_2</t>
  </si>
  <si>
    <t>1_5_3</t>
  </si>
  <si>
    <t>1_5_4</t>
  </si>
  <si>
    <t>1_5_5</t>
  </si>
  <si>
    <t>1_5_6</t>
  </si>
  <si>
    <t>1_5_7</t>
  </si>
  <si>
    <t>1_5_8</t>
  </si>
  <si>
    <t>1_5_9</t>
  </si>
  <si>
    <t>1_5_10</t>
  </si>
  <si>
    <t>1_5_11</t>
  </si>
  <si>
    <t>1_6_1</t>
  </si>
  <si>
    <t>1_6_2</t>
  </si>
  <si>
    <t>1_6_3</t>
  </si>
  <si>
    <t>1_6_4</t>
  </si>
  <si>
    <t>1_6_5</t>
  </si>
  <si>
    <t>1_6_6</t>
  </si>
  <si>
    <t>1_6_7</t>
  </si>
  <si>
    <t>1_6_8</t>
  </si>
  <si>
    <t>1_6_9</t>
  </si>
  <si>
    <t>1_6_10</t>
  </si>
  <si>
    <t>1_6_11</t>
  </si>
  <si>
    <t>2_9_1</t>
  </si>
  <si>
    <t>2_9_2</t>
  </si>
  <si>
    <t>2_9_3</t>
  </si>
  <si>
    <t>2_9_4</t>
  </si>
  <si>
    <t>2_9_5</t>
  </si>
  <si>
    <t>2_9_6</t>
  </si>
  <si>
    <t>2_9_7</t>
  </si>
  <si>
    <t>2_9_8</t>
  </si>
  <si>
    <t>2_9_9</t>
  </si>
  <si>
    <t>2_9_10</t>
  </si>
  <si>
    <t>2_9_11</t>
  </si>
  <si>
    <t>2_10_1</t>
  </si>
  <si>
    <t>2_10_2</t>
  </si>
  <si>
    <t>2_10_3</t>
  </si>
  <si>
    <t>2_10_4</t>
  </si>
  <si>
    <t>2_10_5</t>
  </si>
  <si>
    <t>2_10_6</t>
  </si>
  <si>
    <t>2_10_7</t>
  </si>
  <si>
    <t>2_10_8</t>
  </si>
  <si>
    <t>2_10_9</t>
  </si>
  <si>
    <t>2_10_10</t>
  </si>
  <si>
    <t>2_10_11</t>
  </si>
  <si>
    <t>2_11_1</t>
  </si>
  <si>
    <t>2_11_2</t>
  </si>
  <si>
    <t>2_11_3</t>
  </si>
  <si>
    <t>2_11_4</t>
  </si>
  <si>
    <t>2_11_5</t>
  </si>
  <si>
    <t>2_11_6</t>
  </si>
  <si>
    <t>2_11_7</t>
  </si>
  <si>
    <t>2_11_8</t>
  </si>
  <si>
    <t>2_11_9</t>
  </si>
  <si>
    <t>2_11_10</t>
  </si>
  <si>
    <t>2_12_1</t>
  </si>
  <si>
    <t>2_12_2</t>
  </si>
  <si>
    <t>2_12_3</t>
  </si>
  <si>
    <t>2_12_4</t>
  </si>
  <si>
    <t>2_12_5</t>
  </si>
  <si>
    <t>2_12_6</t>
  </si>
  <si>
    <t>2_12_7</t>
  </si>
  <si>
    <t>2_12_8</t>
  </si>
  <si>
    <t>2_12_9</t>
  </si>
  <si>
    <t>2_12_10</t>
  </si>
  <si>
    <t>4 or 5-DP ANALYTICAL</t>
  </si>
  <si>
    <t>Data In (From 4 or 5-DP ANALYTICAL (COM15))</t>
  </si>
  <si>
    <t>1_7_1</t>
  </si>
  <si>
    <t>1_7_2</t>
  </si>
  <si>
    <t>1_7_3</t>
  </si>
  <si>
    <t>1_7_4</t>
  </si>
  <si>
    <t>1_7_5</t>
  </si>
  <si>
    <t>1_7_6</t>
  </si>
  <si>
    <t>1_7_7</t>
  </si>
  <si>
    <t>1_7_8</t>
  </si>
  <si>
    <t>1_7_9</t>
  </si>
  <si>
    <t>1_7_10</t>
  </si>
  <si>
    <t>1_8_1</t>
  </si>
  <si>
    <t>1_8_2</t>
  </si>
  <si>
    <t>1_8_3</t>
  </si>
  <si>
    <t>1_8_4</t>
  </si>
  <si>
    <t>1_8_5</t>
  </si>
  <si>
    <t>1_8_6</t>
  </si>
  <si>
    <t>1_8_7</t>
  </si>
  <si>
    <t>1_8_8</t>
  </si>
  <si>
    <t>1_8_9</t>
  </si>
  <si>
    <t>1_8_10</t>
  </si>
  <si>
    <t>1_9_1</t>
  </si>
  <si>
    <t>1_9_2</t>
  </si>
  <si>
    <t>1_9_3</t>
  </si>
  <si>
    <t>1_9_4</t>
  </si>
  <si>
    <t>1_9_5</t>
  </si>
  <si>
    <t>1_9_6</t>
  </si>
  <si>
    <t>1_9_7</t>
  </si>
  <si>
    <t>1_9_8</t>
  </si>
  <si>
    <t>1_9_9</t>
  </si>
  <si>
    <t>1_9_10</t>
  </si>
  <si>
    <t>1_9_11</t>
  </si>
  <si>
    <t>2_13_1</t>
  </si>
  <si>
    <t>2_13_2</t>
  </si>
  <si>
    <t>2_13_3</t>
  </si>
  <si>
    <t>2_13_4</t>
  </si>
  <si>
    <t>2_13_5</t>
  </si>
  <si>
    <t>2_13_6</t>
  </si>
  <si>
    <t>2_13_7</t>
  </si>
  <si>
    <t>2_13_8</t>
  </si>
  <si>
    <t>2_13_9</t>
  </si>
  <si>
    <t>2_13_10</t>
  </si>
  <si>
    <t>2_14_1</t>
  </si>
  <si>
    <t>2_14_2</t>
  </si>
  <si>
    <t>2_14_3</t>
  </si>
  <si>
    <t>2_14_4</t>
  </si>
  <si>
    <t>2_14_5</t>
  </si>
  <si>
    <t>2_14_6</t>
  </si>
  <si>
    <t>2_14_7</t>
  </si>
  <si>
    <t>2_14_8</t>
  </si>
  <si>
    <t>2_14_9</t>
  </si>
  <si>
    <t>2_14_10</t>
  </si>
  <si>
    <t>2_14_11</t>
  </si>
  <si>
    <t>1_10_1</t>
  </si>
  <si>
    <t>1_10_2</t>
  </si>
  <si>
    <t>1_10_3</t>
  </si>
  <si>
    <t>1_10_4</t>
  </si>
  <si>
    <t>1_10_5</t>
  </si>
  <si>
    <t>1_10_6</t>
  </si>
  <si>
    <t>1_10_7</t>
  </si>
  <si>
    <t>1_10_8</t>
  </si>
  <si>
    <t>1_10_9</t>
  </si>
  <si>
    <t>1_10_10</t>
  </si>
  <si>
    <t>1_10_11</t>
  </si>
  <si>
    <t>1_11_1</t>
  </si>
  <si>
    <t>1_11_2</t>
  </si>
  <si>
    <t>1_11_3</t>
  </si>
  <si>
    <t>1_11_4</t>
  </si>
  <si>
    <t>1_11_5</t>
  </si>
  <si>
    <t>1_11_6</t>
  </si>
  <si>
    <t>1_11_7</t>
  </si>
  <si>
    <t>1_11_8</t>
  </si>
  <si>
    <t>1_11_9</t>
  </si>
  <si>
    <t>1_11_10</t>
  </si>
  <si>
    <t>1_12_1</t>
  </si>
  <si>
    <t>1_12_2</t>
  </si>
  <si>
    <t>1_12_3</t>
  </si>
  <si>
    <t>1_12_4</t>
  </si>
  <si>
    <t>1_12_5</t>
  </si>
  <si>
    <t>1_12_6</t>
  </si>
  <si>
    <t>1_12_7</t>
  </si>
  <si>
    <t>1_12_8</t>
  </si>
  <si>
    <t>1_12_9</t>
  </si>
  <si>
    <t>1_12_10</t>
  </si>
  <si>
    <t>1_12_11</t>
  </si>
  <si>
    <t>2_15_1</t>
  </si>
  <si>
    <t>2_15_2</t>
  </si>
  <si>
    <t>2_15_3</t>
  </si>
  <si>
    <t>2_15_4</t>
  </si>
  <si>
    <t>2_15_5</t>
  </si>
  <si>
    <t>2_15_6</t>
  </si>
  <si>
    <t>2_15_7</t>
  </si>
  <si>
    <t>2_15_8</t>
  </si>
  <si>
    <t>2_15_9</t>
  </si>
  <si>
    <t>2_15_10</t>
  </si>
  <si>
    <t>2_16_1</t>
  </si>
  <si>
    <t>2_16_2</t>
  </si>
  <si>
    <t>2_16_3</t>
  </si>
  <si>
    <t>2_16_4</t>
  </si>
  <si>
    <t>2_16_5</t>
  </si>
  <si>
    <t>2_16_6</t>
  </si>
  <si>
    <t>2_16_7</t>
  </si>
  <si>
    <t>2_16_8</t>
  </si>
  <si>
    <t>2_16_9</t>
  </si>
  <si>
    <t>2_16_10</t>
  </si>
  <si>
    <t>2_17_1</t>
  </si>
  <si>
    <t>2_17_2</t>
  </si>
  <si>
    <t>2_17_3</t>
  </si>
  <si>
    <t>2_17_4</t>
  </si>
  <si>
    <t>2_17_5</t>
  </si>
  <si>
    <t>2_17_6</t>
  </si>
  <si>
    <t>2_17_7</t>
  </si>
  <si>
    <t>2_17_8</t>
  </si>
  <si>
    <t>2_17_9</t>
  </si>
  <si>
    <t>2_17_10</t>
  </si>
  <si>
    <t>2_18_1</t>
  </si>
  <si>
    <t>2_18_2</t>
  </si>
  <si>
    <t>2_18_3</t>
  </si>
  <si>
    <t>2_18_4</t>
  </si>
  <si>
    <t>2_18_5</t>
  </si>
  <si>
    <t>2_18_6</t>
  </si>
  <si>
    <t>2_18_7</t>
  </si>
  <si>
    <t>2_18_8</t>
  </si>
  <si>
    <t>2_18_9</t>
  </si>
  <si>
    <t>2_18_10</t>
  </si>
  <si>
    <t>2_18_11</t>
  </si>
  <si>
    <t>Blank</t>
  </si>
  <si>
    <t>F442D529-17E9-4F11-9323-97F0C579B972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</si>
  <si>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F442D529-17E9-4F11-9323-97F0C579B972","IsGenerated":true,"Name":"4 or 5-DP ANALYTICAL","Version":null,"BaudRate":1200}</t>
  </si>
  <si>
    <t>+  2.24630 g</t>
  </si>
  <si>
    <t>+  2.27591 g</t>
  </si>
  <si>
    <t>+  2.17845 g</t>
  </si>
  <si>
    <t>+  2.27743 g</t>
  </si>
  <si>
    <t>+  2.24298 g</t>
  </si>
  <si>
    <t>+  2.27027 g</t>
  </si>
  <si>
    <t>+  2.24397 g</t>
  </si>
  <si>
    <t>+  2.22986 g</t>
  </si>
  <si>
    <t>+  2.26585 g</t>
  </si>
  <si>
    <t>+  2.30687 g</t>
  </si>
  <si>
    <t>+  2.34476 g</t>
  </si>
  <si>
    <t>+  2.20941 g</t>
  </si>
  <si>
    <t>+  2.22737 g</t>
  </si>
  <si>
    <t>+  2.19138 g</t>
  </si>
  <si>
    <t>+  2.26386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</si>
</sst>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:ss.00"/>
    <numFmt numFmtId="165" formatCode=";;;"/>
    <numFmt numFmtId="166" formatCode="[$-F400]h:mm:ss\ AM/PM"/>
    <numFmt numFmtId="167" formatCode="0.00000000000000"/>
    <numFmt numFmtId="168" formatCode="0.000"/>
  </numFmts>
  <fonts count="4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color rgb="FF000000"/>
      <name val="Segoe UI"/>
      <family val="2"/>
    </font>
    <font>
      <sz val="11"/>
      <color rgb="FF9C0006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sz val="10"/>
      <color rgb="FFFFFF00"/>
      <name val="Arial"/>
      <family val="2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Work Sans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8"/>
      <name val="Arial"/>
      <family val="2"/>
    </font>
    <font>
      <b/>
      <sz val="16"/>
      <color rgb="FFFF00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rgb="FFFF0000"/>
        <bgColor theme="0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18" fillId="17" borderId="0" applyNumberFormat="0" applyBorder="0" applyAlignment="0" applyProtection="0"/>
    <xf numFmtId="0" fontId="26" fillId="18" borderId="0" applyNumberFormat="0" applyBorder="0" applyAlignment="0" applyProtection="0"/>
  </cellStyleXfs>
  <cellXfs count="141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4" fillId="2" borderId="0" xfId="0" applyFont="1" applyFill="1" applyAlignment="1" applyProtection="1">
      <alignment horizontal="left"/>
    </xf>
    <xf numFmtId="0" fontId="10" fillId="5" borderId="0" xfId="0" applyFont="1" applyFill="1" applyAlignment="1" applyProtection="1">
      <alignment horizontal="left" vertical="center" indent="1"/>
      <protection locked="0"/>
    </xf>
    <xf numFmtId="0" fontId="11" fillId="6" borderId="3" xfId="0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Border="1" applyAlignment="1" applyProtection="1">
      <alignment horizontal="left" vertical="center" indent="1"/>
      <protection locked="0"/>
    </xf>
    <xf numFmtId="0" fontId="6" fillId="6" borderId="4" xfId="0" applyFont="1" applyFill="1" applyBorder="1" applyAlignment="1" applyProtection="1">
      <alignment horizontal="left" vertical="center" indent="1"/>
      <protection locked="0"/>
    </xf>
    <xf numFmtId="0" fontId="11" fillId="6" borderId="5" xfId="0" applyFont="1" applyFill="1" applyBorder="1" applyAlignment="1" applyProtection="1">
      <alignment horizontal="left" vertical="center" indent="1"/>
      <protection locked="0"/>
    </xf>
    <xf numFmtId="0" fontId="6" fillId="6" borderId="6" xfId="0" applyFont="1" applyFill="1" applyBorder="1" applyAlignment="1" applyProtection="1">
      <alignment horizontal="left" vertical="center" indent="1"/>
      <protection locked="0"/>
    </xf>
    <xf numFmtId="0" fontId="6" fillId="6" borderId="7" xfId="0" applyFont="1" applyFill="1" applyBorder="1" applyAlignment="1" applyProtection="1">
      <alignment horizontal="left" vertical="center" indent="1"/>
      <protection locked="0"/>
    </xf>
    <xf numFmtId="0" fontId="6" fillId="6" borderId="8" xfId="0" applyFont="1" applyFill="1" applyBorder="1" applyAlignment="1" applyProtection="1">
      <alignment horizontal="left" vertical="center" indent="1"/>
      <protection locked="0"/>
    </xf>
    <xf numFmtId="0" fontId="6" fillId="6" borderId="10" xfId="0" applyFont="1" applyFill="1" applyBorder="1" applyAlignment="1" applyProtection="1">
      <alignment horizontal="left" vertical="center" indent="1"/>
      <protection locked="0"/>
    </xf>
    <xf numFmtId="0" fontId="11" fillId="6" borderId="9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" fillId="7" borderId="0" xfId="0" applyFont="1" applyFill="1" applyAlignment="1" applyProtection="1">
      <alignment horizontal="left" vertical="center" indent="1"/>
    </xf>
    <xf numFmtId="0" fontId="12" fillId="7" borderId="0" xfId="0" applyFont="1" applyFill="1" applyAlignment="1" applyProtection="1">
      <alignment horizontal="left" vertical="center" indent="1"/>
      <protection locked="0"/>
    </xf>
    <xf numFmtId="0" fontId="6" fillId="2" borderId="11" xfId="0" applyFont="1" applyFill="1" applyBorder="1" applyAlignment="1" applyProtection="1">
      <alignment horizontal="left" vertical="center" indent="1"/>
      <protection locked="0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15" fillId="9" borderId="15" xfId="0" applyFont="1" applyFill="1" applyBorder="1" applyAlignment="1" applyProtection="1">
      <alignment horizontal="right" vertical="center" indent="1"/>
      <protection locked="0"/>
    </xf>
    <xf numFmtId="0" fontId="10" fillId="10" borderId="0" xfId="0" applyFont="1" applyFill="1" applyAlignment="1">
      <alignment horizontal="center" vertical="center"/>
    </xf>
    <xf numFmtId="0" fontId="15" fillId="11" borderId="16" xfId="0" applyFont="1" applyFill="1" applyBorder="1" applyAlignment="1" applyProtection="1">
      <alignment horizontal="right" vertical="center" indent="1"/>
      <protection locked="0"/>
    </xf>
    <xf numFmtId="164" fontId="15" fillId="11" borderId="16" xfId="0" applyNumberFormat="1" applyFont="1" applyFill="1" applyBorder="1" applyAlignment="1" applyProtection="1">
      <alignment horizontal="left" vertical="center" indent="1"/>
      <protection locked="0"/>
    </xf>
    <xf numFmtId="0" fontId="15" fillId="12" borderId="18" xfId="0" applyFont="1" applyFill="1" applyBorder="1" applyAlignment="1" applyProtection="1">
      <alignment horizontal="right" vertical="center" indent="1"/>
      <protection locked="0"/>
    </xf>
    <xf numFmtId="0" fontId="15" fillId="12" borderId="19" xfId="0" applyFont="1" applyFill="1" applyBorder="1" applyAlignment="1" applyProtection="1">
      <alignment horizontal="right" vertical="center" indent="1"/>
      <protection locked="0"/>
    </xf>
    <xf numFmtId="164" fontId="15" fillId="12" borderId="18" xfId="0" applyNumberFormat="1" applyFont="1" applyFill="1" applyBorder="1" applyAlignment="1" applyProtection="1">
      <alignment horizontal="left" vertical="center" indent="1"/>
      <protection locked="0"/>
    </xf>
    <xf numFmtId="164" fontId="15" fillId="12" borderId="19" xfId="0" applyNumberFormat="1" applyFont="1" applyFill="1" applyBorder="1" applyAlignment="1" applyProtection="1">
      <alignment horizontal="left" vertical="center" indent="1"/>
      <protection locked="0"/>
    </xf>
    <xf numFmtId="164" fontId="15" fillId="13" borderId="19" xfId="0" applyNumberFormat="1" applyFont="1" applyFill="1" applyBorder="1" applyAlignment="1" applyProtection="1">
      <alignment horizontal="left" vertical="center" indent="1"/>
      <protection locked="0"/>
    </xf>
    <xf numFmtId="0" fontId="15" fillId="13" borderId="19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0" fillId="0" borderId="20" xfId="0" applyBorder="1"/>
    <xf numFmtId="0" fontId="0" fillId="0" borderId="14" xfId="0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1" applyBorder="1" applyAlignment="1">
      <alignment wrapText="1"/>
    </xf>
    <xf numFmtId="0" fontId="1" fillId="0" borderId="0" xfId="1" applyBorder="1"/>
    <xf numFmtId="0" fontId="0" fillId="16" borderId="0" xfId="0" applyFill="1"/>
    <xf numFmtId="167" fontId="0" fillId="0" borderId="0" xfId="0" applyNumberFormat="1"/>
    <xf numFmtId="0" fontId="0" fillId="0" borderId="23" xfId="0" applyBorder="1"/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/>
    </xf>
    <xf numFmtId="0" fontId="0" fillId="0" borderId="14" xfId="0" applyBorder="1"/>
    <xf numFmtId="166" fontId="18" fillId="17" borderId="14" xfId="2" applyNumberFormat="1" applyBorder="1"/>
    <xf numFmtId="0" fontId="15" fillId="11" borderId="16" xfId="0" quotePrefix="1" applyFont="1" applyFill="1" applyBorder="1" applyAlignment="1" applyProtection="1">
      <alignment horizontal="right" vertical="center" indent="1"/>
      <protection locked="0"/>
    </xf>
    <xf numFmtId="0" fontId="15" fillId="13" borderId="19" xfId="0" quotePrefix="1" applyFont="1" applyFill="1" applyBorder="1" applyAlignment="1" applyProtection="1">
      <alignment horizontal="right" vertical="center" indent="1"/>
      <protection locked="0"/>
    </xf>
    <xf numFmtId="0" fontId="20" fillId="0" borderId="14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NumberFormat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0" xfId="0" applyAlignment="1">
      <alignment wrapText="1"/>
    </xf>
    <xf numFmtId="0" fontId="1" fillId="0" borderId="0" xfId="1" applyBorder="1" applyAlignment="1">
      <alignment horizontal="center" wrapText="1"/>
    </xf>
    <xf numFmtId="0" fontId="27" fillId="15" borderId="31" xfId="1" applyFont="1" applyFill="1" applyBorder="1" applyAlignment="1">
      <alignment horizontal="center" wrapText="1"/>
    </xf>
    <xf numFmtId="0" fontId="0" fillId="0" borderId="30" xfId="0" applyBorder="1"/>
    <xf numFmtId="0" fontId="0" fillId="0" borderId="33" xfId="0" applyBorder="1"/>
    <xf numFmtId="0" fontId="0" fillId="0" borderId="32" xfId="0" applyBorder="1"/>
    <xf numFmtId="0" fontId="18" fillId="17" borderId="32" xfId="2" applyBorder="1"/>
    <xf numFmtId="0" fontId="18" fillId="17" borderId="32" xfId="2" applyBorder="1" applyAlignment="1">
      <alignment horizontal="center"/>
    </xf>
    <xf numFmtId="0" fontId="0" fillId="0" borderId="34" xfId="0" applyBorder="1"/>
    <xf numFmtId="0" fontId="18" fillId="17" borderId="34" xfId="2" applyBorder="1"/>
    <xf numFmtId="0" fontId="18" fillId="17" borderId="34" xfId="2" applyBorder="1" applyAlignment="1">
      <alignment horizontal="center"/>
    </xf>
    <xf numFmtId="0" fontId="26" fillId="0" borderId="34" xfId="3" applyFill="1" applyBorder="1"/>
    <xf numFmtId="0" fontId="27" fillId="0" borderId="35" xfId="1" applyFont="1" applyBorder="1"/>
    <xf numFmtId="0" fontId="28" fillId="0" borderId="35" xfId="1" applyFont="1" applyBorder="1"/>
    <xf numFmtId="0" fontId="27" fillId="0" borderId="35" xfId="0" applyFont="1" applyBorder="1"/>
    <xf numFmtId="0" fontId="0" fillId="0" borderId="0" xfId="0" applyBorder="1" applyAlignment="1">
      <alignment wrapText="1"/>
    </xf>
    <xf numFmtId="0" fontId="27" fillId="19" borderId="31" xfId="1" applyFont="1" applyFill="1" applyBorder="1" applyAlignment="1">
      <alignment horizontal="center" wrapText="1"/>
    </xf>
    <xf numFmtId="0" fontId="27" fillId="0" borderId="0" xfId="1" applyFont="1" applyBorder="1"/>
    <xf numFmtId="0" fontId="0" fillId="0" borderId="36" xfId="0" applyBorder="1"/>
    <xf numFmtId="0" fontId="0" fillId="0" borderId="36" xfId="0" applyBorder="1" applyAlignment="1">
      <alignment wrapText="1"/>
    </xf>
    <xf numFmtId="0" fontId="27" fillId="0" borderId="36" xfId="1" applyFont="1" applyBorder="1"/>
    <xf numFmtId="0" fontId="27" fillId="0" borderId="0" xfId="1" applyFont="1" applyFill="1" applyBorder="1"/>
    <xf numFmtId="0" fontId="0" fillId="0" borderId="26" xfId="0" applyBorder="1"/>
    <xf numFmtId="0" fontId="0" fillId="0" borderId="24" xfId="0" applyBorder="1"/>
    <xf numFmtId="0" fontId="0" fillId="0" borderId="0" xfId="0" quotePrefix="1"/>
    <xf numFmtId="0" fontId="0" fillId="0" borderId="0" xfId="0" applyBorder="1"/>
    <xf numFmtId="2" fontId="0" fillId="0" borderId="0" xfId="0" applyNumberFormat="1"/>
    <xf numFmtId="0" fontId="30" fillId="14" borderId="14" xfId="0" applyFont="1" applyFill="1" applyBorder="1" applyAlignment="1">
      <alignment horizontal="center"/>
    </xf>
    <xf numFmtId="0" fontId="19" fillId="14" borderId="31" xfId="2" applyFont="1" applyFill="1" applyBorder="1"/>
    <xf numFmtId="0" fontId="0" fillId="20" borderId="0" xfId="0" applyFill="1"/>
    <xf numFmtId="0" fontId="32" fillId="20" borderId="0" xfId="0" applyFont="1" applyFill="1" applyAlignment="1"/>
    <xf numFmtId="0" fontId="32" fillId="20" borderId="36" xfId="0" applyFont="1" applyFill="1" applyBorder="1" applyAlignment="1"/>
    <xf numFmtId="0" fontId="33" fillId="0" borderId="32" xfId="0" applyFont="1" applyBorder="1"/>
    <xf numFmtId="0" fontId="0" fillId="0" borderId="0" xfId="0" applyAlignment="1">
      <alignment vertical="center"/>
    </xf>
    <xf numFmtId="0" fontId="29" fillId="14" borderId="37" xfId="0" applyFont="1" applyFill="1" applyBorder="1" applyAlignment="1">
      <alignment horizontal="center"/>
    </xf>
    <xf numFmtId="0" fontId="30" fillId="14" borderId="37" xfId="0" applyFont="1" applyFill="1" applyBorder="1" applyAlignment="1">
      <alignment horizontal="center"/>
    </xf>
    <xf numFmtId="168" fontId="0" fillId="0" borderId="0" xfId="0" applyNumberFormat="1"/>
    <xf numFmtId="0" fontId="0" fillId="0" borderId="0" xfId="0" applyFill="1"/>
    <xf numFmtId="168" fontId="0" fillId="0" borderId="0" xfId="0" applyNumberFormat="1" applyFill="1"/>
    <xf numFmtId="2" fontId="0" fillId="0" borderId="0" xfId="0" applyNumberFormat="1" applyFill="1"/>
    <xf numFmtId="0" fontId="27" fillId="0" borderId="38" xfId="1" applyFont="1" applyBorder="1"/>
    <xf numFmtId="0" fontId="27" fillId="0" borderId="39" xfId="1" applyFont="1" applyBorder="1"/>
    <xf numFmtId="0" fontId="27" fillId="0" borderId="14" xfId="1" applyFont="1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27" fillId="0" borderId="40" xfId="1" applyFont="1" applyFill="1" applyBorder="1"/>
    <xf numFmtId="0" fontId="36" fillId="0" borderId="0" xfId="0" applyFont="1" applyFill="1" applyBorder="1" applyAlignment="1">
      <alignment horizontal="right" wrapText="1"/>
    </xf>
    <xf numFmtId="0" fontId="37" fillId="0" borderId="14" xfId="0" applyFont="1" applyFill="1" applyBorder="1" applyAlignment="1">
      <alignment horizontal="left"/>
    </xf>
    <xf numFmtId="0" fontId="0" fillId="0" borderId="31" xfId="0" applyBorder="1"/>
    <xf numFmtId="0" fontId="0" fillId="0" borderId="41" xfId="0" applyBorder="1"/>
    <xf numFmtId="0" fontId="0" fillId="0" borderId="37" xfId="0" applyBorder="1"/>
    <xf numFmtId="0" fontId="23" fillId="27" borderId="42" xfId="0" applyFont="1" applyFill="1" applyBorder="1"/>
    <xf numFmtId="0" fontId="23" fillId="27" borderId="43" xfId="0" applyFont="1" applyFill="1" applyBorder="1"/>
    <xf numFmtId="0" fontId="23" fillId="27" borderId="44" xfId="0" applyFont="1" applyFill="1" applyBorder="1"/>
    <xf numFmtId="0" fontId="23" fillId="27" borderId="45" xfId="0" applyFont="1" applyFill="1" applyBorder="1" applyAlignment="1">
      <alignment horizontal="left"/>
    </xf>
    <xf numFmtId="0" fontId="23" fillId="27" borderId="46" xfId="0" applyFont="1" applyFill="1" applyBorder="1"/>
    <xf numFmtId="0" fontId="23" fillId="27" borderId="47" xfId="0" applyFont="1" applyFill="1" applyBorder="1"/>
    <xf numFmtId="0" fontId="6" fillId="3" borderId="0" xfId="0" applyFont="1" applyFill="1" applyAlignment="1" applyProtection="1">
      <alignment horizontal="left" vertical="center" indent="1"/>
    </xf>
    <xf numFmtId="0" fontId="15" fillId="12" borderId="19" xfId="0" quotePrefix="1" applyFont="1" applyFill="1" applyBorder="1" applyAlignment="1" applyProtection="1">
      <alignment horizontal="right" vertical="center" indent="1"/>
      <protection locked="0"/>
    </xf>
    <xf numFmtId="0" fontId="39" fillId="20" borderId="0" xfId="0" applyFont="1" applyFill="1" applyAlignment="1">
      <alignment horizontal="center" vertical="center"/>
    </xf>
    <xf numFmtId="0" fontId="40" fillId="14" borderId="0" xfId="2" applyFont="1" applyFill="1" applyBorder="1" applyAlignment="1">
      <alignment horizontal="center" vertical="center"/>
    </xf>
    <xf numFmtId="0" fontId="18" fillId="17" borderId="14" xfId="2" applyBorder="1" applyAlignment="1">
      <alignment horizontal="right"/>
    </xf>
    <xf numFmtId="0" fontId="18" fillId="17" borderId="31" xfId="2" applyBorder="1" applyAlignment="1">
      <alignment horizontal="right"/>
    </xf>
    <xf numFmtId="0" fontId="31" fillId="20" borderId="26" xfId="0" applyFont="1" applyFill="1" applyBorder="1" applyAlignment="1">
      <alignment horizontal="center"/>
    </xf>
    <xf numFmtId="0" fontId="31" fillId="20" borderId="24" xfId="0" applyFont="1" applyFill="1" applyBorder="1" applyAlignment="1">
      <alignment horizontal="center"/>
    </xf>
    <xf numFmtId="0" fontId="7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vertical="top" wrapText="1" indent="1"/>
    </xf>
    <xf numFmtId="0" fontId="16" fillId="2" borderId="0" xfId="0" applyFont="1" applyFill="1" applyAlignment="1" applyProtection="1">
      <alignment horizontal="left" indent="1"/>
    </xf>
    <xf numFmtId="0" fontId="16" fillId="2" borderId="17" xfId="0" applyFont="1" applyFill="1" applyBorder="1" applyAlignment="1" applyProtection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7" borderId="0" xfId="0" applyFont="1" applyFill="1" applyAlignment="1" applyProtection="1">
      <alignment horizontal="left" indent="1"/>
      <protection locked="0"/>
    </xf>
    <xf numFmtId="0" fontId="8" fillId="7" borderId="0" xfId="0" applyFont="1" applyFill="1" applyAlignment="1" applyProtection="1">
      <alignment horizontal="left" vertical="top" wrapText="1" indent="1"/>
      <protection locked="0"/>
    </xf>
    <xf numFmtId="0" fontId="13" fillId="7" borderId="0" xfId="0" applyFont="1" applyFill="1" applyAlignment="1" applyProtection="1">
      <alignment horizontal="left" vertical="center" wrapText="1" indent="1"/>
      <protection locked="0"/>
    </xf>
    <xf numFmtId="0" fontId="5" fillId="2" borderId="0" xfId="0" applyFont="1" applyFill="1" applyAlignment="1" applyProtection="1">
      <alignment horizontal="left"/>
    </xf>
    <xf numFmtId="0" fontId="6" fillId="3" borderId="0" xfId="0" applyFont="1" applyFill="1" applyAlignment="1" applyProtection="1">
      <alignment horizontal="left" vertical="center" indent="1"/>
    </xf>
    <xf numFmtId="0" fontId="7" fillId="2" borderId="0" xfId="0" applyFont="1" applyFill="1" applyAlignment="1" applyProtection="1">
      <alignment horizontal="left" indent="1"/>
      <protection locked="0"/>
    </xf>
    <xf numFmtId="0" fontId="8" fillId="2" borderId="0" xfId="0" applyFont="1" applyFill="1" applyAlignment="1" applyProtection="1">
      <alignment horizontal="left" vertical="top" wrapText="1" indent="1"/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9" fillId="4" borderId="0" xfId="0" applyFont="1" applyFill="1" applyBorder="1" applyAlignment="1" applyProtection="1">
      <alignment horizontal="left" vertical="center" indent="1"/>
      <protection locked="0"/>
    </xf>
    <xf numFmtId="0" fontId="9" fillId="4" borderId="2" xfId="0" applyFont="1" applyFill="1" applyBorder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left" indent="1"/>
      <protection locked="0"/>
    </xf>
    <xf numFmtId="0" fontId="15" fillId="12" borderId="18" xfId="0" quotePrefix="1" applyFont="1" applyFill="1" applyBorder="1" applyAlignment="1" applyProtection="1">
      <alignment horizontal="right" vertical="center" indent="1"/>
      <protection locked="0"/>
    </xf>
  </cellXfs>
  <cellStyles count="4">
    <cellStyle name="Bad" xfId="2" builtinId="27"/>
    <cellStyle name="Good" xfId="3" builtinId="26"/>
    <cellStyle name="Heading 2" xfId="1" builtinId="17"/>
    <cellStyle name="Normal" xfId="0" builtinId="0"/>
  </cellStyles>
  <dxfs count="554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ont>
        <b val="0"/>
        <i val="0"/>
        <strike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C7683B3-E304-4E27-9495-339461A9BD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B$3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2</xdr:row>
          <xdr:rowOff>38100</xdr:rowOff>
        </xdr:from>
        <xdr:to>
          <xdr:col>1</xdr:col>
          <xdr:colOff>1912620</xdr:colOff>
          <xdr:row>2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save every sample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0</xdr:row>
          <xdr:rowOff>160020</xdr:rowOff>
        </xdr:from>
        <xdr:to>
          <xdr:col>16</xdr:col>
          <xdr:colOff>594360</xdr:colOff>
          <xdr:row>3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</xdr:row>
          <xdr:rowOff>22860</xdr:rowOff>
        </xdr:from>
        <xdr:to>
          <xdr:col>1</xdr:col>
          <xdr:colOff>2118360</xdr:colOff>
          <xdr:row>1</xdr:row>
          <xdr:rowOff>266700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save at end of session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52C4E75-A164-BF65-D0C5-05C7D6A8A7E9}"/>
            </a:ext>
          </a:extLst>
        </xdr:cNvPr>
        <xdr:cNvSpPr/>
      </xdr:nvSpPr>
      <xdr:spPr>
        <a:xfrm>
          <a:off x="8404860" y="5463540"/>
          <a:ext cx="62484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AB13EB-58F0-47DE-B630-C50CB75966A7}" name="TBL_CUR" displayName="TBL_CUR" ref="A4:K5" totalsRowShown="0" headerRowDxfId="25" dataDxfId="23">
  <autoFilter ref="A4:K5" xr:uid="{52AB13EB-58F0-47DE-B630-C50CB75966A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524B066-CA62-4528-A38E-2850A694FADD}" name="TIME" dataDxfId="12"/>
    <tableColumn id="2" xr3:uid="{8479D999-7FB9-4654-94E9-7A09190AC3E0}" name="CH1" dataDxfId="13"/>
    <tableColumn id="3" xr3:uid="{B6F773D2-61E0-41C8-94B4-B8A1F069FDEA}" name="CH2" dataDxfId="22"/>
    <tableColumn id="4" xr3:uid="{88010F31-F8BE-4183-B2BD-B6AB5DDAC42D}" name="CH3" dataDxfId="21"/>
    <tableColumn id="5" xr3:uid="{8686F2CA-D718-400F-9C79-424DB8D4F1A4}" name="CH4" dataDxfId="20"/>
    <tableColumn id="6" xr3:uid="{0FECC544-864F-4DE0-B709-04F784123DE8}" name="CH5" dataDxfId="19"/>
    <tableColumn id="7" xr3:uid="{29898C8F-773D-4495-B010-FBFD73080E6C}" name="CH6" dataDxfId="18"/>
    <tableColumn id="8" xr3:uid="{9D8078BB-B4CB-4425-BE62-10A560F50D56}" name="CH7" dataDxfId="17"/>
    <tableColumn id="9" xr3:uid="{3124A585-0BDA-46FC-9384-9402DA056159}" name="CH8" dataDxfId="16"/>
    <tableColumn id="10" xr3:uid="{C6DC00D1-AA7D-4E4B-A1F9-4B21BEA48C22}" name="CH9" dataDxfId="15"/>
    <tableColumn id="11" xr3:uid="{4770F221-0ED6-41B8-99DF-F232FC1CD9EF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23700B-27AB-4BFD-9269-029CD3D6DAD5}" name="TBL_HST" displayName="TBL_HST" ref="A7:K22" totalsRowShown="0" headerRowDxfId="24" dataDxfId="11">
  <autoFilter ref="A7:K22" xr:uid="{2323700B-27AB-4BFD-9269-029CD3D6DA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562D05D-9EAE-4106-BD53-DD4502BB3632}" name="TIME" dataDxfId="0"/>
    <tableColumn id="2" xr3:uid="{1DF893B8-547E-493C-8286-DDFEF4666B7E}" name="CH1" dataDxfId="1"/>
    <tableColumn id="3" xr3:uid="{BF3C04FC-7231-4549-A4EB-E7288FE0A5A6}" name="CH2" dataDxfId="10"/>
    <tableColumn id="4" xr3:uid="{36B62FCB-F37B-46CC-8173-2BFA22C59367}" name="CH3" dataDxfId="9"/>
    <tableColumn id="5" xr3:uid="{135A60F7-40E3-4106-967E-11FA1767C423}" name="CH4" dataDxfId="8"/>
    <tableColumn id="6" xr3:uid="{732E0898-ABFA-48CC-9D80-C114A23F6CC9}" name="CH5" dataDxfId="7"/>
    <tableColumn id="7" xr3:uid="{630ABFC3-E2EF-487B-946B-4A1E7D0F4146}" name="CH6" dataDxfId="6"/>
    <tableColumn id="8" xr3:uid="{E5BE0D88-B971-4972-83D0-E144C46A64FB}" name="CH7" dataDxfId="5"/>
    <tableColumn id="9" xr3:uid="{85589D82-4C1A-45A0-8F37-F5584B35B1E2}" name="CH8" dataDxfId="4"/>
    <tableColumn id="10" xr3:uid="{892CC187-8BA3-4E85-99C9-AB7A7CF853F4}" name="CH9" dataDxfId="3"/>
    <tableColumn id="11" xr3:uid="{B26469C0-CFB1-4D97-992C-3354BFE996E7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1F32-E603-41B5-AA6C-06CF6FAB6136}">
  <sheetPr codeName="Sheet1"/>
  <dimension ref="A1:CF627"/>
  <sheetViews>
    <sheetView showZeros="0" tabSelected="1" topLeftCell="A429" zoomScale="85" zoomScaleNormal="85" workbookViewId="0">
      <selection activeCell="E448" sqref="E448"/>
    </sheetView>
  </sheetViews>
  <sheetFormatPr defaultRowHeight="14.4" x14ac:dyDescent="0.3"/>
  <cols>
    <col min="1" max="1" width="37.33203125" customWidth="1"/>
    <col min="2" max="2" width="40.109375" customWidth="1"/>
    <col min="3" max="3" width="11.6640625" customWidth="1"/>
    <col min="4" max="4" width="9.88671875" bestFit="1" customWidth="1"/>
    <col min="5" max="5" width="12" customWidth="1"/>
    <col min="6" max="6" width="10.44140625" customWidth="1"/>
    <col min="7" max="7" width="11.44140625" customWidth="1"/>
    <col min="13" max="13" width="8.33203125" customWidth="1"/>
    <col min="14" max="14" width="18.44140625" customWidth="1"/>
    <col min="15" max="15" width="17.5546875" customWidth="1"/>
  </cols>
  <sheetData>
    <row r="1" spans="1:84" ht="17.25" customHeight="1" x14ac:dyDescent="0.3">
      <c r="A1" s="121">
        <v>2.2954400000000001</v>
      </c>
      <c r="B1" s="122"/>
      <c r="C1" s="44" t="s">
        <v>38</v>
      </c>
      <c r="D1" s="40" t="s">
        <v>34</v>
      </c>
      <c r="E1" s="31" t="s">
        <v>35</v>
      </c>
      <c r="F1" t="s">
        <v>36</v>
      </c>
      <c r="G1" t="s">
        <v>37</v>
      </c>
      <c r="L1" s="119" t="s">
        <v>70</v>
      </c>
      <c r="M1" s="119"/>
      <c r="N1" s="45">
        <f ca="1">NOW()</f>
        <v>45679.572627430556</v>
      </c>
      <c r="O1" s="39"/>
      <c r="AH1" s="106"/>
      <c r="AI1" t="s">
        <v>39</v>
      </c>
    </row>
    <row r="2" spans="1:84" ht="17.399999999999999" x14ac:dyDescent="0.3">
      <c r="A2" s="87" t="s">
        <v>511</v>
      </c>
      <c r="B2" s="49" t="b">
        <v>0</v>
      </c>
      <c r="C2" s="48" t="str">
        <f t="shared" ref="C2:C11" si="0">IF(B$6&gt;=D2,"DONE","")</f>
        <v>DONE</v>
      </c>
      <c r="D2" s="41">
        <v>1</v>
      </c>
      <c r="E2" s="32" t="e">
        <f>VLOOKUP($B$7,Setups!$A$3:$N$100,D2+4)</f>
        <v>#VALUE!</v>
      </c>
      <c r="F2" s="50" t="e">
        <f>IF(    E2&gt;0,   IF(         HLOOKUP(D2+1,Setups!$E$2:N$100,B$7+1)=0,MAX( E2, VLOOKUP($B$7, Setups!$A$3:$Y$100,25)  ),      HLOOKUP(D2+1,Setups!$E$2:N$100,B$7+1) - 1          ),0        )</f>
        <v>#VALUE!</v>
      </c>
      <c r="G2" s="33" t="e">
        <f>IF(  F2&gt;0, IF(F2&gt;E2,"Right","Down"),"")</f>
        <v>#VALUE!</v>
      </c>
      <c r="H2" t="e">
        <f>IF(G2="Right",1,0)</f>
        <v>#VALUE!</v>
      </c>
      <c r="J2" s="30"/>
      <c r="K2" s="34"/>
      <c r="L2" s="119" t="s">
        <v>71</v>
      </c>
      <c r="M2" s="119"/>
      <c r="N2" s="45" cm="1">
        <f t="array" ref="N2">TBL_CUR[TIME]</f>
        <v>45679.571258009259</v>
      </c>
      <c r="AH2" s="107" t="s">
        <v>629</v>
      </c>
      <c r="AI2" t="s">
        <v>40</v>
      </c>
    </row>
    <row r="3" spans="1:84" ht="15" thickBot="1" x14ac:dyDescent="0.35">
      <c r="A3" t="s">
        <v>510</v>
      </c>
      <c r="B3" s="35" t="b">
        <v>0</v>
      </c>
      <c r="C3" s="48" t="str">
        <f t="shared" si="0"/>
        <v>DONE</v>
      </c>
      <c r="D3" s="41">
        <v>2</v>
      </c>
      <c r="E3" s="32" t="e">
        <f>VLOOKUP($B$7,Setups!$A$3:$N$100,D3+4)</f>
        <v>#VALUE!</v>
      </c>
      <c r="F3" s="50" t="e">
        <f>IF(    E3&gt;0,   IF(         HLOOKUP(D3+1,Setups!$E$2:N$100,B$7+1)=0,MAX( E3, VLOOKUP($B$7, Setups!$A$3:$Y$100,25)  ),      HLOOKUP(D3+1,Setups!$E$2:N$100,B$7+1) - 1          ),0        )</f>
        <v>#VALUE!</v>
      </c>
      <c r="G3" s="33" t="e">
        <f t="shared" ref="G3:G11" si="1">IF(  F3&gt;0, IF(F3&gt;E3,"Right","Down"),"")</f>
        <v>#VALUE!</v>
      </c>
      <c r="H3" t="e">
        <f t="shared" ref="H3:H11" si="2">IF(G3="Right",1,0)</f>
        <v>#VALUE!</v>
      </c>
      <c r="J3" s="30"/>
      <c r="K3" s="34"/>
      <c r="L3" s="120" t="s">
        <v>72</v>
      </c>
      <c r="M3" s="120"/>
      <c r="N3" s="82">
        <f>IF(ISBLANK('Data In'!B22),"",IF(RIGHT('Data In'!B22,1)&lt;&gt;RIGHT(B4,1),VALUE(MID('Data In'!B22,1,LEN('Data In'!B22))),VALUE(MID('Data In'!B22,1,LEN('Data In'!B22)-LEN(B4)))))</f>
        <v>2.2638600000000002</v>
      </c>
      <c r="AH3" s="107" t="s">
        <v>630</v>
      </c>
      <c r="AI3" t="s">
        <v>41</v>
      </c>
    </row>
    <row r="4" spans="1:84" ht="18" customHeight="1" x14ac:dyDescent="0.3">
      <c r="A4" s="104" t="s">
        <v>635</v>
      </c>
      <c r="B4" s="105" t="s">
        <v>628</v>
      </c>
      <c r="C4" s="48" t="str">
        <f t="shared" si="0"/>
        <v>DONE</v>
      </c>
      <c r="D4" s="41">
        <v>3</v>
      </c>
      <c r="E4" s="32" t="e">
        <f>VLOOKUP($B$7,Setups!$A$3:$N$100,D4+4)</f>
        <v>#VALUE!</v>
      </c>
      <c r="F4" s="50" t="e">
        <f>IF(    E4&gt;0,   IF(         HLOOKUP(D4+1,Setups!$E$2:N$100,B$7+1)=0,MAX( E4, VLOOKUP($B$7, Setups!$A$3:$Y$100,25)  ),      HLOOKUP(D4+1,Setups!$E$2:N$100,B$7+1) - 1          ),0        )</f>
        <v>#VALUE!</v>
      </c>
      <c r="G4" s="33" t="e">
        <f t="shared" si="1"/>
        <v>#VALUE!</v>
      </c>
      <c r="H4" t="e">
        <f t="shared" si="2"/>
        <v>#VALUE!</v>
      </c>
      <c r="J4" s="30"/>
      <c r="K4" s="109" t="s">
        <v>507</v>
      </c>
      <c r="L4" s="110">
        <f>COUNT(avertime)</f>
        <v>15</v>
      </c>
      <c r="M4" s="110" t="s">
        <v>504</v>
      </c>
      <c r="N4" s="110">
        <v>45678.690601192131</v>
      </c>
      <c r="O4" s="111"/>
      <c r="U4" t="str">
        <f>IF(B2,"x","")</f>
        <v/>
      </c>
      <c r="AH4" s="107" t="s">
        <v>628</v>
      </c>
      <c r="AI4" t="s">
        <v>42</v>
      </c>
    </row>
    <row r="5" spans="1:84" ht="15" customHeight="1" thickBot="1" x14ac:dyDescent="0.35">
      <c r="A5" s="88" t="s">
        <v>43</v>
      </c>
      <c r="B5" s="89">
        <f>COUNTA(A14:A10014)+13</f>
        <v>477</v>
      </c>
      <c r="C5" s="48" t="str">
        <f t="shared" si="0"/>
        <v>DONE</v>
      </c>
      <c r="D5" s="42">
        <v>4</v>
      </c>
      <c r="E5" s="32" t="e">
        <f>VLOOKUP($B$7,Setups!$A$3:$N$100,D5+4)</f>
        <v>#VALUE!</v>
      </c>
      <c r="F5" s="50" t="e">
        <f>IF(    E5&gt;0,   IF(         HLOOKUP(D5+1,Setups!$E$2:N$100,B$7+1)=0,MAX( E5, VLOOKUP($B$7, Setups!$A$3:$Y$100,25)  ),      HLOOKUP(D5+1,Setups!$E$2:N$100,B$7+1) - 1          ),0        )</f>
        <v>#VALUE!</v>
      </c>
      <c r="G5" s="33" t="e">
        <f t="shared" si="1"/>
        <v>#VALUE!</v>
      </c>
      <c r="H5" t="e">
        <f t="shared" si="2"/>
        <v>#VALUE!</v>
      </c>
      <c r="J5" s="30"/>
      <c r="K5" s="112" t="s">
        <v>506</v>
      </c>
      <c r="L5" s="113">
        <v>0</v>
      </c>
      <c r="M5" s="113" t="s">
        <v>505</v>
      </c>
      <c r="N5" s="113">
        <f>IF(ISERROR(O5),0,O5)</f>
        <v>45679.571258009259</v>
      </c>
      <c r="O5" s="114">
        <f>'Data In'!A22</f>
        <v>45679.571258009259</v>
      </c>
      <c r="AH5" s="107" t="s">
        <v>631</v>
      </c>
    </row>
    <row r="6" spans="1:84" ht="15" customHeight="1" x14ac:dyDescent="0.3">
      <c r="A6" s="81" t="s">
        <v>69</v>
      </c>
      <c r="B6" s="81">
        <v>5</v>
      </c>
      <c r="C6" s="48" t="str">
        <f t="shared" si="0"/>
        <v>DONE</v>
      </c>
      <c r="D6" s="41">
        <v>5</v>
      </c>
      <c r="E6" s="32" t="e">
        <f>VLOOKUP($B$7,Setups!$A$3:$N$100,D6+4)</f>
        <v>#VALUE!</v>
      </c>
      <c r="F6" s="50" t="e">
        <f>IF(    E6&gt;0,   IF(         HLOOKUP(D6+1,Setups!$E$2:N$100,B$7+1)=0,MAX( E6, VLOOKUP($B$7, Setups!$A$3:$Y$100,25)  ),      HLOOKUP(D6+1,Setups!$E$2:N$100,B$7+1) - 1          ),0        )</f>
        <v>#VALUE!</v>
      </c>
      <c r="G6" s="33" t="e">
        <f t="shared" si="1"/>
        <v>#VALUE!</v>
      </c>
      <c r="H6" t="e">
        <f t="shared" si="2"/>
        <v>#VALUE!</v>
      </c>
      <c r="I6" s="118" t="str" cm="1">
        <f t="array" ref="I6">IF(ISBLANK(TBL_CUR[CH1]),"To start use Data Streamer &gt; 'Connect a Device' '","To finish use Data Streamer &gt; Disconnect Device")</f>
        <v>To finish use Data Streamer &gt; Disconnect Device</v>
      </c>
      <c r="J6" s="118"/>
      <c r="K6" s="118"/>
      <c r="L6" s="118"/>
      <c r="M6" s="118"/>
      <c r="N6" s="118"/>
      <c r="O6" s="118"/>
      <c r="AH6" s="107" t="s">
        <v>632</v>
      </c>
      <c r="CF6">
        <f>COLUMN()</f>
        <v>84</v>
      </c>
    </row>
    <row r="7" spans="1:84" ht="15.75" customHeight="1" x14ac:dyDescent="0.3">
      <c r="A7" s="81" t="s">
        <v>79</v>
      </c>
      <c r="B7" s="81" t="e">
        <f>VALUE(LEFT(A1,FIND(":",A1,1)-1))</f>
        <v>#VALUE!</v>
      </c>
      <c r="C7" s="48" t="str">
        <f t="shared" si="0"/>
        <v/>
      </c>
      <c r="D7" s="41">
        <v>6</v>
      </c>
      <c r="E7" s="32" t="e">
        <f>VLOOKUP($B$7,Setups!$A$3:$N$100,D7+4)</f>
        <v>#VALUE!</v>
      </c>
      <c r="F7" s="50" t="e">
        <f>IF(    E7&gt;0,   IF(         HLOOKUP(D7+1,Setups!$E$2:N$100,B$7+1)=0,MAX( E7, VLOOKUP($B$7, Setups!$A$3:$Y$100,25)  ),      HLOOKUP(D7+1,Setups!$E$2:N$100,B$7+1) - 1          ),0        )</f>
        <v>#VALUE!</v>
      </c>
      <c r="G7" s="33" t="e">
        <f t="shared" si="1"/>
        <v>#VALUE!</v>
      </c>
      <c r="H7" t="e">
        <f t="shared" si="2"/>
        <v>#VALUE!</v>
      </c>
      <c r="I7" s="118"/>
      <c r="J7" s="118"/>
      <c r="K7" s="118"/>
      <c r="L7" s="118"/>
      <c r="M7" s="118"/>
      <c r="N7" s="118"/>
      <c r="O7" s="118"/>
      <c r="AH7" s="107" t="s">
        <v>633</v>
      </c>
      <c r="CF7">
        <f>CF6-AI6</f>
        <v>84</v>
      </c>
    </row>
    <row r="8" spans="1:84" ht="21" x14ac:dyDescent="0.4">
      <c r="A8" s="84" t="s">
        <v>508</v>
      </c>
      <c r="B8" s="83"/>
      <c r="C8" s="48" t="str">
        <f t="shared" si="0"/>
        <v/>
      </c>
      <c r="D8" s="41">
        <v>7</v>
      </c>
      <c r="E8" s="32" t="e">
        <f>VLOOKUP($B$7,Setups!$A$3:$N$100,D8+4)</f>
        <v>#VALUE!</v>
      </c>
      <c r="F8" s="50" t="e">
        <f>IF(    E8&gt;0,   IF(         HLOOKUP(D8+1,Setups!$E$2:N$100,B$7+1)=0,MAX( E8, VLOOKUP($B$7, Setups!$A$3:$Y$100,25)  ),      HLOOKUP(D8+1,Setups!$E$2:N$100,B$7+1) - 1          ),0        )</f>
        <v>#VALUE!</v>
      </c>
      <c r="G8" s="33" t="e">
        <f t="shared" si="1"/>
        <v>#VALUE!</v>
      </c>
      <c r="H8" t="e">
        <f t="shared" si="2"/>
        <v>#VALUE!</v>
      </c>
      <c r="AH8" s="107" t="s">
        <v>634</v>
      </c>
    </row>
    <row r="9" spans="1:84" ht="21" x14ac:dyDescent="0.4">
      <c r="A9" s="84" t="s">
        <v>512</v>
      </c>
      <c r="B9" s="83"/>
      <c r="C9" s="48" t="str">
        <f t="shared" si="0"/>
        <v/>
      </c>
      <c r="D9" s="41">
        <v>8</v>
      </c>
      <c r="E9" s="32"/>
      <c r="F9" s="50">
        <f>IF(    E9&gt;0,   IF(         HLOOKUP(D9+1,Setups!$E$2:N$100,B$7+1)=0,MAX( E9, VLOOKUP($B$7, Setups!$A$3:$Y$100,25)  ),      HLOOKUP(D9+1,Setups!$E$2:N$100,B$7+1) - 1          ),0        )</f>
        <v>0</v>
      </c>
      <c r="G9" s="33" t="str">
        <f t="shared" si="1"/>
        <v/>
      </c>
      <c r="H9">
        <f t="shared" si="2"/>
        <v>0</v>
      </c>
      <c r="AH9" s="107"/>
    </row>
    <row r="10" spans="1:84" ht="18" customHeight="1" x14ac:dyDescent="0.4">
      <c r="A10" s="84" t="s">
        <v>509</v>
      </c>
      <c r="B10" s="85"/>
      <c r="C10" s="48" t="str">
        <f t="shared" si="0"/>
        <v/>
      </c>
      <c r="D10" s="41">
        <v>9</v>
      </c>
      <c r="E10" s="32"/>
      <c r="F10" s="50">
        <f>IF(    E10&gt;0,   IF(         HLOOKUP(D10+1,Setups!$E$2:N$100,B$7+1)=0,MAX( E10, VLOOKUP($B$7, Setups!$A$3:$Y$100,25)  ),      HLOOKUP(D10+1,Setups!$E$2:N$100,B$7+1) - 1          ),0        )</f>
        <v>0</v>
      </c>
      <c r="G10" s="33" t="str">
        <f t="shared" si="1"/>
        <v/>
      </c>
      <c r="H10">
        <f t="shared" si="2"/>
        <v>0</v>
      </c>
      <c r="AH10" s="107"/>
    </row>
    <row r="11" spans="1:84" ht="15" customHeight="1" thickBot="1" x14ac:dyDescent="0.35">
      <c r="A11" s="117" t="str" cm="1">
        <f t="array" ref="A11">IF(ISBLANK(TBL_CUR[CH1]),"To start select Data Streamer &gt; 'Connect a Device' '","To finish use Data Streamer &gt; Disconnect Device")</f>
        <v>To finish use Data Streamer &gt; Disconnect Device</v>
      </c>
      <c r="B11" s="117"/>
      <c r="C11" s="51" t="str">
        <f t="shared" si="0"/>
        <v/>
      </c>
      <c r="D11" s="43">
        <v>10</v>
      </c>
      <c r="E11" s="51"/>
      <c r="F11" s="52">
        <f>IF(    E11&gt;0,   IF(         HLOOKUP(D11+1,Setups!$E$2:N$100,B$7+1)=0,MAX( E11, VLOOKUP($B$7, Setups!$A$3:$Y$100,25)  ),      HLOOKUP(D11+1,Setups!$E$2:N$100,B$7+1) - 1          ),0        )</f>
        <v>0</v>
      </c>
      <c r="G11" s="33" t="str">
        <f t="shared" si="1"/>
        <v/>
      </c>
      <c r="H11">
        <f t="shared" si="2"/>
        <v>0</v>
      </c>
      <c r="AC11">
        <f>COLUMN()</f>
        <v>29</v>
      </c>
      <c r="AH11" s="108"/>
    </row>
    <row r="12" spans="1:84" ht="17.399999999999999" customHeight="1" x14ac:dyDescent="0.35">
      <c r="A12" s="117"/>
      <c r="B12" s="117"/>
      <c r="D12" s="36" t="s">
        <v>44</v>
      </c>
      <c r="E12" s="37" t="s">
        <v>45</v>
      </c>
      <c r="F12" s="36" t="s">
        <v>46</v>
      </c>
      <c r="G12" s="37" t="s">
        <v>47</v>
      </c>
      <c r="H12" s="36" t="s">
        <v>48</v>
      </c>
      <c r="I12" s="37" t="s">
        <v>49</v>
      </c>
      <c r="J12" s="36" t="s">
        <v>50</v>
      </c>
      <c r="K12" s="37" t="s">
        <v>51</v>
      </c>
      <c r="L12" s="36" t="s">
        <v>52</v>
      </c>
      <c r="M12" s="37" t="s">
        <v>53</v>
      </c>
      <c r="N12" s="36" t="s">
        <v>54</v>
      </c>
      <c r="O12" s="37" t="s">
        <v>55</v>
      </c>
      <c r="P12" s="36" t="s">
        <v>56</v>
      </c>
      <c r="Q12" s="37" t="s">
        <v>57</v>
      </c>
      <c r="R12" s="36" t="s">
        <v>58</v>
      </c>
      <c r="S12" s="37" t="s">
        <v>59</v>
      </c>
      <c r="T12" s="36" t="s">
        <v>60</v>
      </c>
      <c r="U12" s="37" t="s">
        <v>61</v>
      </c>
      <c r="V12" s="36" t="s">
        <v>62</v>
      </c>
      <c r="W12" s="37" t="s">
        <v>63</v>
      </c>
      <c r="X12" s="36" t="s">
        <v>64</v>
      </c>
      <c r="Y12" s="37" t="s">
        <v>65</v>
      </c>
      <c r="Z12" s="36" t="s">
        <v>66</v>
      </c>
      <c r="AA12" s="37" t="s">
        <v>67</v>
      </c>
      <c r="AB12" s="36" t="s">
        <v>68</v>
      </c>
      <c r="AC12" s="37" t="s">
        <v>82</v>
      </c>
      <c r="AD12" s="36" t="s">
        <v>83</v>
      </c>
      <c r="AE12" s="37" t="s">
        <v>84</v>
      </c>
      <c r="AF12" s="36" t="s">
        <v>85</v>
      </c>
      <c r="AG12" s="37" t="s">
        <v>86</v>
      </c>
      <c r="AH12" s="37" t="s">
        <v>293</v>
      </c>
      <c r="AI12" s="37" t="s">
        <v>294</v>
      </c>
      <c r="AJ12" s="37" t="s">
        <v>295</v>
      </c>
      <c r="AK12" s="37" t="s">
        <v>296</v>
      </c>
      <c r="AL12" s="37" t="s">
        <v>297</v>
      </c>
      <c r="AM12" s="37" t="s">
        <v>298</v>
      </c>
      <c r="AN12" s="37" t="s">
        <v>299</v>
      </c>
      <c r="AO12" s="37" t="s">
        <v>300</v>
      </c>
      <c r="AP12" s="37" t="s">
        <v>301</v>
      </c>
      <c r="AQ12" s="37" t="s">
        <v>302</v>
      </c>
      <c r="AR12" s="37" t="s">
        <v>303</v>
      </c>
      <c r="AS12" s="37" t="s">
        <v>304</v>
      </c>
      <c r="AT12" s="37" t="s">
        <v>305</v>
      </c>
      <c r="AU12" s="37" t="s">
        <v>306</v>
      </c>
      <c r="AV12" s="37" t="s">
        <v>307</v>
      </c>
      <c r="AW12" s="37" t="s">
        <v>308</v>
      </c>
      <c r="AX12" s="37" t="s">
        <v>309</v>
      </c>
      <c r="AY12" s="37" t="s">
        <v>310</v>
      </c>
      <c r="AZ12" s="37" t="s">
        <v>311</v>
      </c>
      <c r="BA12" s="37" t="s">
        <v>312</v>
      </c>
      <c r="BB12" s="37" t="s">
        <v>313</v>
      </c>
      <c r="BC12" s="37" t="s">
        <v>314</v>
      </c>
      <c r="BD12" s="37" t="s">
        <v>315</v>
      </c>
      <c r="BE12" s="37" t="s">
        <v>316</v>
      </c>
      <c r="BF12" s="37" t="s">
        <v>317</v>
      </c>
      <c r="BG12" s="37" t="s">
        <v>318</v>
      </c>
      <c r="BH12" s="37" t="s">
        <v>319</v>
      </c>
      <c r="BI12" s="37" t="s">
        <v>320</v>
      </c>
      <c r="BJ12" s="37" t="s">
        <v>321</v>
      </c>
      <c r="BK12" s="37" t="s">
        <v>322</v>
      </c>
      <c r="BL12" s="37" t="s">
        <v>481</v>
      </c>
      <c r="BM12" s="37" t="s">
        <v>482</v>
      </c>
      <c r="BN12" s="37" t="s">
        <v>483</v>
      </c>
      <c r="BO12" s="37" t="s">
        <v>484</v>
      </c>
      <c r="BP12" s="37" t="s">
        <v>485</v>
      </c>
      <c r="BQ12" s="37" t="s">
        <v>486</v>
      </c>
      <c r="BR12" s="37" t="s">
        <v>487</v>
      </c>
      <c r="BS12" s="37" t="s">
        <v>488</v>
      </c>
      <c r="BT12" s="37" t="s">
        <v>489</v>
      </c>
      <c r="BU12" s="37" t="s">
        <v>490</v>
      </c>
      <c r="BV12" s="37" t="s">
        <v>491</v>
      </c>
      <c r="BW12" s="37" t="s">
        <v>492</v>
      </c>
      <c r="BX12" s="37" t="s">
        <v>493</v>
      </c>
      <c r="BY12" s="37" t="s">
        <v>494</v>
      </c>
      <c r="BZ12" s="37" t="s">
        <v>495</v>
      </c>
      <c r="CA12" s="37" t="s">
        <v>496</v>
      </c>
      <c r="CB12" s="37" t="s">
        <v>497</v>
      </c>
      <c r="CC12" s="37" t="s">
        <v>498</v>
      </c>
      <c r="CD12" s="37" t="s">
        <v>499</v>
      </c>
      <c r="CE12" s="37" t="s">
        <v>500</v>
      </c>
      <c r="CF12" s="37" t="s">
        <v>501</v>
      </c>
    </row>
    <row r="13" spans="1:84" s="54" customFormat="1" ht="59.25" customHeight="1" x14ac:dyDescent="0.35">
      <c r="A13" s="36" t="s">
        <v>74</v>
      </c>
      <c r="B13" s="55" t="s">
        <v>567</v>
      </c>
      <c r="C13" s="36" t="s">
        <v>568</v>
      </c>
      <c r="D13" s="56" t="e">
        <f>VLOOKUP($B$7,Setups!$A3:$DB100,COLUMN()+22)</f>
        <v>#VALUE!</v>
      </c>
      <c r="E13" s="56" t="e">
        <f>VLOOKUP($B$7,Setups!$A3:$DB100,COLUMN()+22)</f>
        <v>#VALUE!</v>
      </c>
      <c r="F13" s="56" t="e">
        <f>VLOOKUP($B$7,Setups!$A3:$DB100,COLUMN()+22)</f>
        <v>#VALUE!</v>
      </c>
      <c r="G13" s="56" t="e">
        <f>VLOOKUP($B$7,Setups!$A3:$DB100,COLUMN()+22)</f>
        <v>#VALUE!</v>
      </c>
      <c r="H13" s="56" t="e">
        <f>VLOOKUP($B$7,Setups!$A3:$DB100,COLUMN()+22)</f>
        <v>#VALUE!</v>
      </c>
      <c r="I13" s="56" t="e">
        <f>VLOOKUP($B$7,Setups!$A3:$DB100,COLUMN()+22)</f>
        <v>#VALUE!</v>
      </c>
      <c r="J13" s="56" t="e">
        <f>VLOOKUP($B$7,Setups!$A3:$DB100,COLUMN()+22)</f>
        <v>#VALUE!</v>
      </c>
      <c r="K13" s="56" t="e">
        <f>VLOOKUP($B$7,Setups!$A3:$DB100,COLUMN()+22)</f>
        <v>#VALUE!</v>
      </c>
      <c r="L13" s="56" t="e">
        <f>VLOOKUP($B$7,Setups!$A3:$DB100,COLUMN()+22)</f>
        <v>#VALUE!</v>
      </c>
      <c r="M13" s="56" t="e">
        <f>VLOOKUP($B$7,Setups!$A3:$DB100,COLUMN()+22)</f>
        <v>#VALUE!</v>
      </c>
      <c r="N13" s="56" t="e">
        <f>VLOOKUP($B$7,Setups!$A3:$DB100,COLUMN()+22)</f>
        <v>#VALUE!</v>
      </c>
      <c r="O13" s="56" t="e">
        <f>VLOOKUP($B$7,Setups!$A3:$DB100,COLUMN()+22)</f>
        <v>#VALUE!</v>
      </c>
      <c r="P13" s="56" t="e">
        <f>VLOOKUP($B$7,Setups!$A3:$DB100,COLUMN()+22)</f>
        <v>#VALUE!</v>
      </c>
      <c r="Q13" s="56" t="e">
        <f>VLOOKUP($B$7,Setups!$A3:$DB100,COLUMN()+22)</f>
        <v>#VALUE!</v>
      </c>
      <c r="R13" s="56" t="e">
        <f>VLOOKUP($B$7,Setups!$A3:$DB100,COLUMN()+22)</f>
        <v>#VALUE!</v>
      </c>
      <c r="S13" s="56" t="e">
        <f>VLOOKUP($B$7,Setups!$A3:$DB100,COLUMN()+22)</f>
        <v>#VALUE!</v>
      </c>
      <c r="T13" s="56" t="e">
        <f>VLOOKUP($B$7,Setups!$A3:$DB100,COLUMN()+22)</f>
        <v>#VALUE!</v>
      </c>
      <c r="U13" s="56" t="e">
        <f>VLOOKUP($B$7,Setups!$A3:$DB100,COLUMN()+22)</f>
        <v>#VALUE!</v>
      </c>
      <c r="V13" s="56" t="e">
        <f>VLOOKUP($B$7,Setups!$A3:$DB100,COLUMN()+22)</f>
        <v>#VALUE!</v>
      </c>
      <c r="W13" s="56" t="e">
        <f>VLOOKUP($B$7,Setups!$A3:$DB100,COLUMN()+22)</f>
        <v>#VALUE!</v>
      </c>
      <c r="X13" s="56" t="e">
        <f>VLOOKUP($B$7,Setups!$A3:$DB100,COLUMN()+22)</f>
        <v>#VALUE!</v>
      </c>
      <c r="Y13" s="56" t="e">
        <f>VLOOKUP($B$7,Setups!$A3:$DB100,COLUMN()+22)</f>
        <v>#VALUE!</v>
      </c>
      <c r="Z13" s="56" t="e">
        <f>VLOOKUP($B$7,Setups!$A3:$DB100,COLUMN()+22)</f>
        <v>#VALUE!</v>
      </c>
      <c r="AA13" s="56" t="e">
        <f>VLOOKUP($B$7,Setups!$A3:$DB100,COLUMN()+22)</f>
        <v>#VALUE!</v>
      </c>
      <c r="AB13" s="56" t="e">
        <f>VLOOKUP($B$7,Setups!$A3:$DB100,COLUMN()+22)</f>
        <v>#VALUE!</v>
      </c>
      <c r="AC13" s="56" t="e">
        <f>VLOOKUP($B$7,Setups!$A3:$DB100,COLUMN()+22)</f>
        <v>#VALUE!</v>
      </c>
      <c r="AD13" s="56" t="e">
        <f>VLOOKUP($B$7,Setups!$A3:$DB100,COLUMN()+22)</f>
        <v>#VALUE!</v>
      </c>
      <c r="AE13" s="56" t="e">
        <f>VLOOKUP($B$7,Setups!$A3:$DB100,COLUMN()+22)</f>
        <v>#VALUE!</v>
      </c>
      <c r="AF13" s="56" t="e">
        <f>VLOOKUP($B$7,Setups!$A3:$DB100,COLUMN()+22)</f>
        <v>#VALUE!</v>
      </c>
      <c r="AG13" s="56"/>
      <c r="AH13" s="70" t="e">
        <f>VLOOKUP($B$7,Setups!$A3:$DB100,COLUMN()+22)</f>
        <v>#VALUE!</v>
      </c>
      <c r="AI13" s="70" t="e">
        <f>VLOOKUP($B$7,Setups!$A3:$DB100,COLUMN()+22)</f>
        <v>#VALUE!</v>
      </c>
      <c r="AJ13" s="70" t="e">
        <f>VLOOKUP($B$7,Setups!$A3:$DB100,COLUMN()+22)</f>
        <v>#VALUE!</v>
      </c>
      <c r="AK13" s="70" t="e">
        <f>VLOOKUP($B$7,Setups!$A3:$DB100,COLUMN()+22)</f>
        <v>#VALUE!</v>
      </c>
      <c r="AL13" s="70" t="e">
        <f>VLOOKUP($B$7,Setups!$A3:$DB100,COLUMN()+22)</f>
        <v>#VALUE!</v>
      </c>
      <c r="AM13" s="70" t="e">
        <f>VLOOKUP($B$7,Setups!$A3:$DB100,COLUMN()+22)</f>
        <v>#VALUE!</v>
      </c>
      <c r="AN13" s="70" t="e">
        <f>VLOOKUP($B$7,Setups!$A3:$DB100,COLUMN()+22)</f>
        <v>#VALUE!</v>
      </c>
      <c r="AO13" s="70" t="e">
        <f>VLOOKUP($B$7,Setups!$A3:$DB100,COLUMN()+22)</f>
        <v>#VALUE!</v>
      </c>
      <c r="AP13" s="70" t="e">
        <f>VLOOKUP($B$7,Setups!$A3:$DB100,COLUMN()+22)</f>
        <v>#VALUE!</v>
      </c>
      <c r="AQ13" s="70" t="e">
        <f>VLOOKUP($B$7,Setups!$A3:$DB100,COLUMN()+22)</f>
        <v>#VALUE!</v>
      </c>
      <c r="AR13" s="70" t="e">
        <f>VLOOKUP($B$7,Setups!$A3:$DB100,COLUMN()+22)</f>
        <v>#VALUE!</v>
      </c>
      <c r="AS13" s="70" t="e">
        <f>VLOOKUP($B$7,Setups!$A3:$DB100,COLUMN()+22)</f>
        <v>#VALUE!</v>
      </c>
      <c r="AT13" s="70" t="e">
        <f>VLOOKUP($B$7,Setups!$A3:$DB100,COLUMN()+22)</f>
        <v>#VALUE!</v>
      </c>
      <c r="AU13" s="70" t="e">
        <f>VLOOKUP($B$7,Setups!$A3:$DB100,COLUMN()+22)</f>
        <v>#VALUE!</v>
      </c>
      <c r="AV13" s="70" t="e">
        <f>VLOOKUP($B$7,Setups!$A3:$DB100,COLUMN()+22)</f>
        <v>#VALUE!</v>
      </c>
      <c r="AW13" s="70" t="e">
        <f>VLOOKUP($B$7,Setups!$A3:$DB100,COLUMN()+22)</f>
        <v>#VALUE!</v>
      </c>
      <c r="AX13" s="70" t="e">
        <f>VLOOKUP($B$7,Setups!$A3:$DB100,COLUMN()+22)</f>
        <v>#VALUE!</v>
      </c>
      <c r="AY13" s="70" t="e">
        <f>VLOOKUP($B$7,Setups!$A3:$DB100,COLUMN()+22)</f>
        <v>#VALUE!</v>
      </c>
      <c r="AZ13" s="70" t="e">
        <f>VLOOKUP($B$7,Setups!$A3:$DB100,COLUMN()+22)</f>
        <v>#VALUE!</v>
      </c>
      <c r="BA13" s="70" t="e">
        <f>VLOOKUP($B$7,Setups!$A3:$DB100,COLUMN()+22)</f>
        <v>#VALUE!</v>
      </c>
      <c r="BB13" s="70" t="e">
        <f>VLOOKUP($B$7,Setups!$A3:$DB100,COLUMN()+22)</f>
        <v>#VALUE!</v>
      </c>
      <c r="BC13" s="70" t="e">
        <f>VLOOKUP($B$7,Setups!$A3:$DB100,COLUMN()+22)</f>
        <v>#VALUE!</v>
      </c>
      <c r="BD13" s="70" t="e">
        <f>VLOOKUP($B$7,Setups!$A3:$DB100,COLUMN()+22)</f>
        <v>#VALUE!</v>
      </c>
      <c r="BE13" s="70" t="e">
        <f>VLOOKUP($B$7,Setups!$A3:$DB100,COLUMN()+22)</f>
        <v>#VALUE!</v>
      </c>
      <c r="BF13" s="70" t="e">
        <f>VLOOKUP($B$7,Setups!$A3:$DB100,COLUMN()+22)</f>
        <v>#VALUE!</v>
      </c>
      <c r="BG13" s="70" t="e">
        <f>VLOOKUP($B$7,Setups!$A3:$DB100,COLUMN()+22)</f>
        <v>#VALUE!</v>
      </c>
      <c r="BH13" s="70" t="e">
        <f>VLOOKUP($B$7,Setups!$A3:$DB100,COLUMN()+22)</f>
        <v>#VALUE!</v>
      </c>
      <c r="BI13" s="70" t="e">
        <f>VLOOKUP($B$7,Setups!$A3:$DB100,COLUMN()+22)</f>
        <v>#VALUE!</v>
      </c>
      <c r="BJ13" s="70" t="e">
        <f>VLOOKUP($B$7,Setups!$A3:$DB100,COLUMN()+22)</f>
        <v>#VALUE!</v>
      </c>
      <c r="BK13" s="70" t="e">
        <f>VLOOKUP($B$7,Setups!$A3:$DB100,COLUMN()+22)</f>
        <v>#VALUE!</v>
      </c>
      <c r="BL13" s="70" t="e">
        <f>VLOOKUP($B$7,Setups!$A3:$DB100,COLUMN()+22)</f>
        <v>#VALUE!</v>
      </c>
      <c r="BM13" s="70" t="e">
        <f>VLOOKUP($B$7,Setups!$A3:$DB100,COLUMN()+22)</f>
        <v>#VALUE!</v>
      </c>
      <c r="BN13" s="70" t="e">
        <f>VLOOKUP($B$7,Setups!$A3:$DB100,COLUMN()+22)</f>
        <v>#VALUE!</v>
      </c>
      <c r="BO13" s="70" t="e">
        <f>VLOOKUP($B$7,Setups!$A3:$DB100,COLUMN()+22)</f>
        <v>#VALUE!</v>
      </c>
      <c r="BP13" s="70" t="e">
        <f>VLOOKUP($B$7,Setups!$A3:$DB100,COLUMN()+22)</f>
        <v>#VALUE!</v>
      </c>
      <c r="BQ13" s="70" t="e">
        <f>VLOOKUP($B$7,Setups!$A3:$DB100,COLUMN()+22)</f>
        <v>#VALUE!</v>
      </c>
      <c r="BR13" s="70" t="e">
        <f>VLOOKUP($B$7,Setups!$A3:$DB100,COLUMN()+22)</f>
        <v>#VALUE!</v>
      </c>
      <c r="BS13" s="70" t="e">
        <f>VLOOKUP($B$7,Setups!$A3:$DB100,COLUMN()+22)</f>
        <v>#VALUE!</v>
      </c>
      <c r="BT13" s="70" t="e">
        <f>VLOOKUP($B$7,Setups!$A3:$DB100,COLUMN()+22)</f>
        <v>#VALUE!</v>
      </c>
      <c r="BU13" s="70" t="e">
        <f>VLOOKUP($B$7,Setups!$A3:$DB100,COLUMN()+22)</f>
        <v>#VALUE!</v>
      </c>
      <c r="BV13" s="70" t="e">
        <f>VLOOKUP($B$7,Setups!$A3:$DB100,COLUMN()+22)</f>
        <v>#VALUE!</v>
      </c>
      <c r="BW13" s="70" t="e">
        <f>VLOOKUP($B$7,Setups!$A3:$DB100,COLUMN()+22)</f>
        <v>#VALUE!</v>
      </c>
      <c r="BX13" s="70" t="e">
        <f>VLOOKUP($B$7,Setups!$A3:$DB100,COLUMN()+22)</f>
        <v>#VALUE!</v>
      </c>
      <c r="BY13" s="70" t="e">
        <f>VLOOKUP($B$7,Setups!$A3:$DB100,COLUMN()+22)</f>
        <v>#VALUE!</v>
      </c>
      <c r="BZ13" s="70" t="e">
        <f>VLOOKUP($B$7,Setups!$A3:$DB100,COLUMN()+22)</f>
        <v>#VALUE!</v>
      </c>
      <c r="CA13" s="70" t="e">
        <f>VLOOKUP($B$7,Setups!$A3:$DB100,COLUMN()+22)</f>
        <v>#VALUE!</v>
      </c>
      <c r="CB13" s="70" t="e">
        <f>VLOOKUP($B$7,Setups!$A3:$DB100,COLUMN()+22)</f>
        <v>#VALUE!</v>
      </c>
      <c r="CC13" s="70" t="e">
        <f>VLOOKUP($B$7,Setups!$A3:$DB100,COLUMN()+22)</f>
        <v>#VALUE!</v>
      </c>
      <c r="CD13" s="70" t="e">
        <f>VLOOKUP($B$7,Setups!$A3:$DB100,COLUMN()+22)</f>
        <v>#VALUE!</v>
      </c>
      <c r="CE13" s="70" t="e">
        <f>VLOOKUP($B$7,Setups!$A3:$DB100,COLUMN()+22)</f>
        <v>#VALUE!</v>
      </c>
      <c r="CF13" s="70" t="e">
        <f>VLOOKUP($B$7,Setups!$A3:$DB100,COLUMN()+22)</f>
        <v>#VALUE!</v>
      </c>
    </row>
    <row r="14" spans="1:84" ht="17.399999999999999" x14ac:dyDescent="0.35">
      <c r="A14" s="67" t="s">
        <v>651</v>
      </c>
      <c r="B14" s="67"/>
      <c r="C14" s="66"/>
      <c r="D14" s="66">
        <v>57.963880000000003</v>
      </c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CF14" s="66"/>
    </row>
    <row r="15" spans="1:84" s="38" customFormat="1" ht="17.399999999999999" x14ac:dyDescent="0.35">
      <c r="A15" s="67" t="s">
        <v>652</v>
      </c>
      <c r="B15" s="67"/>
      <c r="C15" s="66"/>
      <c r="D15" s="66">
        <v>56.975560000000002</v>
      </c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 s="66"/>
    </row>
    <row r="16" spans="1:84" ht="17.399999999999999" x14ac:dyDescent="0.35">
      <c r="A16" s="67" t="s">
        <v>653</v>
      </c>
      <c r="B16" s="67"/>
      <c r="C16" s="67"/>
      <c r="D16" s="66">
        <v>61.349919999999997</v>
      </c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CF16" s="66"/>
    </row>
    <row r="17" spans="1:84" ht="17.399999999999999" x14ac:dyDescent="0.35">
      <c r="A17" s="67" t="s">
        <v>654</v>
      </c>
      <c r="B17" s="67"/>
      <c r="C17" s="67"/>
      <c r="D17" s="66">
        <v>67.387500000000003</v>
      </c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CF17" s="68"/>
    </row>
    <row r="18" spans="1:84" ht="17.399999999999999" x14ac:dyDescent="0.35">
      <c r="A18" s="67" t="s">
        <v>655</v>
      </c>
      <c r="B18" s="67"/>
      <c r="C18" s="67"/>
      <c r="D18" s="66">
        <v>63.973019999999998</v>
      </c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CF18" s="68"/>
    </row>
    <row r="19" spans="1:84" ht="17.399999999999999" x14ac:dyDescent="0.35">
      <c r="A19" s="67" t="s">
        <v>656</v>
      </c>
      <c r="B19" s="67"/>
      <c r="C19" s="67"/>
      <c r="D19" s="66">
        <v>70.384219999999999</v>
      </c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CF19" s="68"/>
    </row>
    <row r="20" spans="1:84" ht="17.399999999999999" x14ac:dyDescent="0.35">
      <c r="A20" s="67" t="s">
        <v>657</v>
      </c>
      <c r="B20" s="67"/>
      <c r="C20" s="66"/>
      <c r="D20" s="66">
        <v>69.9315</v>
      </c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CF20" s="68"/>
    </row>
    <row r="21" spans="1:84" ht="17.399999999999999" x14ac:dyDescent="0.35">
      <c r="A21" s="67" t="s">
        <v>658</v>
      </c>
      <c r="B21" s="67"/>
      <c r="C21" s="66"/>
      <c r="D21" s="66">
        <v>68.046660000000003</v>
      </c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CF21" s="68"/>
    </row>
    <row r="22" spans="1:84" ht="17.399999999999999" x14ac:dyDescent="0.35">
      <c r="A22" s="67" t="s">
        <v>659</v>
      </c>
      <c r="B22" s="67"/>
      <c r="C22" s="66"/>
      <c r="D22" s="66">
        <v>68.217420000000004</v>
      </c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CF22" s="68"/>
    </row>
    <row r="23" spans="1:84" ht="17.399999999999999" x14ac:dyDescent="0.35">
      <c r="A23" s="67" t="s">
        <v>660</v>
      </c>
      <c r="B23" s="67"/>
      <c r="C23" s="66"/>
      <c r="D23" s="66">
        <v>63.227580000000003</v>
      </c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CF23" s="68"/>
    </row>
    <row r="24" spans="1:84" ht="17.399999999999999" x14ac:dyDescent="0.35">
      <c r="A24" s="67" t="s">
        <v>661</v>
      </c>
      <c r="B24" s="67"/>
      <c r="C24" s="66"/>
      <c r="D24" s="66">
        <v>62.613079999999997</v>
      </c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CF24" s="68"/>
    </row>
    <row r="25" spans="1:84" ht="17.399999999999999" x14ac:dyDescent="0.35">
      <c r="A25" s="67" t="s">
        <v>662</v>
      </c>
      <c r="B25" s="67"/>
      <c r="C25" s="66"/>
      <c r="D25" s="66">
        <v>55.918219999999998</v>
      </c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CF25" s="68"/>
    </row>
    <row r="26" spans="1:84" ht="17.399999999999999" x14ac:dyDescent="0.35">
      <c r="A26" s="67" t="s">
        <v>663</v>
      </c>
      <c r="B26" s="67"/>
      <c r="C26" s="66"/>
      <c r="D26" s="66">
        <v>61.569859999999998</v>
      </c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CF26" s="68"/>
    </row>
    <row r="27" spans="1:84" ht="17.399999999999999" x14ac:dyDescent="0.35">
      <c r="A27" s="67" t="s">
        <v>664</v>
      </c>
      <c r="B27" s="67"/>
      <c r="C27" s="66"/>
      <c r="D27" s="66">
        <v>63.666460000000001</v>
      </c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CF27" s="68"/>
    </row>
    <row r="28" spans="1:84" ht="17.399999999999999" x14ac:dyDescent="0.35">
      <c r="A28" s="67" t="s">
        <v>665</v>
      </c>
      <c r="B28" s="67"/>
      <c r="C28" s="66"/>
      <c r="D28" s="66">
        <v>66.247659999999996</v>
      </c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CF28" s="68"/>
    </row>
    <row r="29" spans="1:84" ht="17.399999999999999" x14ac:dyDescent="0.35">
      <c r="A29" s="67" t="s">
        <v>666</v>
      </c>
      <c r="B29" s="67"/>
      <c r="C29" s="66"/>
      <c r="D29" s="66">
        <v>67.194980000000001</v>
      </c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CF29" s="68"/>
    </row>
    <row r="30" spans="1:84" ht="17.399999999999999" x14ac:dyDescent="0.35">
      <c r="A30" s="67" t="s">
        <v>667</v>
      </c>
      <c r="B30" s="67"/>
      <c r="C30" s="66"/>
      <c r="D30" s="66">
        <v>73.269379999999998</v>
      </c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CF30" s="68"/>
    </row>
    <row r="31" spans="1:84" ht="17.399999999999999" x14ac:dyDescent="0.35">
      <c r="A31" s="67" t="s">
        <v>668</v>
      </c>
      <c r="B31" s="67"/>
      <c r="C31" s="66"/>
      <c r="D31" s="66">
        <v>68.655720000000002</v>
      </c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CF31" s="68"/>
    </row>
    <row r="32" spans="1:84" ht="17.399999999999999" x14ac:dyDescent="0.35">
      <c r="A32" s="67" t="s">
        <v>669</v>
      </c>
      <c r="B32" s="67"/>
      <c r="C32" s="66"/>
      <c r="D32" s="66">
        <v>68.775559999999999</v>
      </c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CF32" s="68"/>
    </row>
    <row r="33" spans="1:84" ht="17.399999999999999" x14ac:dyDescent="0.35">
      <c r="A33" s="67" t="s">
        <v>670</v>
      </c>
      <c r="B33" s="67"/>
      <c r="C33" s="66"/>
      <c r="D33" s="66">
        <v>61.53942</v>
      </c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CF33" s="68"/>
    </row>
    <row r="34" spans="1:84" ht="17.399999999999999" x14ac:dyDescent="0.35">
      <c r="A34" s="67" t="s">
        <v>671</v>
      </c>
      <c r="B34" s="67"/>
      <c r="C34" s="66"/>
      <c r="D34" s="66">
        <v>51.702260000000003</v>
      </c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CF34" s="68"/>
    </row>
    <row r="35" spans="1:84" ht="17.399999999999999" x14ac:dyDescent="0.35">
      <c r="A35" s="67" t="s">
        <v>672</v>
      </c>
      <c r="B35" s="67"/>
      <c r="C35" s="66"/>
      <c r="D35" s="66">
        <v>54.016590000000001</v>
      </c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CF35" s="68"/>
    </row>
    <row r="36" spans="1:84" ht="17.399999999999999" x14ac:dyDescent="0.35">
      <c r="A36" s="67" t="s">
        <v>673</v>
      </c>
      <c r="B36" s="67"/>
      <c r="C36" s="66"/>
      <c r="D36" s="66">
        <v>59.207349999999998</v>
      </c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CF36" s="68"/>
    </row>
    <row r="37" spans="1:84" ht="17.399999999999999" x14ac:dyDescent="0.35">
      <c r="A37" s="67" t="s">
        <v>674</v>
      </c>
      <c r="B37" s="67"/>
      <c r="C37" s="66"/>
      <c r="D37" s="66">
        <v>64.098219999999998</v>
      </c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CF37" s="68"/>
    </row>
    <row r="38" spans="1:84" ht="17.399999999999999" x14ac:dyDescent="0.35">
      <c r="A38" s="67" t="s">
        <v>675</v>
      </c>
      <c r="B38" s="67"/>
      <c r="C38" s="66"/>
      <c r="D38" s="66">
        <v>61.636940000000003</v>
      </c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CF38" s="68"/>
    </row>
    <row r="39" spans="1:84" ht="17.399999999999999" x14ac:dyDescent="0.35">
      <c r="A39" s="67" t="s">
        <v>676</v>
      </c>
      <c r="B39" s="67"/>
      <c r="C39" s="66"/>
      <c r="D39" s="66">
        <v>62.793759999999999</v>
      </c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CF39" s="68"/>
    </row>
    <row r="40" spans="1:84" ht="17.399999999999999" x14ac:dyDescent="0.35">
      <c r="A40" s="67" t="s">
        <v>677</v>
      </c>
      <c r="B40" s="67"/>
      <c r="C40" s="66"/>
      <c r="D40" s="66">
        <v>67.311059999999998</v>
      </c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CF40" s="68"/>
    </row>
    <row r="41" spans="1:84" ht="17.399999999999999" x14ac:dyDescent="0.35">
      <c r="A41" s="67" t="s">
        <v>678</v>
      </c>
      <c r="B41" s="67"/>
      <c r="C41" s="66"/>
      <c r="D41" s="66">
        <v>66.254239999999996</v>
      </c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CF41" s="68"/>
    </row>
    <row r="42" spans="1:84" ht="17.399999999999999" x14ac:dyDescent="0.35">
      <c r="A42" s="67" t="s">
        <v>679</v>
      </c>
      <c r="B42" s="67"/>
      <c r="C42" s="66"/>
      <c r="D42" s="66">
        <v>73.302359999999993</v>
      </c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CF42" s="68"/>
    </row>
    <row r="43" spans="1:84" ht="17.399999999999999" x14ac:dyDescent="0.35">
      <c r="A43" s="67" t="s">
        <v>680</v>
      </c>
      <c r="B43" s="67"/>
      <c r="C43" s="66"/>
      <c r="D43" s="66">
        <v>82.659400000000005</v>
      </c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CF43" s="68"/>
    </row>
    <row r="44" spans="1:84" ht="17.399999999999999" x14ac:dyDescent="0.35">
      <c r="A44" s="67" t="s">
        <v>681</v>
      </c>
      <c r="B44" s="67"/>
      <c r="C44" s="66"/>
      <c r="D44" s="66">
        <v>75.465059999999994</v>
      </c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CF44" s="68"/>
    </row>
    <row r="45" spans="1:84" ht="17.399999999999999" x14ac:dyDescent="0.35">
      <c r="A45" s="67" t="s">
        <v>682</v>
      </c>
      <c r="B45" s="67"/>
      <c r="C45" s="66"/>
      <c r="D45" s="66">
        <v>70.28022</v>
      </c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CF45" s="68"/>
    </row>
    <row r="46" spans="1:84" ht="17.399999999999999" x14ac:dyDescent="0.35">
      <c r="A46" s="67" t="s">
        <v>683</v>
      </c>
      <c r="B46" s="67"/>
      <c r="C46" s="66"/>
      <c r="D46" s="66">
        <v>57.26952</v>
      </c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CF46" s="68"/>
    </row>
    <row r="47" spans="1:84" ht="17.399999999999999" x14ac:dyDescent="0.35">
      <c r="A47" s="67" t="s">
        <v>684</v>
      </c>
      <c r="B47" s="67"/>
      <c r="C47" s="66"/>
      <c r="D47" s="66">
        <v>62.827779999999997</v>
      </c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CF47" s="68"/>
    </row>
    <row r="48" spans="1:84" ht="17.399999999999999" x14ac:dyDescent="0.35">
      <c r="A48" s="67" t="s">
        <v>685</v>
      </c>
      <c r="B48" s="67"/>
      <c r="C48" s="66"/>
      <c r="D48" s="66">
        <v>60.405560000000001</v>
      </c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CF48" s="68"/>
    </row>
    <row r="49" spans="1:84" ht="17.399999999999999" x14ac:dyDescent="0.35">
      <c r="A49" s="67" t="s">
        <v>686</v>
      </c>
      <c r="B49" s="67"/>
      <c r="C49" s="66"/>
      <c r="D49" s="66">
        <v>62.551960000000001</v>
      </c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CF49" s="68"/>
    </row>
    <row r="50" spans="1:84" ht="17.399999999999999" x14ac:dyDescent="0.35">
      <c r="A50" s="67" t="s">
        <v>687</v>
      </c>
      <c r="B50" s="67"/>
      <c r="C50" s="66"/>
      <c r="D50" s="66">
        <v>72.069339999999997</v>
      </c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CF50" s="68"/>
    </row>
    <row r="51" spans="1:84" ht="17.399999999999999" x14ac:dyDescent="0.35">
      <c r="A51" s="67" t="s">
        <v>688</v>
      </c>
      <c r="B51" s="67"/>
      <c r="C51" s="66"/>
      <c r="D51" s="66">
        <v>68.164839999999998</v>
      </c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CF51" s="68"/>
    </row>
    <row r="52" spans="1:84" ht="17.399999999999999" x14ac:dyDescent="0.35">
      <c r="A52" s="67" t="s">
        <v>689</v>
      </c>
      <c r="B52" s="67"/>
      <c r="C52" s="66"/>
      <c r="D52" s="66">
        <v>63.71604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CF52" s="68"/>
    </row>
    <row r="53" spans="1:84" ht="17.399999999999999" x14ac:dyDescent="0.35">
      <c r="A53" s="67" t="s">
        <v>690</v>
      </c>
      <c r="B53" s="67"/>
      <c r="C53" s="66"/>
      <c r="D53" s="66">
        <v>74.807159999999996</v>
      </c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CF53" s="68"/>
    </row>
    <row r="54" spans="1:84" ht="17.399999999999999" x14ac:dyDescent="0.35">
      <c r="A54" s="67" t="s">
        <v>691</v>
      </c>
      <c r="B54" s="67"/>
      <c r="C54" s="66"/>
      <c r="D54" s="66">
        <v>80.289119999999997</v>
      </c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CF54" s="68"/>
    </row>
    <row r="55" spans="1:84" ht="17.399999999999999" x14ac:dyDescent="0.35">
      <c r="A55" s="67" t="s">
        <v>692</v>
      </c>
      <c r="B55" s="67"/>
      <c r="C55" s="66"/>
      <c r="D55" s="66">
        <v>73.154160000000005</v>
      </c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CF55" s="68"/>
    </row>
    <row r="56" spans="1:84" ht="17.399999999999999" x14ac:dyDescent="0.35">
      <c r="A56" s="67" t="s">
        <v>693</v>
      </c>
      <c r="B56" s="67"/>
      <c r="C56" s="66"/>
      <c r="D56" s="66">
        <v>61.327800000000003</v>
      </c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CF56" s="68"/>
    </row>
    <row r="57" spans="1:84" ht="17.399999999999999" x14ac:dyDescent="0.35">
      <c r="A57" s="67" t="s">
        <v>694</v>
      </c>
      <c r="B57" s="67"/>
      <c r="C57" s="66"/>
      <c r="D57" s="66">
        <v>62.473799999999997</v>
      </c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CF57" s="68"/>
    </row>
    <row r="58" spans="1:84" ht="17.399999999999999" x14ac:dyDescent="0.35">
      <c r="A58" s="67" t="s">
        <v>695</v>
      </c>
      <c r="B58" s="67"/>
      <c r="C58" s="66"/>
      <c r="D58" s="66">
        <v>64.680160000000001</v>
      </c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CF58" s="68"/>
    </row>
    <row r="59" spans="1:84" ht="17.399999999999999" x14ac:dyDescent="0.35">
      <c r="A59" s="67" t="s">
        <v>696</v>
      </c>
      <c r="B59" s="67"/>
      <c r="C59" s="66"/>
      <c r="D59" s="66">
        <v>72.881659999999997</v>
      </c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CF59" s="68"/>
    </row>
    <row r="60" spans="1:84" ht="17.399999999999999" x14ac:dyDescent="0.35">
      <c r="A60" s="67" t="s">
        <v>697</v>
      </c>
      <c r="B60" s="67"/>
      <c r="C60" s="66"/>
      <c r="D60" s="66">
        <v>69.530500000000004</v>
      </c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CF60" s="68"/>
    </row>
    <row r="61" spans="1:84" ht="17.399999999999999" x14ac:dyDescent="0.35">
      <c r="A61" s="67" t="s">
        <v>698</v>
      </c>
      <c r="B61" s="67"/>
      <c r="C61" s="66"/>
      <c r="D61" s="66">
        <v>73.457840000000004</v>
      </c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CF61" s="68"/>
    </row>
    <row r="62" spans="1:84" ht="17.399999999999999" x14ac:dyDescent="0.35">
      <c r="A62" s="67" t="s">
        <v>699</v>
      </c>
      <c r="B62" s="67"/>
      <c r="C62" s="66"/>
      <c r="D62" s="66">
        <v>70.633139999999997</v>
      </c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CF62" s="68"/>
    </row>
    <row r="63" spans="1:84" ht="17.399999999999999" x14ac:dyDescent="0.35">
      <c r="A63" s="67" t="s">
        <v>700</v>
      </c>
      <c r="B63" s="67"/>
      <c r="C63" s="66"/>
      <c r="D63" s="66">
        <v>68.357140000000001</v>
      </c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CF63" s="68"/>
    </row>
    <row r="64" spans="1:84" ht="17.399999999999999" x14ac:dyDescent="0.35">
      <c r="A64" s="67" t="s">
        <v>701</v>
      </c>
      <c r="B64" s="67"/>
      <c r="C64" s="66"/>
      <c r="D64" s="66">
        <v>27.370059999999999</v>
      </c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CF64" s="68"/>
    </row>
    <row r="65" spans="1:84" ht="17.399999999999999" x14ac:dyDescent="0.35">
      <c r="A65" s="67" t="s">
        <v>702</v>
      </c>
      <c r="B65" s="67"/>
      <c r="C65" s="66"/>
      <c r="D65" s="66">
        <v>75.802499999999995</v>
      </c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CF65" s="68"/>
    </row>
    <row r="66" spans="1:84" ht="17.399999999999999" x14ac:dyDescent="0.35">
      <c r="A66" s="67" t="s">
        <v>703</v>
      </c>
      <c r="B66" s="67"/>
      <c r="C66" s="66"/>
      <c r="D66" s="66">
        <v>67.423280000000005</v>
      </c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CF66" s="68"/>
    </row>
    <row r="67" spans="1:84" ht="17.399999999999999" x14ac:dyDescent="0.35">
      <c r="A67" s="67" t="s">
        <v>704</v>
      </c>
      <c r="B67" s="67"/>
      <c r="C67" s="66"/>
      <c r="D67" s="66">
        <v>73.632859999999994</v>
      </c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CF67" s="68"/>
    </row>
    <row r="68" spans="1:84" ht="17.399999999999999" x14ac:dyDescent="0.35">
      <c r="A68" s="67" t="s">
        <v>705</v>
      </c>
      <c r="B68" s="67"/>
      <c r="C68" s="66"/>
      <c r="D68" s="66">
        <v>70.956699999999998</v>
      </c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CF68" s="68"/>
    </row>
    <row r="69" spans="1:84" ht="17.399999999999999" x14ac:dyDescent="0.35">
      <c r="A69" s="67" t="s">
        <v>706</v>
      </c>
      <c r="B69" s="67"/>
      <c r="C69" s="66"/>
      <c r="D69" s="66">
        <v>77.649119999999996</v>
      </c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CF69" s="68"/>
    </row>
    <row r="70" spans="1:84" ht="17.399999999999999" x14ac:dyDescent="0.35">
      <c r="A70" s="67" t="s">
        <v>707</v>
      </c>
      <c r="B70" s="67"/>
      <c r="C70" s="66"/>
      <c r="D70" s="66">
        <v>82.013760000000005</v>
      </c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CF70" s="68"/>
    </row>
    <row r="71" spans="1:84" ht="17.399999999999999" x14ac:dyDescent="0.35">
      <c r="A71" s="67" t="s">
        <v>708</v>
      </c>
      <c r="B71" s="67"/>
      <c r="C71" s="66"/>
      <c r="D71" s="66">
        <v>85.643320000000003</v>
      </c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CF71" s="68"/>
    </row>
    <row r="72" spans="1:84" ht="17.399999999999999" x14ac:dyDescent="0.35">
      <c r="A72" s="67" t="s">
        <v>709</v>
      </c>
      <c r="B72" s="67"/>
      <c r="C72" s="66"/>
      <c r="D72" s="66">
        <v>79.347999999999999</v>
      </c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CF72" s="68"/>
    </row>
    <row r="73" spans="1:84" ht="17.399999999999999" x14ac:dyDescent="0.35">
      <c r="A73" s="67" t="s">
        <v>710</v>
      </c>
      <c r="B73" s="67"/>
      <c r="C73" s="66"/>
      <c r="D73" s="66">
        <v>84.043480000000002</v>
      </c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CF73" s="68"/>
    </row>
    <row r="74" spans="1:84" ht="17.399999999999999" x14ac:dyDescent="0.35">
      <c r="A74" s="67" t="s">
        <v>711</v>
      </c>
      <c r="B74" s="67"/>
      <c r="C74" s="66"/>
      <c r="D74" s="66">
        <v>82.654340000000005</v>
      </c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CF74" s="68"/>
    </row>
    <row r="75" spans="1:84" ht="17.399999999999999" x14ac:dyDescent="0.35">
      <c r="A75" s="67" t="s">
        <v>712</v>
      </c>
      <c r="B75" s="67"/>
      <c r="C75" s="66"/>
      <c r="D75" s="66">
        <v>63.386119999999998</v>
      </c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CF75" s="68"/>
    </row>
    <row r="76" spans="1:84" ht="17.399999999999999" x14ac:dyDescent="0.35">
      <c r="A76" s="67" t="s">
        <v>713</v>
      </c>
      <c r="B76" s="67"/>
      <c r="C76" s="66"/>
      <c r="D76" s="66">
        <v>58.695740000000001</v>
      </c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CF76" s="68"/>
    </row>
    <row r="77" spans="1:84" ht="17.399999999999999" x14ac:dyDescent="0.35">
      <c r="A77" s="67" t="s">
        <v>714</v>
      </c>
      <c r="B77" s="67"/>
      <c r="C77" s="66"/>
      <c r="D77" s="66">
        <v>49.530360000000002</v>
      </c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CF77" s="68"/>
    </row>
    <row r="78" spans="1:84" ht="17.399999999999999" x14ac:dyDescent="0.35">
      <c r="A78" s="67" t="s">
        <v>715</v>
      </c>
      <c r="B78" s="67"/>
      <c r="C78" s="66"/>
      <c r="D78" s="66">
        <v>54.824660000000002</v>
      </c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CF78" s="68"/>
    </row>
    <row r="79" spans="1:84" ht="17.399999999999999" x14ac:dyDescent="0.35">
      <c r="A79" s="67" t="s">
        <v>716</v>
      </c>
      <c r="B79" s="67"/>
      <c r="C79" s="66"/>
      <c r="D79" s="66">
        <v>60.502920000000003</v>
      </c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CF79" s="68"/>
    </row>
    <row r="80" spans="1:84" ht="17.399999999999999" x14ac:dyDescent="0.35">
      <c r="A80" s="67" t="s">
        <v>717</v>
      </c>
      <c r="B80" s="67"/>
      <c r="C80" s="66"/>
      <c r="D80" s="66">
        <v>62.83822</v>
      </c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CF80" s="68"/>
    </row>
    <row r="81" spans="1:84" ht="17.399999999999999" x14ac:dyDescent="0.35">
      <c r="A81" s="67" t="s">
        <v>718</v>
      </c>
      <c r="B81" s="67"/>
      <c r="C81" s="66"/>
      <c r="D81" s="66">
        <v>67.027119999999996</v>
      </c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CF81" s="68"/>
    </row>
    <row r="82" spans="1:84" ht="17.399999999999999" x14ac:dyDescent="0.35">
      <c r="A82" s="67" t="s">
        <v>719</v>
      </c>
      <c r="B82" s="67"/>
      <c r="C82" s="66"/>
      <c r="D82" s="66">
        <v>67.581559999999996</v>
      </c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CF82" s="68"/>
    </row>
    <row r="83" spans="1:84" ht="17.399999999999999" x14ac:dyDescent="0.35">
      <c r="A83" s="67" t="s">
        <v>720</v>
      </c>
      <c r="B83" s="67"/>
      <c r="C83" s="66"/>
      <c r="D83" s="66">
        <v>70.713419999999999</v>
      </c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CF83" s="68"/>
    </row>
    <row r="84" spans="1:84" ht="17.399999999999999" x14ac:dyDescent="0.35">
      <c r="A84" s="67" t="s">
        <v>721</v>
      </c>
      <c r="B84" s="67"/>
      <c r="C84" s="66"/>
      <c r="D84" s="66">
        <v>71.017679999999999</v>
      </c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CF84" s="68"/>
    </row>
    <row r="85" spans="1:84" ht="17.399999999999999" x14ac:dyDescent="0.35">
      <c r="A85" s="67" t="s">
        <v>722</v>
      </c>
      <c r="B85" s="67"/>
      <c r="C85" s="66"/>
      <c r="D85" s="66">
        <v>58.789160000000003</v>
      </c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CF85" s="68"/>
    </row>
    <row r="86" spans="1:84" ht="17.399999999999999" x14ac:dyDescent="0.35">
      <c r="A86" s="67" t="s">
        <v>723</v>
      </c>
      <c r="B86" s="67"/>
      <c r="C86" s="66"/>
      <c r="D86" s="66">
        <v>53.614109999999997</v>
      </c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CF86" s="68"/>
    </row>
    <row r="87" spans="1:84" ht="17.399999999999999" x14ac:dyDescent="0.35">
      <c r="A87" s="67" t="s">
        <v>724</v>
      </c>
      <c r="B87" s="67"/>
      <c r="C87" s="66"/>
      <c r="D87" s="66">
        <v>51.589440000000003</v>
      </c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CF87" s="68"/>
    </row>
    <row r="88" spans="1:84" ht="17.399999999999999" x14ac:dyDescent="0.35">
      <c r="A88" s="67" t="s">
        <v>725</v>
      </c>
      <c r="B88" s="67"/>
      <c r="C88" s="66"/>
      <c r="D88" s="66">
        <v>56.705440000000003</v>
      </c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CF88" s="68"/>
    </row>
    <row r="89" spans="1:84" ht="17.399999999999999" x14ac:dyDescent="0.35">
      <c r="A89" s="67" t="s">
        <v>726</v>
      </c>
      <c r="B89" s="67"/>
      <c r="C89" s="66"/>
      <c r="D89" s="66">
        <v>66.217079999999996</v>
      </c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CF89" s="68"/>
    </row>
    <row r="90" spans="1:84" ht="17.399999999999999" x14ac:dyDescent="0.35">
      <c r="A90" s="67" t="s">
        <v>727</v>
      </c>
      <c r="B90" s="67"/>
      <c r="C90" s="66"/>
      <c r="D90" s="66">
        <v>64.599180000000004</v>
      </c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CF90" s="68"/>
    </row>
    <row r="91" spans="1:84" ht="17.399999999999999" x14ac:dyDescent="0.35">
      <c r="A91" s="67" t="s">
        <v>728</v>
      </c>
      <c r="B91" s="67"/>
      <c r="C91" s="66"/>
      <c r="D91" s="66">
        <v>65.862260000000006</v>
      </c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CF91" s="68"/>
    </row>
    <row r="92" spans="1:84" ht="17.399999999999999" x14ac:dyDescent="0.35">
      <c r="A92" s="67" t="s">
        <v>729</v>
      </c>
      <c r="B92" s="67"/>
      <c r="C92" s="66"/>
      <c r="D92" s="66">
        <v>68.166020000000003</v>
      </c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CF92" s="68"/>
    </row>
    <row r="93" spans="1:84" ht="17.399999999999999" x14ac:dyDescent="0.35">
      <c r="A93" s="67" t="s">
        <v>730</v>
      </c>
      <c r="B93" s="67"/>
      <c r="C93" s="66"/>
      <c r="D93" s="66">
        <v>77.563940000000002</v>
      </c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CF93" s="68"/>
    </row>
    <row r="94" spans="1:84" ht="17.399999999999999" x14ac:dyDescent="0.35">
      <c r="A94" s="67" t="s">
        <v>731</v>
      </c>
      <c r="B94" s="67"/>
      <c r="C94" s="66"/>
      <c r="D94" s="66">
        <v>68.079179999999994</v>
      </c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CF94" s="68"/>
    </row>
    <row r="95" spans="1:84" ht="17.399999999999999" x14ac:dyDescent="0.35">
      <c r="A95" s="67" t="s">
        <v>732</v>
      </c>
      <c r="B95" s="67"/>
      <c r="C95" s="66"/>
      <c r="D95" s="66">
        <v>74.049220000000005</v>
      </c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CF95" s="68"/>
    </row>
    <row r="96" spans="1:84" ht="17.399999999999999" x14ac:dyDescent="0.35">
      <c r="A96" s="67" t="s">
        <v>733</v>
      </c>
      <c r="B96" s="67"/>
      <c r="C96" s="66"/>
      <c r="D96" s="66">
        <v>64.388120000000001</v>
      </c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CF96" s="68"/>
    </row>
    <row r="97" spans="1:84" ht="17.399999999999999" x14ac:dyDescent="0.35">
      <c r="A97" s="67" t="s">
        <v>734</v>
      </c>
      <c r="B97" s="67"/>
      <c r="C97" s="66"/>
      <c r="D97" s="66">
        <v>46.35145</v>
      </c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CF97" s="68"/>
    </row>
    <row r="98" spans="1:84" ht="17.399999999999999" x14ac:dyDescent="0.35">
      <c r="A98" s="67" t="s">
        <v>735</v>
      </c>
      <c r="B98" s="67"/>
      <c r="C98" s="66"/>
      <c r="D98" s="66">
        <v>54.02693</v>
      </c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CF98" s="68"/>
    </row>
    <row r="99" spans="1:84" ht="17.399999999999999" x14ac:dyDescent="0.35">
      <c r="A99" s="67" t="s">
        <v>736</v>
      </c>
      <c r="B99" s="67"/>
      <c r="C99" s="66"/>
      <c r="D99" s="66">
        <v>59.193280000000001</v>
      </c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CF99" s="68"/>
    </row>
    <row r="100" spans="1:84" ht="17.399999999999999" x14ac:dyDescent="0.35">
      <c r="A100" s="67" t="s">
        <v>737</v>
      </c>
      <c r="B100" s="67"/>
      <c r="C100" s="66"/>
      <c r="D100" s="66">
        <v>64.787999999999997</v>
      </c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CF100" s="68"/>
    </row>
    <row r="101" spans="1:84" ht="17.399999999999999" x14ac:dyDescent="0.35">
      <c r="A101" s="67" t="s">
        <v>738</v>
      </c>
      <c r="B101" s="67"/>
      <c r="C101" s="66"/>
      <c r="D101" s="66">
        <v>64.320419999999999</v>
      </c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CF101" s="68"/>
    </row>
    <row r="102" spans="1:84" ht="17.399999999999999" x14ac:dyDescent="0.35">
      <c r="A102" s="67" t="s">
        <v>739</v>
      </c>
      <c r="B102" s="67"/>
      <c r="C102" s="66"/>
      <c r="D102" s="66">
        <v>68.311080000000004</v>
      </c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CF102" s="68"/>
    </row>
    <row r="103" spans="1:84" ht="17.399999999999999" x14ac:dyDescent="0.35">
      <c r="A103" s="67" t="s">
        <v>740</v>
      </c>
      <c r="B103" s="67"/>
      <c r="C103" s="66"/>
      <c r="D103" s="66">
        <v>66.265519999999995</v>
      </c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CF103" s="68"/>
    </row>
    <row r="104" spans="1:84" ht="17.399999999999999" x14ac:dyDescent="0.35">
      <c r="A104" s="67" t="s">
        <v>741</v>
      </c>
      <c r="B104" s="67"/>
      <c r="C104" s="66"/>
      <c r="D104" s="66">
        <v>73.162779999999998</v>
      </c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CF104" s="68"/>
    </row>
    <row r="105" spans="1:84" ht="17.399999999999999" x14ac:dyDescent="0.35">
      <c r="A105" s="67" t="s">
        <v>742</v>
      </c>
      <c r="B105" s="67"/>
      <c r="C105" s="66"/>
      <c r="D105" s="66">
        <v>84.458799999999997</v>
      </c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CF105" s="68"/>
    </row>
    <row r="106" spans="1:84" ht="17.399999999999999" x14ac:dyDescent="0.35">
      <c r="A106" s="67" t="s">
        <v>743</v>
      </c>
      <c r="B106" s="67"/>
      <c r="C106" s="66"/>
      <c r="D106" s="66">
        <v>70.987960000000001</v>
      </c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CF106" s="68"/>
    </row>
    <row r="107" spans="1:84" ht="17.399999999999999" x14ac:dyDescent="0.35">
      <c r="A107" s="67" t="s">
        <v>744</v>
      </c>
      <c r="B107" s="67"/>
      <c r="C107" s="66"/>
      <c r="D107" s="66">
        <v>86.415859999999995</v>
      </c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CF107" s="68"/>
    </row>
    <row r="108" spans="1:84" ht="17.399999999999999" x14ac:dyDescent="0.35">
      <c r="A108" s="67" t="s">
        <v>745</v>
      </c>
      <c r="B108" s="67"/>
      <c r="C108" s="66"/>
      <c r="D108" s="66">
        <v>66.742959999999997</v>
      </c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CF108" s="68"/>
    </row>
    <row r="109" spans="1:84" ht="17.399999999999999" x14ac:dyDescent="0.35">
      <c r="A109" s="67" t="s">
        <v>746</v>
      </c>
      <c r="B109" s="67"/>
      <c r="C109" s="66"/>
      <c r="D109" s="66">
        <v>55.541289999999996</v>
      </c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CF109" s="68"/>
    </row>
    <row r="110" spans="1:84" ht="17.399999999999999" x14ac:dyDescent="0.35">
      <c r="A110" s="67" t="s">
        <v>747</v>
      </c>
      <c r="B110" s="67"/>
      <c r="C110" s="66"/>
      <c r="D110" s="66">
        <v>62.386499999999998</v>
      </c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CF110" s="68"/>
    </row>
    <row r="111" spans="1:84" ht="17.399999999999999" x14ac:dyDescent="0.35">
      <c r="A111" s="67" t="s">
        <v>748</v>
      </c>
      <c r="B111" s="67"/>
      <c r="C111" s="66"/>
      <c r="D111" s="66">
        <v>61.738320000000002</v>
      </c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CF111" s="68"/>
    </row>
    <row r="112" spans="1:84" ht="17.399999999999999" x14ac:dyDescent="0.35">
      <c r="A112" s="67" t="s">
        <v>749</v>
      </c>
      <c r="B112" s="67"/>
      <c r="C112" s="66"/>
      <c r="D112" s="66">
        <v>67.686480000000003</v>
      </c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CF112" s="68"/>
    </row>
    <row r="113" spans="1:84" ht="17.399999999999999" x14ac:dyDescent="0.35">
      <c r="A113" s="67" t="s">
        <v>750</v>
      </c>
      <c r="B113" s="67"/>
      <c r="C113" s="66"/>
      <c r="D113" s="66">
        <v>60.18074</v>
      </c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CF113" s="68"/>
    </row>
    <row r="114" spans="1:84" ht="17.399999999999999" x14ac:dyDescent="0.35">
      <c r="A114" s="67" t="s">
        <v>751</v>
      </c>
      <c r="B114" s="67"/>
      <c r="C114" s="66"/>
      <c r="D114" s="66">
        <v>72.334599999999995</v>
      </c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CF114" s="68"/>
    </row>
    <row r="115" spans="1:84" ht="17.399999999999999" x14ac:dyDescent="0.35">
      <c r="A115" s="67" t="s">
        <v>752</v>
      </c>
      <c r="B115" s="67"/>
      <c r="C115" s="66"/>
      <c r="D115" s="66">
        <v>67.503680000000003</v>
      </c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CF115" s="68"/>
    </row>
    <row r="116" spans="1:84" ht="17.399999999999999" x14ac:dyDescent="0.35">
      <c r="A116" s="67" t="s">
        <v>753</v>
      </c>
      <c r="B116" s="67"/>
      <c r="C116" s="66"/>
      <c r="D116" s="66">
        <v>81.125839999999997</v>
      </c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CF116" s="68"/>
    </row>
    <row r="117" spans="1:84" ht="17.399999999999999" x14ac:dyDescent="0.35">
      <c r="A117" s="67" t="s">
        <v>754</v>
      </c>
      <c r="B117" s="67"/>
      <c r="C117" s="66"/>
      <c r="D117" s="66">
        <v>66.379379999999998</v>
      </c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CF117" s="68"/>
    </row>
    <row r="118" spans="1:84" ht="17.399999999999999" x14ac:dyDescent="0.35">
      <c r="A118" s="67" t="s">
        <v>755</v>
      </c>
      <c r="B118" s="67"/>
      <c r="C118" s="66"/>
      <c r="D118" s="66">
        <v>43.721049999999998</v>
      </c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CF118" s="68"/>
    </row>
    <row r="119" spans="1:84" ht="17.399999999999999" x14ac:dyDescent="0.35">
      <c r="A119" s="67" t="s">
        <v>756</v>
      </c>
      <c r="B119" s="67"/>
      <c r="C119" s="66"/>
      <c r="D119" s="66">
        <v>52.188360000000003</v>
      </c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CF119" s="68"/>
    </row>
    <row r="120" spans="1:84" ht="17.399999999999999" x14ac:dyDescent="0.35">
      <c r="A120" s="67" t="s">
        <v>757</v>
      </c>
      <c r="B120" s="67"/>
      <c r="C120" s="66"/>
      <c r="D120" s="66">
        <v>58.624360000000003</v>
      </c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CF120" s="68"/>
    </row>
    <row r="121" spans="1:84" ht="17.399999999999999" x14ac:dyDescent="0.35">
      <c r="A121" s="67" t="s">
        <v>758</v>
      </c>
      <c r="B121" s="67"/>
      <c r="C121" s="66"/>
      <c r="D121" s="66">
        <v>64.666039999999995</v>
      </c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CF121" s="68"/>
    </row>
    <row r="122" spans="1:84" ht="17.399999999999999" x14ac:dyDescent="0.35">
      <c r="A122" s="67" t="s">
        <v>759</v>
      </c>
      <c r="B122" s="67"/>
      <c r="C122" s="66"/>
      <c r="D122" s="66">
        <v>63.9711</v>
      </c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CF122" s="68"/>
    </row>
    <row r="123" spans="1:84" ht="17.399999999999999" x14ac:dyDescent="0.35">
      <c r="A123" s="67" t="s">
        <v>760</v>
      </c>
      <c r="B123" s="67"/>
      <c r="C123" s="66"/>
      <c r="D123" s="66">
        <v>70.561800000000005</v>
      </c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CF123" s="68"/>
    </row>
    <row r="124" spans="1:84" ht="17.399999999999999" x14ac:dyDescent="0.35">
      <c r="A124" s="67" t="s">
        <v>761</v>
      </c>
      <c r="B124" s="67"/>
      <c r="C124" s="66"/>
      <c r="D124" s="66">
        <v>66.724540000000005</v>
      </c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CF124" s="68"/>
    </row>
    <row r="125" spans="1:84" ht="17.399999999999999" x14ac:dyDescent="0.35">
      <c r="A125" s="67" t="s">
        <v>762</v>
      </c>
      <c r="B125" s="67"/>
      <c r="C125" s="66"/>
      <c r="D125" s="66">
        <v>75.258979999999994</v>
      </c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CF125" s="68"/>
    </row>
    <row r="126" spans="1:84" ht="17.399999999999999" x14ac:dyDescent="0.35">
      <c r="A126" s="67" t="s">
        <v>763</v>
      </c>
      <c r="B126" s="67"/>
      <c r="C126" s="66"/>
      <c r="D126" s="66">
        <v>76.692419999999998</v>
      </c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CF126" s="68"/>
    </row>
    <row r="127" spans="1:84" ht="17.399999999999999" x14ac:dyDescent="0.35">
      <c r="A127" s="67" t="s">
        <v>764</v>
      </c>
      <c r="B127" s="67"/>
      <c r="C127" s="66"/>
      <c r="D127" s="66">
        <v>64.703980000000001</v>
      </c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CF127" s="68"/>
    </row>
    <row r="128" spans="1:84" ht="17.399999999999999" x14ac:dyDescent="0.35">
      <c r="A128" s="67" t="s">
        <v>765</v>
      </c>
      <c r="B128" s="67"/>
      <c r="C128" s="66"/>
      <c r="D128" s="66">
        <v>28.5748</v>
      </c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CF128" s="68"/>
    </row>
    <row r="129" spans="1:84" ht="17.399999999999999" x14ac:dyDescent="0.35">
      <c r="A129" s="67" t="s">
        <v>766</v>
      </c>
      <c r="B129" s="67"/>
      <c r="C129" s="66"/>
      <c r="D129" s="66">
        <v>38.001130000000003</v>
      </c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CF129" s="68"/>
    </row>
    <row r="130" spans="1:84" ht="17.399999999999999" x14ac:dyDescent="0.35">
      <c r="A130" s="67" t="s">
        <v>767</v>
      </c>
      <c r="B130" s="67"/>
      <c r="C130" s="66"/>
      <c r="D130" s="66">
        <v>69.637360000000001</v>
      </c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CF130" s="68"/>
    </row>
    <row r="131" spans="1:84" ht="17.399999999999999" x14ac:dyDescent="0.35">
      <c r="A131" s="67" t="s">
        <v>768</v>
      </c>
      <c r="B131" s="67"/>
      <c r="C131" s="66"/>
      <c r="D131" s="66">
        <v>69.297160000000005</v>
      </c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CF131" s="68"/>
    </row>
    <row r="132" spans="1:84" ht="17.399999999999999" x14ac:dyDescent="0.35">
      <c r="A132" s="67" t="s">
        <v>769</v>
      </c>
      <c r="B132" s="67"/>
      <c r="C132" s="66"/>
      <c r="D132" s="66">
        <v>73.1798</v>
      </c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CF132" s="68"/>
    </row>
    <row r="133" spans="1:84" ht="17.399999999999999" x14ac:dyDescent="0.35">
      <c r="A133" s="67" t="s">
        <v>770</v>
      </c>
      <c r="B133" s="67"/>
      <c r="C133" s="66"/>
      <c r="D133" s="66">
        <v>76.797460000000001</v>
      </c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CF133" s="68"/>
    </row>
    <row r="134" spans="1:84" ht="17.399999999999999" x14ac:dyDescent="0.35">
      <c r="A134" s="67" t="s">
        <v>771</v>
      </c>
      <c r="B134" s="67"/>
      <c r="C134" s="66"/>
      <c r="D134" s="66">
        <v>89.206419999999994</v>
      </c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CF134" s="68"/>
    </row>
    <row r="135" spans="1:84" ht="17.399999999999999" x14ac:dyDescent="0.35">
      <c r="A135" s="67" t="s">
        <v>772</v>
      </c>
      <c r="B135" s="67"/>
      <c r="C135" s="66"/>
      <c r="D135" s="66">
        <v>62.928319999999999</v>
      </c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CF135" s="68"/>
    </row>
    <row r="136" spans="1:84" ht="17.399999999999999" x14ac:dyDescent="0.35">
      <c r="A136" s="67" t="s">
        <v>773</v>
      </c>
      <c r="B136" s="67"/>
      <c r="C136" s="66"/>
      <c r="D136" s="66">
        <v>81.435699999999997</v>
      </c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CF136" s="68"/>
    </row>
    <row r="137" spans="1:84" ht="17.399999999999999" x14ac:dyDescent="0.35">
      <c r="A137" s="67" t="s">
        <v>774</v>
      </c>
      <c r="B137" s="67"/>
      <c r="C137" s="66"/>
      <c r="D137" s="66">
        <v>75.311000000000007</v>
      </c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CF137" s="68"/>
    </row>
    <row r="138" spans="1:84" ht="17.399999999999999" x14ac:dyDescent="0.35">
      <c r="A138" s="67" t="s">
        <v>775</v>
      </c>
      <c r="B138" s="67"/>
      <c r="C138" s="66"/>
      <c r="D138" s="66">
        <v>86.953680000000006</v>
      </c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CF138" s="68"/>
    </row>
    <row r="139" spans="1:84" ht="17.399999999999999" x14ac:dyDescent="0.35">
      <c r="A139" s="67" t="s">
        <v>776</v>
      </c>
      <c r="B139" s="67"/>
      <c r="C139" s="66"/>
      <c r="D139" s="66">
        <v>190.66669999999999</v>
      </c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CF139" s="68"/>
    </row>
    <row r="140" spans="1:84" ht="17.399999999999999" x14ac:dyDescent="0.35">
      <c r="A140" s="67" t="s">
        <v>777</v>
      </c>
      <c r="B140" s="67"/>
      <c r="C140" s="66"/>
      <c r="D140" s="66">
        <v>27.716190000000001</v>
      </c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CF140" s="68"/>
    </row>
    <row r="141" spans="1:84" ht="17.399999999999999" x14ac:dyDescent="0.35">
      <c r="A141" s="67" t="s">
        <v>778</v>
      </c>
      <c r="B141" s="67"/>
      <c r="C141" s="66"/>
      <c r="D141" s="66">
        <v>49.145589999999999</v>
      </c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CF141" s="68"/>
    </row>
    <row r="142" spans="1:84" ht="17.399999999999999" x14ac:dyDescent="0.35">
      <c r="A142" s="67" t="s">
        <v>779</v>
      </c>
      <c r="B142" s="67"/>
      <c r="C142" s="66"/>
      <c r="D142" s="66">
        <v>56.655529999999999</v>
      </c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CF142" s="68"/>
    </row>
    <row r="143" spans="1:84" ht="17.399999999999999" x14ac:dyDescent="0.35">
      <c r="A143" s="67" t="s">
        <v>780</v>
      </c>
      <c r="B143" s="67"/>
      <c r="C143" s="66"/>
      <c r="D143" s="66">
        <v>59.190460000000002</v>
      </c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CF143" s="68"/>
    </row>
    <row r="144" spans="1:84" ht="17.399999999999999" x14ac:dyDescent="0.35">
      <c r="A144" s="67" t="s">
        <v>781</v>
      </c>
      <c r="B144" s="67"/>
      <c r="C144" s="66"/>
      <c r="D144" s="66">
        <v>65.817740000000001</v>
      </c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CF144" s="68"/>
    </row>
    <row r="145" spans="1:84" ht="17.399999999999999" x14ac:dyDescent="0.35">
      <c r="A145" s="67" t="s">
        <v>782</v>
      </c>
      <c r="B145" s="67"/>
      <c r="C145" s="66"/>
      <c r="D145" s="66">
        <v>64.83954</v>
      </c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CF145" s="68"/>
    </row>
    <row r="146" spans="1:84" ht="17.399999999999999" x14ac:dyDescent="0.35">
      <c r="A146" s="67" t="s">
        <v>783</v>
      </c>
      <c r="B146" s="67"/>
      <c r="C146" s="66"/>
      <c r="D146" s="66">
        <v>65.231300000000005</v>
      </c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CF146" s="68"/>
    </row>
    <row r="147" spans="1:84" ht="17.399999999999999" x14ac:dyDescent="0.35">
      <c r="A147" s="67" t="s">
        <v>784</v>
      </c>
      <c r="B147" s="67"/>
      <c r="C147" s="66"/>
      <c r="D147" s="66">
        <v>67.218919999999997</v>
      </c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CF147" s="68"/>
    </row>
    <row r="148" spans="1:84" ht="17.399999999999999" x14ac:dyDescent="0.35">
      <c r="A148" s="67" t="s">
        <v>785</v>
      </c>
      <c r="B148" s="67"/>
      <c r="C148" s="66"/>
      <c r="D148" s="66">
        <v>75.125720000000001</v>
      </c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CF148" s="68"/>
    </row>
    <row r="149" spans="1:84" ht="17.399999999999999" x14ac:dyDescent="0.35">
      <c r="A149" s="67" t="s">
        <v>786</v>
      </c>
      <c r="B149" s="67"/>
      <c r="C149" s="66"/>
      <c r="D149" s="66">
        <v>78.501859999999994</v>
      </c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CF149" s="68"/>
    </row>
    <row r="150" spans="1:84" ht="17.399999999999999" x14ac:dyDescent="0.35">
      <c r="A150" s="67" t="s">
        <v>787</v>
      </c>
      <c r="B150" s="67"/>
      <c r="C150" s="66"/>
      <c r="D150" s="66">
        <v>76.109679999999997</v>
      </c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CF150" s="68"/>
    </row>
    <row r="151" spans="1:84" ht="17.399999999999999" x14ac:dyDescent="0.35">
      <c r="A151" s="67" t="s">
        <v>788</v>
      </c>
      <c r="B151" s="67"/>
      <c r="C151" s="66"/>
      <c r="D151" s="66">
        <v>46.964419999999997</v>
      </c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CF151" s="68"/>
    </row>
    <row r="152" spans="1:84" ht="17.399999999999999" x14ac:dyDescent="0.35">
      <c r="A152" s="67" t="s">
        <v>789</v>
      </c>
      <c r="B152" s="67"/>
      <c r="C152" s="66"/>
      <c r="D152" s="66">
        <v>50.001440000000002</v>
      </c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CF152" s="68"/>
    </row>
    <row r="153" spans="1:84" ht="17.399999999999999" x14ac:dyDescent="0.35">
      <c r="A153" s="67" t="s">
        <v>790</v>
      </c>
      <c r="B153" s="67"/>
      <c r="C153" s="66"/>
      <c r="D153" s="66">
        <v>56.478659999999998</v>
      </c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CF153" s="68"/>
    </row>
    <row r="154" spans="1:84" ht="17.399999999999999" x14ac:dyDescent="0.35">
      <c r="A154" s="67" t="s">
        <v>791</v>
      </c>
      <c r="B154" s="67"/>
      <c r="C154" s="66"/>
      <c r="D154" s="66">
        <v>62.658540000000002</v>
      </c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CF154" s="68"/>
    </row>
    <row r="155" spans="1:84" ht="17.399999999999999" x14ac:dyDescent="0.35">
      <c r="A155" s="67" t="s">
        <v>792</v>
      </c>
      <c r="B155" s="67"/>
      <c r="C155" s="66"/>
      <c r="D155" s="66">
        <v>61.77704</v>
      </c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CF155" s="68"/>
    </row>
    <row r="156" spans="1:84" ht="17.399999999999999" x14ac:dyDescent="0.35">
      <c r="A156" s="67" t="s">
        <v>793</v>
      </c>
      <c r="B156" s="67"/>
      <c r="C156" s="66"/>
      <c r="D156" s="66">
        <v>61.959760000000003</v>
      </c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CF156" s="68"/>
    </row>
    <row r="157" spans="1:84" ht="17.399999999999999" x14ac:dyDescent="0.35">
      <c r="A157" s="67" t="s">
        <v>794</v>
      </c>
      <c r="B157" s="67"/>
      <c r="C157" s="66"/>
      <c r="D157" s="66">
        <v>66.027720000000002</v>
      </c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CF157" s="68"/>
    </row>
    <row r="158" spans="1:84" ht="17.399999999999999" x14ac:dyDescent="0.35">
      <c r="A158" s="67" t="s">
        <v>795</v>
      </c>
      <c r="B158" s="67"/>
      <c r="C158" s="66"/>
      <c r="D158" s="66">
        <v>65.840779999999995</v>
      </c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CF158" s="68"/>
    </row>
    <row r="159" spans="1:84" ht="17.399999999999999" x14ac:dyDescent="0.35">
      <c r="A159" s="67" t="s">
        <v>796</v>
      </c>
      <c r="B159" s="67"/>
      <c r="C159" s="66"/>
      <c r="D159" s="66">
        <v>71.792659999999998</v>
      </c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CF159" s="68"/>
    </row>
    <row r="160" spans="1:84" ht="17.399999999999999" x14ac:dyDescent="0.35">
      <c r="A160" s="67" t="s">
        <v>797</v>
      </c>
      <c r="B160" s="67"/>
      <c r="C160" s="66"/>
      <c r="D160" s="66">
        <v>68.568979999999996</v>
      </c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CF160" s="68"/>
    </row>
    <row r="161" spans="1:84" ht="17.399999999999999" x14ac:dyDescent="0.35">
      <c r="A161" s="67" t="s">
        <v>798</v>
      </c>
      <c r="B161" s="67"/>
      <c r="C161" s="66"/>
      <c r="D161" s="66">
        <v>138.3963</v>
      </c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CF161" s="68"/>
    </row>
    <row r="162" spans="1:84" ht="17.399999999999999" x14ac:dyDescent="0.35">
      <c r="A162" s="67" t="s">
        <v>799</v>
      </c>
      <c r="B162" s="67"/>
      <c r="C162" s="66"/>
      <c r="D162" s="66">
        <v>45.502929999999999</v>
      </c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CF162" s="68"/>
    </row>
    <row r="163" spans="1:84" ht="17.399999999999999" x14ac:dyDescent="0.35">
      <c r="A163" s="67" t="s">
        <v>800</v>
      </c>
      <c r="B163" s="67"/>
      <c r="C163" s="66"/>
      <c r="D163" s="66">
        <v>52.745899999999999</v>
      </c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CF163" s="68"/>
    </row>
    <row r="164" spans="1:84" ht="17.399999999999999" x14ac:dyDescent="0.35">
      <c r="A164" s="67" t="s">
        <v>801</v>
      </c>
      <c r="B164" s="67"/>
      <c r="C164" s="66"/>
      <c r="D164" s="66">
        <v>61.321599999999997</v>
      </c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CF164" s="68"/>
    </row>
    <row r="165" spans="1:84" ht="17.399999999999999" x14ac:dyDescent="0.35">
      <c r="A165" s="67" t="s">
        <v>802</v>
      </c>
      <c r="B165" s="67"/>
      <c r="C165" s="66"/>
      <c r="D165" s="66">
        <v>61.434080000000002</v>
      </c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CF165" s="68"/>
    </row>
    <row r="166" spans="1:84" ht="17.399999999999999" x14ac:dyDescent="0.35">
      <c r="A166" s="67" t="s">
        <v>803</v>
      </c>
      <c r="B166" s="67"/>
      <c r="C166" s="66"/>
      <c r="D166" s="66">
        <v>64.852519999999998</v>
      </c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CF166" s="68"/>
    </row>
    <row r="167" spans="1:84" ht="17.399999999999999" x14ac:dyDescent="0.35">
      <c r="A167" s="67" t="s">
        <v>804</v>
      </c>
      <c r="B167" s="67"/>
      <c r="C167" s="66"/>
      <c r="D167" s="66">
        <v>66.196340000000006</v>
      </c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CF167" s="68"/>
    </row>
    <row r="168" spans="1:84" ht="17.399999999999999" x14ac:dyDescent="0.35">
      <c r="A168" s="67" t="s">
        <v>805</v>
      </c>
      <c r="B168" s="67"/>
      <c r="C168" s="66"/>
      <c r="D168" s="66">
        <v>65.910619999999994</v>
      </c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CF168" s="68"/>
    </row>
    <row r="169" spans="1:84" ht="17.399999999999999" x14ac:dyDescent="0.35">
      <c r="A169" s="67" t="s">
        <v>806</v>
      </c>
      <c r="B169" s="67"/>
      <c r="C169" s="66"/>
      <c r="D169" s="66">
        <v>63.14676</v>
      </c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CF169" s="68"/>
    </row>
    <row r="170" spans="1:84" ht="17.399999999999999" x14ac:dyDescent="0.35">
      <c r="A170" s="67" t="s">
        <v>807</v>
      </c>
      <c r="B170" s="67"/>
      <c r="C170" s="66"/>
      <c r="D170" s="66">
        <v>73.868960000000001</v>
      </c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CF170" s="68"/>
    </row>
    <row r="171" spans="1:84" ht="17.399999999999999" x14ac:dyDescent="0.35">
      <c r="A171" s="67" t="s">
        <v>808</v>
      </c>
      <c r="B171" s="67"/>
      <c r="C171" s="66"/>
      <c r="D171" s="66">
        <v>80.907359999999997</v>
      </c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CF171" s="68"/>
    </row>
    <row r="172" spans="1:84" ht="17.399999999999999" x14ac:dyDescent="0.35">
      <c r="A172" s="67" t="s">
        <v>809</v>
      </c>
      <c r="B172" s="67"/>
      <c r="C172" s="66"/>
      <c r="D172" s="66">
        <v>55.553269999999998</v>
      </c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CF172" s="68"/>
    </row>
    <row r="173" spans="1:84" ht="17.399999999999999" x14ac:dyDescent="0.35">
      <c r="A173" s="67" t="s">
        <v>810</v>
      </c>
      <c r="B173" s="67"/>
      <c r="C173" s="66"/>
      <c r="D173" s="66">
        <v>36.90699</v>
      </c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CF173" s="68"/>
    </row>
    <row r="174" spans="1:84" ht="17.399999999999999" x14ac:dyDescent="0.35">
      <c r="A174" s="67" t="s">
        <v>811</v>
      </c>
      <c r="B174" s="67"/>
      <c r="C174" s="66"/>
      <c r="D174" s="66">
        <v>60.13552</v>
      </c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CF174" s="68"/>
    </row>
    <row r="175" spans="1:84" ht="17.399999999999999" x14ac:dyDescent="0.35">
      <c r="A175" s="67" t="s">
        <v>812</v>
      </c>
      <c r="B175" s="67"/>
      <c r="C175" s="66"/>
      <c r="D175" s="66">
        <v>64.131559999999993</v>
      </c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CF175" s="68"/>
    </row>
    <row r="176" spans="1:84" ht="17.399999999999999" x14ac:dyDescent="0.35">
      <c r="A176" s="67" t="s">
        <v>813</v>
      </c>
      <c r="B176" s="67"/>
      <c r="C176" s="66"/>
      <c r="D176" s="66">
        <v>66.4422</v>
      </c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CF176" s="68"/>
    </row>
    <row r="177" spans="1:84" ht="17.399999999999999" x14ac:dyDescent="0.35">
      <c r="A177" s="67" t="s">
        <v>814</v>
      </c>
      <c r="B177" s="67"/>
      <c r="C177" s="66"/>
      <c r="D177" s="66">
        <v>67.090400000000002</v>
      </c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CF177" s="68"/>
    </row>
    <row r="178" spans="1:84" ht="17.399999999999999" x14ac:dyDescent="0.35">
      <c r="A178" s="67" t="s">
        <v>815</v>
      </c>
      <c r="B178" s="67"/>
      <c r="C178" s="66"/>
      <c r="D178" s="66">
        <v>76.161079999999998</v>
      </c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CF178" s="68"/>
    </row>
    <row r="179" spans="1:84" ht="17.399999999999999" x14ac:dyDescent="0.35">
      <c r="A179" s="67" t="s">
        <v>816</v>
      </c>
      <c r="B179" s="67"/>
      <c r="C179" s="66"/>
      <c r="D179" s="66">
        <v>73.998360000000005</v>
      </c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CF179" s="68"/>
    </row>
    <row r="180" spans="1:84" ht="17.399999999999999" x14ac:dyDescent="0.35">
      <c r="A180" s="67" t="s">
        <v>817</v>
      </c>
      <c r="B180" s="67"/>
      <c r="C180" s="66"/>
      <c r="D180" s="66">
        <v>79.13964</v>
      </c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CF180" s="68"/>
    </row>
    <row r="181" spans="1:84" ht="17.399999999999999" x14ac:dyDescent="0.35">
      <c r="A181" s="67" t="s">
        <v>818</v>
      </c>
      <c r="B181" s="67"/>
      <c r="C181" s="66"/>
      <c r="D181" s="66">
        <v>73.185460000000006</v>
      </c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CF181" s="68"/>
    </row>
    <row r="182" spans="1:84" ht="17.399999999999999" x14ac:dyDescent="0.35">
      <c r="A182" s="67" t="s">
        <v>819</v>
      </c>
      <c r="B182" s="67"/>
      <c r="C182" s="66"/>
      <c r="D182" s="66">
        <v>76.784260000000003</v>
      </c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CF182" s="68"/>
    </row>
    <row r="183" spans="1:84" ht="17.399999999999999" x14ac:dyDescent="0.35">
      <c r="A183" s="67" t="s">
        <v>820</v>
      </c>
      <c r="B183" s="67"/>
      <c r="C183" s="66"/>
      <c r="D183" s="66">
        <v>57.705179999999999</v>
      </c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CF183" s="68"/>
    </row>
    <row r="184" spans="1:84" ht="17.399999999999999" x14ac:dyDescent="0.35">
      <c r="A184" s="67" t="s">
        <v>821</v>
      </c>
      <c r="B184" s="67"/>
      <c r="C184" s="66"/>
      <c r="D184" s="66">
        <v>69.496520000000004</v>
      </c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CF184" s="68"/>
    </row>
    <row r="185" spans="1:84" ht="17.399999999999999" x14ac:dyDescent="0.35">
      <c r="A185" s="67" t="s">
        <v>822</v>
      </c>
      <c r="B185" s="67"/>
      <c r="C185" s="66"/>
      <c r="D185" s="66">
        <v>68.094279999999998</v>
      </c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CF185" s="68"/>
    </row>
    <row r="186" spans="1:84" ht="17.399999999999999" x14ac:dyDescent="0.35">
      <c r="A186" s="67" t="s">
        <v>823</v>
      </c>
      <c r="B186" s="67"/>
      <c r="C186" s="66"/>
      <c r="D186" s="66">
        <v>73.424239999999998</v>
      </c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CF186" s="68"/>
    </row>
    <row r="187" spans="1:84" ht="17.399999999999999" x14ac:dyDescent="0.35">
      <c r="A187" s="67" t="s">
        <v>824</v>
      </c>
      <c r="B187" s="67"/>
      <c r="C187" s="66"/>
      <c r="D187" s="66">
        <v>71.28904</v>
      </c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CF187" s="68"/>
    </row>
    <row r="188" spans="1:84" ht="17.399999999999999" x14ac:dyDescent="0.35">
      <c r="A188" s="67" t="s">
        <v>825</v>
      </c>
      <c r="B188" s="67"/>
      <c r="C188" s="66"/>
      <c r="D188" s="66">
        <v>86.853380000000001</v>
      </c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CF188" s="68"/>
    </row>
    <row r="189" spans="1:84" ht="17.399999999999999" x14ac:dyDescent="0.35">
      <c r="A189" s="67" t="s">
        <v>826</v>
      </c>
      <c r="B189" s="67"/>
      <c r="C189" s="66"/>
      <c r="D189" s="66">
        <v>71.055440000000004</v>
      </c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CF189" s="68"/>
    </row>
    <row r="190" spans="1:84" ht="17.399999999999999" x14ac:dyDescent="0.35">
      <c r="A190" s="67" t="s">
        <v>827</v>
      </c>
      <c r="B190" s="67"/>
      <c r="C190" s="66"/>
      <c r="D190" s="66">
        <v>73.401020000000003</v>
      </c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CF190" s="68"/>
    </row>
    <row r="191" spans="1:84" ht="17.399999999999999" x14ac:dyDescent="0.35">
      <c r="A191" s="67" t="s">
        <v>828</v>
      </c>
      <c r="B191" s="67"/>
      <c r="C191" s="66"/>
      <c r="D191" s="66">
        <v>87.052999999999997</v>
      </c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CF191" s="68"/>
    </row>
    <row r="192" spans="1:84" ht="17.399999999999999" x14ac:dyDescent="0.35">
      <c r="A192" s="67" t="s">
        <v>829</v>
      </c>
      <c r="B192" s="67"/>
      <c r="C192" s="66"/>
      <c r="D192" s="66">
        <v>97.155180000000001</v>
      </c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CF192" s="68"/>
    </row>
    <row r="193" spans="1:84" ht="17.399999999999999" x14ac:dyDescent="0.35">
      <c r="A193" s="67" t="s">
        <v>830</v>
      </c>
      <c r="B193" s="67"/>
      <c r="C193" s="66"/>
      <c r="D193" s="66">
        <v>77.695220000000006</v>
      </c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CF193" s="68"/>
    </row>
    <row r="194" spans="1:84" ht="17.399999999999999" x14ac:dyDescent="0.35">
      <c r="A194" s="67" t="s">
        <v>831</v>
      </c>
      <c r="B194" s="67"/>
      <c r="C194" s="66"/>
      <c r="D194" s="66">
        <v>69.609279999999998</v>
      </c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CF194" s="68"/>
    </row>
    <row r="195" spans="1:84" ht="17.399999999999999" x14ac:dyDescent="0.35">
      <c r="A195" s="67" t="s">
        <v>832</v>
      </c>
      <c r="B195" s="67"/>
      <c r="C195" s="66"/>
      <c r="D195" s="66">
        <v>64.666659999999993</v>
      </c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CF195" s="68"/>
    </row>
    <row r="196" spans="1:84" ht="17.399999999999999" x14ac:dyDescent="0.35">
      <c r="A196" s="67" t="s">
        <v>833</v>
      </c>
      <c r="B196" s="67"/>
      <c r="C196" s="66"/>
      <c r="D196" s="66">
        <v>67.555199999999999</v>
      </c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CF196" s="68"/>
    </row>
    <row r="197" spans="1:84" ht="17.399999999999999" x14ac:dyDescent="0.35">
      <c r="A197" s="67" t="s">
        <v>834</v>
      </c>
      <c r="B197" s="67"/>
      <c r="C197" s="66"/>
      <c r="D197" s="66">
        <v>67.43826</v>
      </c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CF197" s="68"/>
    </row>
    <row r="198" spans="1:84" ht="17.399999999999999" x14ac:dyDescent="0.35">
      <c r="A198" s="67" t="s">
        <v>835</v>
      </c>
      <c r="B198" s="67"/>
      <c r="C198" s="66"/>
      <c r="D198" s="66">
        <v>71.122559999999993</v>
      </c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CF198" s="68"/>
    </row>
    <row r="199" spans="1:84" ht="17.399999999999999" x14ac:dyDescent="0.35">
      <c r="A199" s="67" t="s">
        <v>836</v>
      </c>
      <c r="B199" s="67"/>
      <c r="C199" s="66"/>
      <c r="D199" s="66">
        <v>71.837059999999994</v>
      </c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CF199" s="68"/>
    </row>
    <row r="200" spans="1:84" ht="17.399999999999999" x14ac:dyDescent="0.35">
      <c r="A200" s="67" t="s">
        <v>837</v>
      </c>
      <c r="B200" s="67"/>
      <c r="C200" s="66"/>
      <c r="D200" s="66">
        <v>70.83278</v>
      </c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CF200" s="68"/>
    </row>
    <row r="201" spans="1:84" ht="17.399999999999999" x14ac:dyDescent="0.35">
      <c r="A201" s="67" t="s">
        <v>838</v>
      </c>
      <c r="B201" s="67"/>
      <c r="C201" s="66"/>
      <c r="D201" s="66">
        <v>87.511099999999999</v>
      </c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CF201" s="68"/>
    </row>
    <row r="202" spans="1:84" ht="17.399999999999999" x14ac:dyDescent="0.35">
      <c r="A202" s="67" t="s">
        <v>839</v>
      </c>
      <c r="B202" s="67"/>
      <c r="C202" s="66"/>
      <c r="D202" s="66">
        <v>62.712560000000003</v>
      </c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CF202" s="68"/>
    </row>
    <row r="203" spans="1:84" ht="17.399999999999999" x14ac:dyDescent="0.35">
      <c r="A203" s="67" t="s">
        <v>840</v>
      </c>
      <c r="B203" s="67"/>
      <c r="C203" s="66"/>
      <c r="D203" s="66">
        <v>26.759329999999999</v>
      </c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CF203" s="68"/>
    </row>
    <row r="204" spans="1:84" ht="17.399999999999999" x14ac:dyDescent="0.35">
      <c r="A204" s="67" t="s">
        <v>843</v>
      </c>
      <c r="B204" s="67"/>
      <c r="C204" s="66"/>
      <c r="D204" s="66">
        <v>61.658740000000002</v>
      </c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CF204" s="68"/>
    </row>
    <row r="205" spans="1:84" ht="17.399999999999999" x14ac:dyDescent="0.35">
      <c r="A205" s="67" t="s">
        <v>844</v>
      </c>
      <c r="B205" s="67"/>
      <c r="C205" s="66"/>
      <c r="D205" s="66">
        <v>58.26032</v>
      </c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CF205" s="68"/>
    </row>
    <row r="206" spans="1:84" ht="17.399999999999999" x14ac:dyDescent="0.35">
      <c r="A206" s="67" t="s">
        <v>845</v>
      </c>
      <c r="B206" s="67"/>
      <c r="C206" s="66"/>
      <c r="D206" s="66">
        <v>62.326900000000002</v>
      </c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CF206" s="68"/>
    </row>
    <row r="207" spans="1:84" ht="17.399999999999999" x14ac:dyDescent="0.35">
      <c r="A207" s="67" t="s">
        <v>846</v>
      </c>
      <c r="B207" s="67"/>
      <c r="C207" s="66"/>
      <c r="D207" s="66">
        <v>65.280720000000002</v>
      </c>
      <c r="E207" s="66"/>
      <c r="F207" s="66"/>
      <c r="G207" s="66"/>
      <c r="H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CF207" s="68"/>
    </row>
    <row r="208" spans="1:84" ht="17.399999999999999" x14ac:dyDescent="0.35">
      <c r="A208" s="67" t="s">
        <v>847</v>
      </c>
      <c r="B208" s="67"/>
      <c r="C208" s="66"/>
      <c r="D208" s="66">
        <v>66.507220000000004</v>
      </c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CF208" s="68"/>
    </row>
    <row r="209" spans="1:84" ht="17.399999999999999" x14ac:dyDescent="0.35">
      <c r="A209" s="67" t="s">
        <v>848</v>
      </c>
      <c r="B209" s="67"/>
      <c r="C209" s="66"/>
      <c r="D209" s="66">
        <v>69.062359999999998</v>
      </c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CF209" s="68"/>
    </row>
    <row r="210" spans="1:84" ht="17.399999999999999" x14ac:dyDescent="0.35">
      <c r="A210" s="67" t="s">
        <v>849</v>
      </c>
      <c r="B210" s="67"/>
      <c r="C210" s="66"/>
      <c r="D210" s="66">
        <v>78.167959999999994</v>
      </c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CF210" s="68"/>
    </row>
    <row r="211" spans="1:84" ht="17.399999999999999" x14ac:dyDescent="0.35">
      <c r="A211" s="67" t="s">
        <v>850</v>
      </c>
      <c r="B211" s="67"/>
      <c r="C211" s="66"/>
      <c r="D211" s="66">
        <v>68.446100000000001</v>
      </c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CF211" s="68"/>
    </row>
    <row r="212" spans="1:84" ht="17.399999999999999" x14ac:dyDescent="0.35">
      <c r="A212" s="67" t="s">
        <v>851</v>
      </c>
      <c r="B212" s="67"/>
      <c r="C212" s="66"/>
      <c r="D212" s="66">
        <v>85.380340000000004</v>
      </c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CF212" s="68"/>
    </row>
    <row r="213" spans="1:84" ht="17.399999999999999" x14ac:dyDescent="0.35">
      <c r="A213" s="67" t="s">
        <v>852</v>
      </c>
      <c r="B213" s="67"/>
      <c r="C213" s="66"/>
      <c r="D213" s="66">
        <v>56.960680000000004</v>
      </c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CF213" s="68"/>
    </row>
    <row r="214" spans="1:84" ht="17.399999999999999" x14ac:dyDescent="0.35">
      <c r="A214" s="67" t="s">
        <v>853</v>
      </c>
      <c r="B214" s="67"/>
      <c r="C214" s="66"/>
      <c r="D214" s="66">
        <v>56.807070000000003</v>
      </c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CF214" s="68"/>
    </row>
    <row r="215" spans="1:84" ht="17.399999999999999" x14ac:dyDescent="0.35">
      <c r="A215" s="67" t="s">
        <v>854</v>
      </c>
      <c r="B215" s="67"/>
      <c r="C215" s="66"/>
      <c r="D215" s="66">
        <v>57.114370000000001</v>
      </c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CF215" s="68"/>
    </row>
    <row r="216" spans="1:84" ht="17.399999999999999" x14ac:dyDescent="0.35">
      <c r="A216" s="67" t="s">
        <v>855</v>
      </c>
      <c r="B216" s="67"/>
      <c r="C216" s="66"/>
      <c r="D216" s="66">
        <v>59.605510000000002</v>
      </c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CF216" s="68"/>
    </row>
    <row r="217" spans="1:84" ht="17.399999999999999" x14ac:dyDescent="0.35">
      <c r="A217" s="67" t="s">
        <v>856</v>
      </c>
      <c r="B217" s="67"/>
      <c r="C217" s="66"/>
      <c r="D217" s="66">
        <v>63.124420000000001</v>
      </c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CF217" s="68"/>
    </row>
    <row r="218" spans="1:84" ht="17.399999999999999" x14ac:dyDescent="0.35">
      <c r="A218" s="67" t="s">
        <v>857</v>
      </c>
      <c r="B218" s="67"/>
      <c r="C218" s="66"/>
      <c r="D218" s="66">
        <v>63.928600000000003</v>
      </c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CF218" s="68"/>
    </row>
    <row r="219" spans="1:84" ht="17.399999999999999" x14ac:dyDescent="0.35">
      <c r="A219" s="67" t="s">
        <v>858</v>
      </c>
      <c r="B219" s="67"/>
      <c r="C219" s="66"/>
      <c r="D219" s="66">
        <v>59.787849999999999</v>
      </c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CF219" s="68"/>
    </row>
    <row r="220" spans="1:84" ht="17.399999999999999" x14ac:dyDescent="0.35">
      <c r="A220" s="67" t="s">
        <v>859</v>
      </c>
      <c r="B220" s="67"/>
      <c r="C220" s="66"/>
      <c r="D220" s="66">
        <v>64.793120000000002</v>
      </c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CF220" s="68"/>
    </row>
    <row r="221" spans="1:84" ht="17.399999999999999" x14ac:dyDescent="0.35">
      <c r="A221" s="67" t="s">
        <v>860</v>
      </c>
      <c r="B221" s="67"/>
      <c r="C221" s="66"/>
      <c r="D221" s="66">
        <v>67.721980000000002</v>
      </c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CF221" s="68"/>
    </row>
    <row r="222" spans="1:84" ht="17.399999999999999" x14ac:dyDescent="0.35">
      <c r="A222" s="67" t="s">
        <v>861</v>
      </c>
      <c r="B222" s="67"/>
      <c r="C222" s="66"/>
      <c r="D222" s="66">
        <v>78.6584</v>
      </c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CF222" s="68"/>
    </row>
    <row r="223" spans="1:84" ht="17.399999999999999" x14ac:dyDescent="0.35">
      <c r="A223" s="67" t="s">
        <v>862</v>
      </c>
      <c r="B223" s="67"/>
      <c r="C223" s="66"/>
      <c r="D223" s="66">
        <v>66.608140000000006</v>
      </c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CF223" s="68"/>
    </row>
    <row r="224" spans="1:84" ht="17.399999999999999" x14ac:dyDescent="0.35">
      <c r="A224" s="67" t="s">
        <v>863</v>
      </c>
      <c r="B224" s="67"/>
      <c r="C224" s="66"/>
      <c r="D224" s="66">
        <v>40.094639999999998</v>
      </c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CF224" s="68"/>
    </row>
    <row r="225" spans="1:84" ht="17.399999999999999" x14ac:dyDescent="0.35">
      <c r="A225" s="67" t="s">
        <v>864</v>
      </c>
      <c r="B225" s="67"/>
      <c r="C225" s="66"/>
      <c r="D225" s="66">
        <v>52.411949999999997</v>
      </c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CF225" s="68"/>
    </row>
    <row r="226" spans="1:84" ht="17.399999999999999" x14ac:dyDescent="0.35">
      <c r="A226" s="67" t="s">
        <v>865</v>
      </c>
      <c r="B226" s="67"/>
      <c r="C226" s="66"/>
      <c r="D226" s="66">
        <v>60.172580000000004</v>
      </c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CF226" s="68"/>
    </row>
    <row r="227" spans="1:84" ht="17.399999999999999" x14ac:dyDescent="0.35">
      <c r="A227" s="67" t="s">
        <v>866</v>
      </c>
      <c r="B227" s="67"/>
      <c r="C227" s="66"/>
      <c r="D227" s="66">
        <v>61.664839999999998</v>
      </c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CF227" s="68"/>
    </row>
    <row r="228" spans="1:84" ht="17.399999999999999" x14ac:dyDescent="0.35">
      <c r="A228" s="67" t="s">
        <v>867</v>
      </c>
      <c r="B228" s="67"/>
      <c r="C228" s="66"/>
      <c r="D228" s="66">
        <v>65.149259999999998</v>
      </c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CF228" s="68"/>
    </row>
    <row r="229" spans="1:84" ht="17.399999999999999" x14ac:dyDescent="0.35">
      <c r="A229" s="67" t="s">
        <v>868</v>
      </c>
      <c r="B229" s="67"/>
      <c r="C229" s="66"/>
      <c r="D229" s="66">
        <v>71.018280000000004</v>
      </c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CF229" s="68"/>
    </row>
    <row r="230" spans="1:84" ht="17.399999999999999" x14ac:dyDescent="0.35">
      <c r="A230" s="67" t="s">
        <v>869</v>
      </c>
      <c r="B230" s="67"/>
      <c r="C230" s="66"/>
      <c r="D230" s="66">
        <v>63.458860000000001</v>
      </c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CF230" s="68"/>
    </row>
    <row r="231" spans="1:84" ht="17.399999999999999" x14ac:dyDescent="0.35">
      <c r="A231" s="67" t="s">
        <v>870</v>
      </c>
      <c r="B231" s="67"/>
      <c r="C231" s="66"/>
      <c r="D231" s="66">
        <v>68.776219999999995</v>
      </c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CF231" s="68"/>
    </row>
    <row r="232" spans="1:84" ht="17.399999999999999" x14ac:dyDescent="0.35">
      <c r="A232" s="67" t="s">
        <v>871</v>
      </c>
      <c r="B232" s="67"/>
      <c r="C232" s="66"/>
      <c r="D232" s="66">
        <v>69.541600000000003</v>
      </c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CF232" s="68"/>
    </row>
    <row r="233" spans="1:84" ht="17.399999999999999" x14ac:dyDescent="0.35">
      <c r="A233" s="67" t="s">
        <v>872</v>
      </c>
      <c r="B233" s="67"/>
      <c r="C233" s="66"/>
      <c r="D233" s="66">
        <v>81.564279999999997</v>
      </c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CF233" s="68"/>
    </row>
    <row r="234" spans="1:84" ht="17.399999999999999" x14ac:dyDescent="0.35">
      <c r="A234" s="67" t="s">
        <v>873</v>
      </c>
      <c r="B234" s="67"/>
      <c r="C234" s="66"/>
      <c r="D234" s="66">
        <v>81.454939999999993</v>
      </c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CF234" s="68"/>
    </row>
    <row r="235" spans="1:84" ht="17.399999999999999" x14ac:dyDescent="0.35">
      <c r="A235" s="67" t="s">
        <v>895</v>
      </c>
      <c r="B235" s="67"/>
      <c r="C235" s="66"/>
      <c r="D235" s="66">
        <v>41.878579999999999</v>
      </c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CF235" s="68"/>
    </row>
    <row r="236" spans="1:84" ht="17.399999999999999" x14ac:dyDescent="0.35">
      <c r="A236" s="67" t="s">
        <v>896</v>
      </c>
      <c r="B236" s="67"/>
      <c r="C236" s="66"/>
      <c r="D236" s="66">
        <v>51.235349999999997</v>
      </c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CF236" s="68"/>
    </row>
    <row r="237" spans="1:84" ht="17.399999999999999" x14ac:dyDescent="0.35">
      <c r="A237" s="67" t="s">
        <v>897</v>
      </c>
      <c r="B237" s="67"/>
      <c r="C237" s="66"/>
      <c r="D237" s="66">
        <v>60.567680000000003</v>
      </c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CF237" s="68"/>
    </row>
    <row r="238" spans="1:84" ht="17.399999999999999" x14ac:dyDescent="0.35">
      <c r="A238" s="67" t="s">
        <v>898</v>
      </c>
      <c r="B238" s="67"/>
      <c r="C238" s="66"/>
      <c r="D238" s="66">
        <v>63.843319999999999</v>
      </c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CF238" s="68"/>
    </row>
    <row r="239" spans="1:84" ht="17.399999999999999" x14ac:dyDescent="0.35">
      <c r="A239" s="67" t="s">
        <v>899</v>
      </c>
      <c r="B239" s="67"/>
      <c r="C239" s="66"/>
      <c r="D239" s="66">
        <v>59.835880000000003</v>
      </c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CF239" s="68"/>
    </row>
    <row r="240" spans="1:84" ht="17.399999999999999" x14ac:dyDescent="0.35">
      <c r="A240" s="67" t="s">
        <v>900</v>
      </c>
      <c r="B240" s="67"/>
      <c r="C240" s="66"/>
      <c r="D240" s="66">
        <v>72.606960000000001</v>
      </c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CF240" s="68"/>
    </row>
    <row r="241" spans="1:84" ht="17.399999999999999" x14ac:dyDescent="0.35">
      <c r="A241" s="67" t="s">
        <v>901</v>
      </c>
      <c r="B241" s="67"/>
      <c r="C241" s="66"/>
      <c r="D241" s="66">
        <v>62.243740000000003</v>
      </c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CF241" s="68"/>
    </row>
    <row r="242" spans="1:84" ht="17.399999999999999" x14ac:dyDescent="0.35">
      <c r="A242" s="67" t="s">
        <v>902</v>
      </c>
      <c r="B242" s="67"/>
      <c r="C242" s="66"/>
      <c r="D242" s="66">
        <v>73.782799999999995</v>
      </c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CF242" s="68"/>
    </row>
    <row r="243" spans="1:84" ht="17.399999999999999" x14ac:dyDescent="0.35">
      <c r="A243" s="67" t="s">
        <v>903</v>
      </c>
      <c r="B243" s="67"/>
      <c r="C243" s="66"/>
      <c r="D243" s="66">
        <v>74.969260000000006</v>
      </c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CF243" s="68"/>
    </row>
    <row r="244" spans="1:84" ht="17.399999999999999" x14ac:dyDescent="0.35">
      <c r="A244" s="67" t="s">
        <v>904</v>
      </c>
      <c r="B244" s="67"/>
      <c r="C244" s="66"/>
      <c r="D244" s="66">
        <v>67.871880000000004</v>
      </c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CF244" s="68"/>
    </row>
    <row r="245" spans="1:84" ht="17.399999999999999" x14ac:dyDescent="0.35">
      <c r="A245" s="67" t="s">
        <v>905</v>
      </c>
      <c r="B245" s="67"/>
      <c r="C245" s="66"/>
      <c r="D245" s="66">
        <v>57.445210000000003</v>
      </c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CF245" s="68"/>
    </row>
    <row r="246" spans="1:84" ht="17.399999999999999" x14ac:dyDescent="0.35">
      <c r="A246" s="67" t="s">
        <v>874</v>
      </c>
      <c r="B246" s="67"/>
      <c r="C246" s="66"/>
      <c r="D246" s="66">
        <v>63.496560000000002</v>
      </c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CF246" s="68"/>
    </row>
    <row r="247" spans="1:84" ht="17.399999999999999" x14ac:dyDescent="0.35">
      <c r="A247" s="67" t="s">
        <v>875</v>
      </c>
      <c r="B247" s="67"/>
      <c r="C247" s="66"/>
      <c r="D247" s="66">
        <v>61.693640000000002</v>
      </c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CF247" s="68"/>
    </row>
    <row r="248" spans="1:84" ht="17.399999999999999" x14ac:dyDescent="0.35">
      <c r="A248" s="67" t="s">
        <v>876</v>
      </c>
      <c r="B248" s="67"/>
      <c r="C248" s="66"/>
      <c r="D248" s="66">
        <v>61.0032</v>
      </c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CF248" s="68"/>
    </row>
    <row r="249" spans="1:84" ht="17.399999999999999" x14ac:dyDescent="0.35">
      <c r="A249" s="67" t="s">
        <v>877</v>
      </c>
      <c r="B249" s="67"/>
      <c r="C249" s="66"/>
      <c r="D249" s="66">
        <v>64.537779999999998</v>
      </c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CF249" s="68"/>
    </row>
    <row r="250" spans="1:84" ht="17.399999999999999" x14ac:dyDescent="0.35">
      <c r="A250" s="67" t="s">
        <v>878</v>
      </c>
      <c r="B250" s="67"/>
      <c r="C250" s="66"/>
      <c r="D250" s="66">
        <v>59.731610000000003</v>
      </c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CF250" s="68"/>
    </row>
    <row r="251" spans="1:84" ht="17.399999999999999" x14ac:dyDescent="0.35">
      <c r="A251" s="67" t="s">
        <v>879</v>
      </c>
      <c r="B251" s="67"/>
      <c r="C251" s="66"/>
      <c r="D251" s="66">
        <v>68.170079999999999</v>
      </c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CF251" s="68"/>
    </row>
    <row r="252" spans="1:84" ht="17.399999999999999" x14ac:dyDescent="0.35">
      <c r="A252" s="67" t="s">
        <v>880</v>
      </c>
      <c r="B252" s="67"/>
      <c r="C252" s="66"/>
      <c r="D252" s="66">
        <v>67.393320000000003</v>
      </c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CF252" s="68"/>
    </row>
    <row r="253" spans="1:84" ht="17.399999999999999" x14ac:dyDescent="0.35">
      <c r="A253" s="67" t="s">
        <v>881</v>
      </c>
      <c r="B253" s="67"/>
      <c r="C253" s="66"/>
      <c r="D253" s="66">
        <v>66.789339999999996</v>
      </c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CF253" s="68"/>
    </row>
    <row r="254" spans="1:84" ht="17.399999999999999" x14ac:dyDescent="0.35">
      <c r="A254" s="67" t="s">
        <v>882</v>
      </c>
      <c r="B254" s="67"/>
      <c r="C254" s="66"/>
      <c r="D254" s="66">
        <v>96.132499999999993</v>
      </c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CF254" s="68"/>
    </row>
    <row r="255" spans="1:84" ht="17.399999999999999" x14ac:dyDescent="0.35">
      <c r="A255" s="67" t="s">
        <v>883</v>
      </c>
      <c r="B255" s="67"/>
      <c r="C255" s="66"/>
      <c r="D255" s="66">
        <v>36.14452</v>
      </c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CF255" s="68"/>
    </row>
    <row r="256" spans="1:84" ht="17.399999999999999" x14ac:dyDescent="0.35">
      <c r="A256" s="67" t="s">
        <v>884</v>
      </c>
      <c r="B256" s="67"/>
      <c r="C256" s="66"/>
      <c r="D256" s="66">
        <v>53.92418</v>
      </c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CF256" s="68"/>
    </row>
    <row r="257" spans="1:84" ht="17.399999999999999" x14ac:dyDescent="0.35">
      <c r="A257" s="67" t="s">
        <v>885</v>
      </c>
      <c r="B257" s="67"/>
      <c r="C257" s="66"/>
      <c r="D257" s="66">
        <v>54.726790000000001</v>
      </c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CF257" s="68"/>
    </row>
    <row r="258" spans="1:84" ht="17.399999999999999" x14ac:dyDescent="0.35">
      <c r="A258" s="67" t="s">
        <v>886</v>
      </c>
      <c r="B258" s="67"/>
      <c r="C258" s="66"/>
      <c r="D258" s="66">
        <v>60.184179999999998</v>
      </c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CF258" s="68"/>
    </row>
    <row r="259" spans="1:84" ht="17.399999999999999" x14ac:dyDescent="0.35">
      <c r="A259" s="67" t="s">
        <v>887</v>
      </c>
      <c r="B259" s="67"/>
      <c r="C259" s="66"/>
      <c r="D259" s="66">
        <v>64.109480000000005</v>
      </c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CF259" s="68"/>
    </row>
    <row r="260" spans="1:84" ht="17.399999999999999" x14ac:dyDescent="0.35">
      <c r="A260" s="67" t="s">
        <v>888</v>
      </c>
      <c r="B260" s="67"/>
      <c r="C260" s="66"/>
      <c r="D260" s="66">
        <v>62.25582</v>
      </c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CF260" s="68"/>
    </row>
    <row r="261" spans="1:84" ht="17.399999999999999" x14ac:dyDescent="0.35">
      <c r="A261" s="67" t="s">
        <v>889</v>
      </c>
      <c r="B261" s="67"/>
      <c r="C261" s="66"/>
      <c r="D261" s="66">
        <v>63.378860000000003</v>
      </c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CF261" s="68"/>
    </row>
    <row r="262" spans="1:84" ht="17.399999999999999" x14ac:dyDescent="0.35">
      <c r="A262" s="67" t="s">
        <v>890</v>
      </c>
      <c r="B262" s="67"/>
      <c r="C262" s="66"/>
      <c r="D262" s="66">
        <v>66.789640000000006</v>
      </c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CF262" s="68"/>
    </row>
    <row r="263" spans="1:84" ht="17.399999999999999" x14ac:dyDescent="0.35">
      <c r="A263" s="67" t="s">
        <v>891</v>
      </c>
      <c r="B263" s="67"/>
      <c r="C263" s="66"/>
      <c r="D263" s="66">
        <v>66.027760000000001</v>
      </c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CF263" s="68"/>
    </row>
    <row r="264" spans="1:84" ht="17.399999999999999" x14ac:dyDescent="0.35">
      <c r="A264" s="67" t="s">
        <v>892</v>
      </c>
      <c r="B264" s="67"/>
      <c r="C264" s="66"/>
      <c r="D264" s="66">
        <v>69.133340000000004</v>
      </c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CF264" s="68"/>
    </row>
    <row r="265" spans="1:84" ht="17.399999999999999" x14ac:dyDescent="0.35">
      <c r="A265" s="67" t="s">
        <v>893</v>
      </c>
      <c r="B265" s="67"/>
      <c r="C265" s="66"/>
      <c r="D265" s="66">
        <v>75.006219999999999</v>
      </c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CF265" s="68"/>
    </row>
    <row r="266" spans="1:84" ht="17.399999999999999" x14ac:dyDescent="0.35">
      <c r="A266" s="67" t="s">
        <v>894</v>
      </c>
      <c r="B266" s="67"/>
      <c r="C266" s="66"/>
      <c r="D266" s="66">
        <v>107.8146</v>
      </c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CF266" s="68"/>
    </row>
    <row r="267" spans="1:84" ht="17.399999999999999" x14ac:dyDescent="0.35">
      <c r="A267" s="67" t="s">
        <v>906</v>
      </c>
      <c r="B267" s="67"/>
      <c r="C267" s="66"/>
      <c r="D267" s="66">
        <v>49.039870000000001</v>
      </c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CF267" s="68"/>
    </row>
    <row r="268" spans="1:84" ht="17.399999999999999" x14ac:dyDescent="0.35">
      <c r="A268" s="67" t="s">
        <v>907</v>
      </c>
      <c r="B268" s="67"/>
      <c r="C268" s="66"/>
      <c r="D268" s="66">
        <v>53.876519999999999</v>
      </c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CF268" s="68"/>
    </row>
    <row r="269" spans="1:84" ht="17.399999999999999" x14ac:dyDescent="0.35">
      <c r="A269" s="67" t="s">
        <v>908</v>
      </c>
      <c r="B269" s="67"/>
      <c r="C269" s="66"/>
      <c r="D269" s="66">
        <v>60.501899999999999</v>
      </c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CF269" s="68"/>
    </row>
    <row r="270" spans="1:84" ht="17.399999999999999" x14ac:dyDescent="0.35">
      <c r="A270" s="67" t="s">
        <v>909</v>
      </c>
      <c r="B270" s="67"/>
      <c r="C270" s="66"/>
      <c r="D270" s="66">
        <v>61.704839999999997</v>
      </c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CF270" s="68"/>
    </row>
    <row r="271" spans="1:84" ht="17.399999999999999" x14ac:dyDescent="0.35">
      <c r="A271" s="67" t="s">
        <v>910</v>
      </c>
      <c r="B271" s="67"/>
      <c r="C271" s="66"/>
      <c r="D271" s="66">
        <v>65.476699999999994</v>
      </c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CF271" s="68"/>
    </row>
    <row r="272" spans="1:84" ht="17.399999999999999" x14ac:dyDescent="0.35">
      <c r="A272" s="67" t="s">
        <v>911</v>
      </c>
      <c r="B272" s="67"/>
      <c r="C272" s="66"/>
      <c r="D272" s="66">
        <v>67.336939999999998</v>
      </c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CF272" s="68"/>
    </row>
    <row r="273" spans="1:84" ht="17.399999999999999" x14ac:dyDescent="0.35">
      <c r="A273" s="67" t="s">
        <v>912</v>
      </c>
      <c r="B273" s="67"/>
      <c r="C273" s="66"/>
      <c r="D273" s="66">
        <v>69.207639999999998</v>
      </c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CF273" s="68"/>
    </row>
    <row r="274" spans="1:84" ht="17.399999999999999" x14ac:dyDescent="0.35">
      <c r="A274" s="67" t="s">
        <v>913</v>
      </c>
      <c r="B274" s="67"/>
      <c r="C274" s="66"/>
      <c r="D274" s="66">
        <v>72.972740000000002</v>
      </c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CF274" s="68"/>
    </row>
    <row r="275" spans="1:84" ht="17.399999999999999" x14ac:dyDescent="0.35">
      <c r="A275" s="67" t="s">
        <v>914</v>
      </c>
      <c r="B275" s="67"/>
      <c r="C275" s="66"/>
      <c r="D275" s="66">
        <v>74.647580000000005</v>
      </c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CF275" s="68"/>
    </row>
    <row r="276" spans="1:84" ht="17.399999999999999" x14ac:dyDescent="0.35">
      <c r="A276" s="67" t="s">
        <v>915</v>
      </c>
      <c r="B276" s="67"/>
      <c r="C276" s="66"/>
      <c r="D276" s="66">
        <v>59.915570000000002</v>
      </c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CF276" s="68"/>
    </row>
    <row r="277" spans="1:84" ht="17.399999999999999" x14ac:dyDescent="0.35">
      <c r="A277" s="67" t="s">
        <v>916</v>
      </c>
      <c r="B277" s="67"/>
      <c r="C277" s="66"/>
      <c r="D277" s="66">
        <v>42.696449999999999</v>
      </c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CF277" s="68"/>
    </row>
    <row r="278" spans="1:84" ht="17.399999999999999" x14ac:dyDescent="0.35">
      <c r="A278" s="67" t="s">
        <v>917</v>
      </c>
      <c r="B278" s="67"/>
      <c r="C278" s="66"/>
      <c r="D278" s="66">
        <v>61.088900000000002</v>
      </c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CF278" s="68"/>
    </row>
    <row r="279" spans="1:84" ht="17.399999999999999" x14ac:dyDescent="0.35">
      <c r="A279" s="67" t="s">
        <v>918</v>
      </c>
      <c r="B279" s="67"/>
      <c r="C279" s="66"/>
      <c r="D279" s="66">
        <v>56.814720000000001</v>
      </c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CF279" s="68"/>
    </row>
    <row r="280" spans="1:84" ht="17.399999999999999" x14ac:dyDescent="0.35">
      <c r="A280" s="67" t="s">
        <v>919</v>
      </c>
      <c r="B280" s="67"/>
      <c r="C280" s="66"/>
      <c r="D280" s="66">
        <v>59.7151</v>
      </c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CF280" s="68"/>
    </row>
    <row r="281" spans="1:84" ht="17.399999999999999" x14ac:dyDescent="0.35">
      <c r="A281" s="67" t="s">
        <v>920</v>
      </c>
      <c r="B281" s="67"/>
      <c r="C281" s="66"/>
      <c r="D281" s="66">
        <v>66.931399999999996</v>
      </c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CF281" s="68"/>
    </row>
    <row r="282" spans="1:84" ht="17.399999999999999" x14ac:dyDescent="0.35">
      <c r="A282" s="67" t="s">
        <v>921</v>
      </c>
      <c r="B282" s="67"/>
      <c r="C282" s="66"/>
      <c r="D282" s="66">
        <v>63.078679999999999</v>
      </c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CF282" s="68"/>
    </row>
    <row r="283" spans="1:84" ht="17.399999999999999" x14ac:dyDescent="0.35">
      <c r="A283" s="67" t="s">
        <v>922</v>
      </c>
      <c r="B283" s="67"/>
      <c r="C283" s="66"/>
      <c r="D283" s="66">
        <v>64.952380000000005</v>
      </c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CF283" s="68"/>
    </row>
    <row r="284" spans="1:84" ht="17.399999999999999" x14ac:dyDescent="0.35">
      <c r="A284" s="67" t="s">
        <v>923</v>
      </c>
      <c r="B284" s="67"/>
      <c r="C284" s="66"/>
      <c r="D284" s="66">
        <v>65.763440000000003</v>
      </c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CF284" s="68"/>
    </row>
    <row r="285" spans="1:84" ht="17.399999999999999" x14ac:dyDescent="0.35">
      <c r="A285" s="67" t="s">
        <v>924</v>
      </c>
      <c r="B285" s="67"/>
      <c r="C285" s="66"/>
      <c r="D285" s="66">
        <v>74.985159999999993</v>
      </c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CF285" s="68"/>
    </row>
    <row r="286" spans="1:84" ht="17.399999999999999" x14ac:dyDescent="0.35">
      <c r="A286" s="67" t="s">
        <v>925</v>
      </c>
      <c r="B286" s="67"/>
      <c r="C286" s="66"/>
      <c r="D286" s="66">
        <v>83.605140000000006</v>
      </c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CF286" s="68"/>
    </row>
    <row r="287" spans="1:84" ht="17.399999999999999" x14ac:dyDescent="0.35">
      <c r="A287" s="67" t="s">
        <v>926</v>
      </c>
      <c r="B287" s="67"/>
      <c r="C287" s="66"/>
      <c r="D287" s="66">
        <v>47.502540000000003</v>
      </c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CF287" s="68"/>
    </row>
    <row r="288" spans="1:84" ht="17.399999999999999" x14ac:dyDescent="0.35">
      <c r="A288" s="67" t="s">
        <v>927</v>
      </c>
      <c r="B288" s="67"/>
      <c r="C288" s="66"/>
      <c r="D288" s="66">
        <v>73.77552</v>
      </c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CF288" s="68"/>
    </row>
    <row r="289" spans="1:84" ht="17.399999999999999" x14ac:dyDescent="0.35">
      <c r="A289" s="67" t="s">
        <v>928</v>
      </c>
      <c r="B289" s="67"/>
      <c r="C289" s="66"/>
      <c r="D289" s="66">
        <v>59.9816</v>
      </c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CF289" s="68"/>
    </row>
    <row r="290" spans="1:84" ht="17.399999999999999" x14ac:dyDescent="0.35">
      <c r="A290" s="67" t="s">
        <v>929</v>
      </c>
      <c r="B290" s="67"/>
      <c r="C290" s="66"/>
      <c r="D290" s="66">
        <v>62.221119999999999</v>
      </c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CF290" s="68"/>
    </row>
    <row r="291" spans="1:84" ht="17.399999999999999" x14ac:dyDescent="0.35">
      <c r="A291" s="67" t="s">
        <v>930</v>
      </c>
      <c r="B291" s="67"/>
      <c r="C291" s="66"/>
      <c r="D291" s="66">
        <v>62.35774</v>
      </c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CF291" s="68"/>
    </row>
    <row r="292" spans="1:84" ht="17.399999999999999" x14ac:dyDescent="0.35">
      <c r="A292" s="67" t="s">
        <v>931</v>
      </c>
      <c r="B292" s="67"/>
      <c r="C292" s="66"/>
      <c r="D292" s="66">
        <v>61.253320000000002</v>
      </c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CF292" s="68"/>
    </row>
    <row r="293" spans="1:84" ht="17.399999999999999" x14ac:dyDescent="0.35">
      <c r="A293" s="67" t="s">
        <v>932</v>
      </c>
      <c r="B293" s="67"/>
      <c r="C293" s="66"/>
      <c r="D293" s="66">
        <v>62.706119999999999</v>
      </c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CF293" s="68"/>
    </row>
    <row r="294" spans="1:84" ht="17.399999999999999" x14ac:dyDescent="0.35">
      <c r="A294" s="67" t="s">
        <v>933</v>
      </c>
      <c r="B294" s="67"/>
      <c r="C294" s="66"/>
      <c r="D294" s="66">
        <v>65.223839999999996</v>
      </c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CF294" s="68"/>
    </row>
    <row r="295" spans="1:84" ht="17.399999999999999" x14ac:dyDescent="0.35">
      <c r="A295" s="67" t="s">
        <v>934</v>
      </c>
      <c r="B295" s="67"/>
      <c r="C295" s="66"/>
      <c r="D295" s="66">
        <v>74.903739999999999</v>
      </c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CF295" s="68"/>
    </row>
    <row r="296" spans="1:84" ht="17.399999999999999" x14ac:dyDescent="0.35">
      <c r="A296" s="67" t="s">
        <v>935</v>
      </c>
      <c r="B296" s="67"/>
      <c r="C296" s="66"/>
      <c r="D296" s="66">
        <v>56.580930000000002</v>
      </c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CF296" s="68"/>
    </row>
    <row r="297" spans="1:84" ht="17.399999999999999" x14ac:dyDescent="0.35">
      <c r="A297" s="67" t="s">
        <v>936</v>
      </c>
      <c r="B297" s="67"/>
      <c r="C297" s="66"/>
      <c r="D297" s="66">
        <v>53.385800000000003</v>
      </c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CF297" s="68"/>
    </row>
    <row r="298" spans="1:84" ht="17.399999999999999" x14ac:dyDescent="0.35">
      <c r="A298" s="67" t="s">
        <v>937</v>
      </c>
      <c r="B298" s="67"/>
      <c r="C298" s="66"/>
      <c r="D298" s="66">
        <v>62.88138</v>
      </c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CF298" s="68"/>
    </row>
    <row r="299" spans="1:84" ht="17.399999999999999" x14ac:dyDescent="0.35">
      <c r="A299" s="67" t="s">
        <v>938</v>
      </c>
      <c r="B299" s="67"/>
      <c r="C299" s="66"/>
      <c r="D299" s="66">
        <v>57.471299999999999</v>
      </c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CF299" s="68"/>
    </row>
    <row r="300" spans="1:84" ht="17.399999999999999" x14ac:dyDescent="0.35">
      <c r="A300" s="67" t="s">
        <v>939</v>
      </c>
      <c r="B300" s="67"/>
      <c r="C300" s="66"/>
      <c r="D300" s="66">
        <v>59.851559999999999</v>
      </c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CF300" s="68"/>
    </row>
    <row r="301" spans="1:84" ht="17.399999999999999" x14ac:dyDescent="0.35">
      <c r="A301" s="67" t="s">
        <v>940</v>
      </c>
      <c r="B301" s="67"/>
      <c r="C301" s="66"/>
      <c r="D301" s="66">
        <v>69.641080000000002</v>
      </c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CF301" s="68"/>
    </row>
    <row r="302" spans="1:84" ht="17.399999999999999" x14ac:dyDescent="0.35">
      <c r="A302" s="67" t="s">
        <v>941</v>
      </c>
      <c r="B302" s="67"/>
      <c r="C302" s="66"/>
      <c r="D302" s="66">
        <v>70.961259999999996</v>
      </c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CF302" s="68"/>
    </row>
    <row r="303" spans="1:84" ht="17.399999999999999" x14ac:dyDescent="0.35">
      <c r="A303" s="67" t="s">
        <v>942</v>
      </c>
      <c r="B303" s="67"/>
      <c r="C303" s="66"/>
      <c r="D303" s="66">
        <v>65.713880000000003</v>
      </c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CF303" s="68"/>
    </row>
    <row r="304" spans="1:84" ht="17.399999999999999" x14ac:dyDescent="0.35">
      <c r="A304" s="67" t="s">
        <v>943</v>
      </c>
      <c r="B304" s="67"/>
      <c r="C304" s="66"/>
      <c r="D304" s="66">
        <v>68.735020000000006</v>
      </c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CF304" s="68"/>
    </row>
    <row r="305" spans="1:84" ht="17.399999999999999" x14ac:dyDescent="0.35">
      <c r="A305" s="67" t="s">
        <v>944</v>
      </c>
      <c r="B305" s="67"/>
      <c r="C305" s="66"/>
      <c r="D305" s="66">
        <v>84.038259999999994</v>
      </c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CF305" s="68"/>
    </row>
    <row r="306" spans="1:84" ht="17.399999999999999" x14ac:dyDescent="0.35">
      <c r="A306" s="67" t="s">
        <v>945</v>
      </c>
      <c r="B306" s="67"/>
      <c r="C306" s="66"/>
      <c r="D306" s="66">
        <v>54.715009999999999</v>
      </c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CF306" s="68"/>
    </row>
    <row r="307" spans="1:84" ht="17.399999999999999" x14ac:dyDescent="0.35">
      <c r="A307" s="67" t="s">
        <v>946</v>
      </c>
      <c r="B307" s="67"/>
      <c r="C307" s="66"/>
      <c r="D307" s="66">
        <v>44.049190000000003</v>
      </c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CF307" s="68"/>
    </row>
    <row r="308" spans="1:84" ht="17.399999999999999" x14ac:dyDescent="0.35">
      <c r="A308" s="67" t="s">
        <v>947</v>
      </c>
      <c r="B308" s="67"/>
      <c r="C308" s="66"/>
      <c r="D308" s="66">
        <v>33.707320000000003</v>
      </c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CF308" s="68"/>
    </row>
    <row r="309" spans="1:84" ht="17.399999999999999" x14ac:dyDescent="0.35">
      <c r="A309" s="67" t="s">
        <v>948</v>
      </c>
      <c r="B309" s="67"/>
      <c r="C309" s="66"/>
      <c r="D309" s="66">
        <v>53.93853</v>
      </c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CF309" s="68"/>
    </row>
    <row r="310" spans="1:84" ht="17.399999999999999" x14ac:dyDescent="0.35">
      <c r="A310" s="67" t="s">
        <v>949</v>
      </c>
      <c r="B310" s="67"/>
      <c r="C310" s="66"/>
      <c r="D310" s="66">
        <v>60.565339999999999</v>
      </c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CF310" s="68"/>
    </row>
    <row r="311" spans="1:84" ht="17.399999999999999" x14ac:dyDescent="0.35">
      <c r="A311" s="67" t="s">
        <v>950</v>
      </c>
      <c r="B311" s="67"/>
      <c r="C311" s="66"/>
      <c r="D311" s="66">
        <v>66.556240000000003</v>
      </c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CF311" s="68"/>
    </row>
    <row r="312" spans="1:84" ht="17.399999999999999" x14ac:dyDescent="0.35">
      <c r="A312" s="67" t="s">
        <v>951</v>
      </c>
      <c r="B312" s="67"/>
      <c r="C312" s="66"/>
      <c r="D312" s="66">
        <v>60.861400000000003</v>
      </c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CF312" s="68"/>
    </row>
    <row r="313" spans="1:84" ht="17.399999999999999" x14ac:dyDescent="0.35">
      <c r="A313" s="67" t="s">
        <v>952</v>
      </c>
      <c r="B313" s="67"/>
      <c r="C313" s="66"/>
      <c r="D313" s="66">
        <v>69.280019999999993</v>
      </c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CF313" s="68"/>
    </row>
    <row r="314" spans="1:84" ht="17.399999999999999" x14ac:dyDescent="0.35">
      <c r="A314" s="67" t="s">
        <v>953</v>
      </c>
      <c r="B314" s="67"/>
      <c r="C314" s="66"/>
      <c r="D314" s="66">
        <v>64.333380000000005</v>
      </c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CF314" s="68"/>
    </row>
    <row r="315" spans="1:84" ht="17.399999999999999" x14ac:dyDescent="0.35">
      <c r="A315" s="67" t="s">
        <v>954</v>
      </c>
      <c r="B315" s="67"/>
      <c r="C315" s="66"/>
      <c r="D315" s="66">
        <v>57.857880000000002</v>
      </c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CF315" s="68"/>
    </row>
    <row r="316" spans="1:84" ht="17.399999999999999" x14ac:dyDescent="0.35">
      <c r="A316" s="67" t="s">
        <v>955</v>
      </c>
      <c r="B316" s="67"/>
      <c r="C316" s="66"/>
      <c r="D316" s="66">
        <v>89.521280000000004</v>
      </c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CF316" s="68"/>
    </row>
    <row r="317" spans="1:84" ht="17.399999999999999" x14ac:dyDescent="0.35">
      <c r="A317" s="67" t="s">
        <v>956</v>
      </c>
      <c r="B317" s="67"/>
      <c r="C317" s="66"/>
      <c r="D317" s="66">
        <v>77.134399999999999</v>
      </c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CF317" s="68"/>
    </row>
    <row r="318" spans="1:84" ht="17.399999999999999" x14ac:dyDescent="0.35">
      <c r="A318" s="67" t="s">
        <v>957</v>
      </c>
      <c r="B318" s="67"/>
      <c r="C318" s="66"/>
      <c r="D318" s="66">
        <v>43.945160000000001</v>
      </c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CF318" s="68"/>
    </row>
    <row r="319" spans="1:84" ht="17.399999999999999" x14ac:dyDescent="0.35">
      <c r="A319" s="67" t="s">
        <v>958</v>
      </c>
      <c r="B319" s="67"/>
      <c r="C319" s="66"/>
      <c r="D319" s="66">
        <v>52.893999999999998</v>
      </c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CF319" s="68"/>
    </row>
    <row r="320" spans="1:84" ht="17.399999999999999" x14ac:dyDescent="0.35">
      <c r="A320" s="67" t="s">
        <v>959</v>
      </c>
      <c r="B320" s="67"/>
      <c r="C320" s="66"/>
      <c r="D320" s="66">
        <v>61.273679999999999</v>
      </c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CF320" s="68"/>
    </row>
    <row r="321" spans="1:84" ht="17.399999999999999" x14ac:dyDescent="0.35">
      <c r="A321" s="67" t="s">
        <v>960</v>
      </c>
      <c r="B321" s="67"/>
      <c r="C321" s="66"/>
      <c r="D321" s="66">
        <v>60.926459999999999</v>
      </c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CF321" s="68"/>
    </row>
    <row r="322" spans="1:84" ht="17.399999999999999" x14ac:dyDescent="0.35">
      <c r="A322" s="67" t="s">
        <v>961</v>
      </c>
      <c r="B322" s="67"/>
      <c r="C322" s="66"/>
      <c r="D322" s="66">
        <v>65.812880000000007</v>
      </c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CF322" s="68"/>
    </row>
    <row r="323" spans="1:84" ht="17.399999999999999" x14ac:dyDescent="0.35">
      <c r="A323" s="67" t="s">
        <v>962</v>
      </c>
      <c r="B323" s="67"/>
      <c r="C323" s="66"/>
      <c r="D323" s="66">
        <v>66.544560000000004</v>
      </c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CF323" s="68"/>
    </row>
    <row r="324" spans="1:84" ht="17.399999999999999" x14ac:dyDescent="0.35">
      <c r="A324" s="67" t="s">
        <v>963</v>
      </c>
      <c r="B324" s="67"/>
      <c r="C324" s="66"/>
      <c r="D324" s="66">
        <v>68.935699999999997</v>
      </c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CF324" s="68"/>
    </row>
    <row r="325" spans="1:84" ht="17.399999999999999" x14ac:dyDescent="0.35">
      <c r="A325" s="67" t="s">
        <v>964</v>
      </c>
      <c r="B325" s="67"/>
      <c r="C325" s="66"/>
      <c r="D325" s="66">
        <v>68.207440000000005</v>
      </c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CF325" s="68"/>
    </row>
    <row r="326" spans="1:84" ht="17.399999999999999" x14ac:dyDescent="0.35">
      <c r="A326" s="67" t="s">
        <v>965</v>
      </c>
      <c r="B326" s="67"/>
      <c r="C326" s="66"/>
      <c r="D326" s="66">
        <v>72.116079999999997</v>
      </c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CF326" s="68"/>
    </row>
    <row r="327" spans="1:84" ht="17.399999999999999" x14ac:dyDescent="0.35">
      <c r="A327" s="67" t="s">
        <v>966</v>
      </c>
      <c r="B327" s="67"/>
      <c r="C327" s="66"/>
      <c r="D327" s="66">
        <v>73.370199999999997</v>
      </c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CF327" s="68"/>
    </row>
    <row r="328" spans="1:84" ht="17.399999999999999" x14ac:dyDescent="0.35">
      <c r="A328" s="67" t="s">
        <v>967</v>
      </c>
      <c r="B328" s="67"/>
      <c r="C328" s="66"/>
      <c r="D328" s="66">
        <v>104.96006</v>
      </c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CF328" s="68"/>
    </row>
    <row r="329" spans="1:84" ht="17.399999999999999" x14ac:dyDescent="0.35">
      <c r="A329" s="67" t="s">
        <v>968</v>
      </c>
      <c r="B329" s="67"/>
      <c r="C329" s="66"/>
      <c r="D329" s="66">
        <v>2.25318</v>
      </c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CF329" s="68"/>
    </row>
    <row r="330" spans="1:84" ht="17.399999999999999" x14ac:dyDescent="0.35">
      <c r="A330" s="67" t="s">
        <v>968</v>
      </c>
      <c r="B330" s="67"/>
      <c r="C330" s="66"/>
      <c r="D330" s="66">
        <v>2.4050099999999999</v>
      </c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CF330" s="68"/>
    </row>
    <row r="331" spans="1:84" ht="17.399999999999999" x14ac:dyDescent="0.35">
      <c r="A331" s="67" t="s">
        <v>968</v>
      </c>
      <c r="B331" s="67"/>
      <c r="C331" s="66"/>
      <c r="D331" s="66">
        <v>2.2703899999999999</v>
      </c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CF331" s="68"/>
    </row>
    <row r="332" spans="1:84" ht="17.399999999999999" x14ac:dyDescent="0.35">
      <c r="A332" s="67" t="s">
        <v>968</v>
      </c>
      <c r="B332" s="67"/>
      <c r="C332" s="66"/>
      <c r="D332" s="66">
        <v>2.29853</v>
      </c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CF332" s="68"/>
    </row>
    <row r="333" spans="1:84" ht="17.399999999999999" x14ac:dyDescent="0.35">
      <c r="A333" s="67" t="s">
        <v>968</v>
      </c>
      <c r="B333" s="67"/>
      <c r="C333" s="66"/>
      <c r="D333" s="66">
        <v>2.2919200000000002</v>
      </c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CF333" s="68"/>
    </row>
    <row r="334" spans="1:84" ht="17.399999999999999" x14ac:dyDescent="0.35">
      <c r="A334" s="67" t="s">
        <v>968</v>
      </c>
      <c r="B334" s="67"/>
      <c r="C334" s="66"/>
      <c r="D334" s="66">
        <v>2.3068</v>
      </c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CF334" s="68"/>
    </row>
    <row r="335" spans="1:84" ht="17.399999999999999" x14ac:dyDescent="0.35">
      <c r="A335" s="67" t="s">
        <v>968</v>
      </c>
      <c r="B335" s="67"/>
      <c r="C335" s="66"/>
      <c r="D335" s="66">
        <v>2.34328</v>
      </c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CF335" s="68"/>
    </row>
    <row r="336" spans="1:84" ht="17.399999999999999" x14ac:dyDescent="0.35">
      <c r="A336" s="67" t="s">
        <v>968</v>
      </c>
      <c r="B336" s="67"/>
      <c r="C336" s="66"/>
      <c r="D336" s="66">
        <v>2.29393</v>
      </c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CF336" s="68"/>
    </row>
    <row r="337" spans="1:84" ht="17.399999999999999" x14ac:dyDescent="0.35">
      <c r="A337" s="67" t="s">
        <v>968</v>
      </c>
      <c r="B337" s="67"/>
      <c r="C337" s="66"/>
      <c r="D337" s="66">
        <v>2.20458</v>
      </c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CF337" s="68"/>
    </row>
    <row r="338" spans="1:84" ht="17.399999999999999" x14ac:dyDescent="0.35">
      <c r="A338" s="67" t="s">
        <v>968</v>
      </c>
      <c r="B338" s="67"/>
      <c r="C338" s="66"/>
      <c r="D338" s="66">
        <v>2.28864</v>
      </c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CF338" s="68"/>
    </row>
    <row r="339" spans="1:84" ht="17.399999999999999" x14ac:dyDescent="0.35">
      <c r="A339" s="67" t="s">
        <v>968</v>
      </c>
      <c r="B339" s="67"/>
      <c r="C339" s="66"/>
      <c r="D339" s="66">
        <v>2.2834300000000001</v>
      </c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CF339" s="68"/>
    </row>
    <row r="340" spans="1:84" ht="17.399999999999999" x14ac:dyDescent="0.35">
      <c r="A340" s="67" t="s">
        <v>968</v>
      </c>
      <c r="B340" s="67"/>
      <c r="C340" s="66"/>
      <c r="D340" s="66">
        <v>2.2572199999999998</v>
      </c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CF340" s="68"/>
    </row>
    <row r="341" spans="1:84" ht="17.399999999999999" x14ac:dyDescent="0.35">
      <c r="A341" s="67" t="s">
        <v>968</v>
      </c>
      <c r="B341" s="67"/>
      <c r="C341" s="66"/>
      <c r="D341" s="66">
        <v>2.30071</v>
      </c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CF341" s="68"/>
    </row>
    <row r="342" spans="1:84" ht="17.399999999999999" x14ac:dyDescent="0.35">
      <c r="A342" s="67" t="s">
        <v>968</v>
      </c>
      <c r="B342" s="67"/>
      <c r="C342" s="66"/>
      <c r="D342" s="66">
        <v>2.3002799999999999</v>
      </c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CF342" s="68"/>
    </row>
    <row r="343" spans="1:84" ht="17.399999999999999" x14ac:dyDescent="0.35">
      <c r="A343" s="67" t="s">
        <v>968</v>
      </c>
      <c r="B343" s="67"/>
      <c r="C343" s="66"/>
      <c r="D343" s="66">
        <v>2.2841800000000001</v>
      </c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CF343" s="68"/>
    </row>
    <row r="344" spans="1:84" ht="17.399999999999999" x14ac:dyDescent="0.35">
      <c r="A344" s="67" t="s">
        <v>968</v>
      </c>
      <c r="B344" s="67"/>
      <c r="C344" s="66"/>
      <c r="D344" s="66">
        <v>2.2992400000000002</v>
      </c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CF344" s="68"/>
    </row>
    <row r="345" spans="1:84" ht="17.399999999999999" x14ac:dyDescent="0.35">
      <c r="A345" s="67" t="s">
        <v>968</v>
      </c>
      <c r="B345" s="67"/>
      <c r="C345" s="66"/>
      <c r="D345" s="66">
        <v>2.2829799999999998</v>
      </c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CF345" s="68"/>
    </row>
    <row r="346" spans="1:84" ht="17.399999999999999" x14ac:dyDescent="0.35">
      <c r="A346" s="67" t="s">
        <v>968</v>
      </c>
      <c r="B346" s="67"/>
      <c r="C346" s="66"/>
      <c r="D346" s="66">
        <v>2.2915899999999998</v>
      </c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CF346" s="68"/>
    </row>
    <row r="347" spans="1:84" ht="17.399999999999999" x14ac:dyDescent="0.35">
      <c r="A347" s="67" t="s">
        <v>968</v>
      </c>
      <c r="B347" s="67"/>
      <c r="C347" s="66"/>
      <c r="D347" s="66">
        <v>2.3343500000000001</v>
      </c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CF347" s="68"/>
    </row>
    <row r="348" spans="1:84" ht="17.399999999999999" x14ac:dyDescent="0.35">
      <c r="A348" s="67" t="s">
        <v>968</v>
      </c>
      <c r="B348" s="67"/>
      <c r="C348" s="66"/>
      <c r="D348" s="66">
        <v>2.29861</v>
      </c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CF348" s="68"/>
    </row>
    <row r="349" spans="1:84" ht="17.399999999999999" x14ac:dyDescent="0.35">
      <c r="A349" s="67" t="s">
        <v>968</v>
      </c>
      <c r="B349" s="67"/>
      <c r="C349" s="66"/>
      <c r="D349" s="66">
        <v>2.2917700000000001</v>
      </c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CF349" s="68"/>
    </row>
    <row r="350" spans="1:84" ht="17.399999999999999" x14ac:dyDescent="0.35">
      <c r="A350" s="67" t="s">
        <v>968</v>
      </c>
      <c r="B350" s="67"/>
      <c r="C350" s="66"/>
      <c r="D350" s="66">
        <v>2.28776</v>
      </c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CF350" s="68"/>
    </row>
    <row r="351" spans="1:84" ht="17.399999999999999" x14ac:dyDescent="0.35">
      <c r="A351" s="67" t="s">
        <v>968</v>
      </c>
      <c r="B351" s="67"/>
      <c r="C351" s="66"/>
      <c r="D351" s="66">
        <v>2.2960799999999999</v>
      </c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CF351" s="68"/>
    </row>
    <row r="352" spans="1:84" ht="17.399999999999999" x14ac:dyDescent="0.35">
      <c r="A352" s="67" t="s">
        <v>968</v>
      </c>
      <c r="B352" s="67"/>
      <c r="C352" s="66"/>
      <c r="D352" s="66">
        <v>2.3012000000000001</v>
      </c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CF352" s="68"/>
    </row>
    <row r="353" spans="1:84" ht="17.399999999999999" x14ac:dyDescent="0.35">
      <c r="A353" s="67" t="s">
        <v>968</v>
      </c>
      <c r="B353" s="67"/>
      <c r="C353" s="66"/>
      <c r="D353" s="66">
        <v>2.3068599999999999</v>
      </c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CF353" s="68"/>
    </row>
    <row r="354" spans="1:84" ht="17.399999999999999" x14ac:dyDescent="0.35">
      <c r="A354" s="67" t="s">
        <v>968</v>
      </c>
      <c r="B354" s="67"/>
      <c r="C354" s="66"/>
      <c r="D354" s="66">
        <v>2.31745</v>
      </c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CF354" s="68"/>
    </row>
    <row r="355" spans="1:84" ht="17.399999999999999" x14ac:dyDescent="0.35">
      <c r="A355" s="67" t="s">
        <v>968</v>
      </c>
      <c r="B355" s="67"/>
      <c r="C355" s="66"/>
      <c r="D355" s="66">
        <v>2.29088</v>
      </c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CF355" s="68"/>
    </row>
    <row r="356" spans="1:84" ht="17.399999999999999" x14ac:dyDescent="0.35">
      <c r="A356" s="67" t="s">
        <v>968</v>
      </c>
      <c r="B356" s="67"/>
      <c r="C356" s="66"/>
      <c r="D356" s="66">
        <v>2.26288</v>
      </c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CF356" s="68"/>
    </row>
    <row r="357" spans="1:84" ht="17.399999999999999" x14ac:dyDescent="0.35">
      <c r="A357" s="67" t="s">
        <v>968</v>
      </c>
      <c r="B357" s="67"/>
      <c r="C357" s="66"/>
      <c r="D357" s="66">
        <v>2.2856399999999999</v>
      </c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CF357" s="68"/>
    </row>
    <row r="358" spans="1:84" ht="17.399999999999999" x14ac:dyDescent="0.35">
      <c r="A358" s="67" t="s">
        <v>968</v>
      </c>
      <c r="B358" s="67"/>
      <c r="C358" s="66"/>
      <c r="D358" s="66">
        <v>2.26654</v>
      </c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CF358" s="68"/>
    </row>
    <row r="359" spans="1:84" ht="17.399999999999999" x14ac:dyDescent="0.35">
      <c r="A359" s="67" t="s">
        <v>968</v>
      </c>
      <c r="B359" s="67"/>
      <c r="C359" s="66"/>
      <c r="D359" s="66">
        <v>2.2831800000000002</v>
      </c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CF359" s="68"/>
    </row>
    <row r="360" spans="1:84" ht="17.399999999999999" x14ac:dyDescent="0.35">
      <c r="A360" s="67" t="s">
        <v>968</v>
      </c>
      <c r="B360" s="67"/>
      <c r="C360" s="66"/>
      <c r="D360" s="66">
        <v>2.3109999999999999</v>
      </c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CF360" s="68"/>
    </row>
    <row r="361" spans="1:84" ht="17.399999999999999" x14ac:dyDescent="0.35">
      <c r="A361" s="67" t="s">
        <v>968</v>
      </c>
      <c r="B361" s="67"/>
      <c r="C361" s="66"/>
      <c r="D361" s="66">
        <v>2.2985600000000002</v>
      </c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CF361" s="68"/>
    </row>
    <row r="362" spans="1:84" ht="17.399999999999999" x14ac:dyDescent="0.35">
      <c r="A362" s="67" t="s">
        <v>968</v>
      </c>
      <c r="B362" s="67"/>
      <c r="C362" s="66"/>
      <c r="D362" s="66">
        <v>2.2868200000000001</v>
      </c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CF362" s="68"/>
    </row>
    <row r="363" spans="1:84" ht="17.399999999999999" x14ac:dyDescent="0.35">
      <c r="A363" s="67" t="s">
        <v>968</v>
      </c>
      <c r="B363" s="67"/>
      <c r="C363" s="66"/>
      <c r="D363" s="66">
        <v>2.2858299999999998</v>
      </c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CF363" s="68"/>
    </row>
    <row r="364" spans="1:84" ht="17.399999999999999" x14ac:dyDescent="0.35">
      <c r="A364" s="67" t="s">
        <v>968</v>
      </c>
      <c r="B364" s="67"/>
      <c r="C364" s="66"/>
      <c r="D364" s="66">
        <v>2.2921999999999998</v>
      </c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CF364" s="68"/>
    </row>
    <row r="365" spans="1:84" ht="17.399999999999999" x14ac:dyDescent="0.35">
      <c r="A365" s="67" t="s">
        <v>968</v>
      </c>
      <c r="B365" s="67"/>
      <c r="C365" s="66"/>
      <c r="D365" s="66">
        <v>2.3283</v>
      </c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CF365" s="68"/>
    </row>
    <row r="366" spans="1:84" ht="17.399999999999999" x14ac:dyDescent="0.35">
      <c r="A366" s="67" t="s">
        <v>968</v>
      </c>
      <c r="B366" s="67"/>
      <c r="C366" s="66"/>
      <c r="D366" s="66">
        <v>2.30403</v>
      </c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CF366" s="68"/>
    </row>
    <row r="367" spans="1:84" ht="17.399999999999999" x14ac:dyDescent="0.35">
      <c r="A367" s="67" t="s">
        <v>968</v>
      </c>
      <c r="B367" s="67"/>
      <c r="C367" s="66"/>
      <c r="D367" s="66">
        <v>2.3047399999999998</v>
      </c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CF367" s="68"/>
    </row>
    <row r="368" spans="1:84" ht="17.399999999999999" x14ac:dyDescent="0.35">
      <c r="A368" s="67" t="s">
        <v>968</v>
      </c>
      <c r="B368" s="67"/>
      <c r="C368" s="66"/>
      <c r="D368" s="66">
        <v>2.2662200000000001</v>
      </c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CF368" s="68"/>
    </row>
    <row r="369" spans="1:84" ht="17.399999999999999" x14ac:dyDescent="0.35">
      <c r="A369" s="67" t="s">
        <v>968</v>
      </c>
      <c r="B369" s="67"/>
      <c r="C369" s="66"/>
      <c r="D369" s="66">
        <v>2.29196</v>
      </c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CF369" s="68"/>
    </row>
    <row r="370" spans="1:84" ht="17.399999999999999" x14ac:dyDescent="0.35">
      <c r="A370" s="67" t="s">
        <v>968</v>
      </c>
      <c r="B370" s="67"/>
      <c r="C370" s="66"/>
      <c r="D370" s="66">
        <v>2.3010100000000002</v>
      </c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CF370" s="68"/>
    </row>
    <row r="371" spans="1:84" ht="17.399999999999999" x14ac:dyDescent="0.35">
      <c r="A371" s="67" t="s">
        <v>968</v>
      </c>
      <c r="B371" s="67"/>
      <c r="C371" s="66"/>
      <c r="D371" s="66">
        <v>2.29013</v>
      </c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CF371" s="68"/>
    </row>
    <row r="372" spans="1:84" ht="17.399999999999999" x14ac:dyDescent="0.35">
      <c r="A372" s="67" t="s">
        <v>968</v>
      </c>
      <c r="B372" s="67"/>
      <c r="C372" s="66"/>
      <c r="D372" s="66">
        <v>2.3158400000000001</v>
      </c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CF372" s="68"/>
    </row>
    <row r="373" spans="1:84" ht="17.399999999999999" x14ac:dyDescent="0.35">
      <c r="A373" s="67" t="s">
        <v>968</v>
      </c>
      <c r="B373" s="67"/>
      <c r="C373" s="66"/>
      <c r="D373">
        <v>2.2885599999999999</v>
      </c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CF373" s="68"/>
    </row>
    <row r="374" spans="1:84" ht="17.399999999999999" x14ac:dyDescent="0.35">
      <c r="A374" s="67" t="s">
        <v>968</v>
      </c>
      <c r="B374" s="67"/>
      <c r="C374" s="66"/>
      <c r="D374">
        <v>2.31575</v>
      </c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CF374" s="68"/>
    </row>
    <row r="375" spans="1:84" ht="17.399999999999999" x14ac:dyDescent="0.35">
      <c r="A375" s="67" t="s">
        <v>968</v>
      </c>
      <c r="B375" s="67"/>
      <c r="C375" s="66"/>
      <c r="D375" s="66">
        <v>2.3357199999999998</v>
      </c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CF375" s="68"/>
    </row>
    <row r="376" spans="1:84" ht="17.399999999999999" x14ac:dyDescent="0.35">
      <c r="A376" s="67" t="s">
        <v>968</v>
      </c>
      <c r="B376" s="67"/>
      <c r="C376" s="66"/>
      <c r="D376" s="66">
        <v>2.3269600000000001</v>
      </c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CF376" s="68"/>
    </row>
    <row r="377" spans="1:84" ht="17.399999999999999" x14ac:dyDescent="0.35">
      <c r="A377" s="67" t="s">
        <v>968</v>
      </c>
      <c r="B377" s="67"/>
      <c r="C377" s="66"/>
      <c r="D377" s="66">
        <v>2.3099099999999999</v>
      </c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CF377" s="68"/>
    </row>
    <row r="378" spans="1:84" ht="17.399999999999999" x14ac:dyDescent="0.35">
      <c r="A378" s="67" t="s">
        <v>968</v>
      </c>
      <c r="B378" s="67"/>
      <c r="C378" s="66"/>
      <c r="D378" s="66">
        <v>2.2345299999999999</v>
      </c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CF378" s="68"/>
    </row>
    <row r="379" spans="1:84" ht="17.399999999999999" x14ac:dyDescent="0.35">
      <c r="A379" s="67" t="s">
        <v>968</v>
      </c>
      <c r="B379" s="67"/>
      <c r="C379" s="66"/>
      <c r="D379" s="66">
        <v>2.3229000000000002</v>
      </c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CF379" s="68"/>
    </row>
    <row r="380" spans="1:84" ht="17.399999999999999" x14ac:dyDescent="0.35">
      <c r="A380" s="67" t="s">
        <v>968</v>
      </c>
      <c r="B380" s="67"/>
      <c r="C380" s="66"/>
      <c r="D380" s="66">
        <v>2.3268599999999999</v>
      </c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CF380" s="68"/>
    </row>
    <row r="381" spans="1:84" ht="17.399999999999999" x14ac:dyDescent="0.35">
      <c r="A381" s="67" t="s">
        <v>968</v>
      </c>
      <c r="B381" s="67"/>
      <c r="C381" s="66"/>
      <c r="D381" s="66">
        <v>2.2858700000000001</v>
      </c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CF381" s="68"/>
    </row>
    <row r="382" spans="1:84" ht="17.399999999999999" x14ac:dyDescent="0.35">
      <c r="A382" s="67" t="s">
        <v>968</v>
      </c>
      <c r="B382" s="67"/>
      <c r="C382" s="66"/>
      <c r="D382" s="66">
        <v>2.2951700000000002</v>
      </c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CF382" s="68"/>
    </row>
    <row r="383" spans="1:84" ht="17.399999999999999" x14ac:dyDescent="0.35">
      <c r="A383" s="67" t="s">
        <v>968</v>
      </c>
      <c r="B383" s="67"/>
      <c r="C383" s="66"/>
      <c r="D383" s="66">
        <v>2.2280000000000002</v>
      </c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CF383" s="68"/>
    </row>
    <row r="384" spans="1:84" ht="17.399999999999999" x14ac:dyDescent="0.35">
      <c r="A384" s="67" t="s">
        <v>968</v>
      </c>
      <c r="B384" s="67"/>
      <c r="C384" s="66"/>
      <c r="D384" s="66">
        <v>2.3462900000000002</v>
      </c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CF384" s="68"/>
    </row>
    <row r="385" spans="1:84" ht="17.399999999999999" x14ac:dyDescent="0.35">
      <c r="A385" s="67" t="s">
        <v>968</v>
      </c>
      <c r="B385" s="67"/>
      <c r="C385" s="66"/>
      <c r="D385" s="66">
        <v>2.1996699999999998</v>
      </c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CF385" s="68"/>
    </row>
    <row r="386" spans="1:84" ht="17.399999999999999" x14ac:dyDescent="0.35">
      <c r="A386" s="67" t="s">
        <v>968</v>
      </c>
      <c r="B386" s="67"/>
      <c r="C386" s="66"/>
      <c r="D386" s="66">
        <v>2.2461099999999998</v>
      </c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CF386" s="68"/>
    </row>
    <row r="387" spans="1:84" ht="17.399999999999999" x14ac:dyDescent="0.35">
      <c r="A387" s="67" t="s">
        <v>968</v>
      </c>
      <c r="B387" s="67"/>
      <c r="C387" s="66"/>
      <c r="D387" s="66">
        <v>2.2593299999999998</v>
      </c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CF387" s="68"/>
    </row>
    <row r="388" spans="1:84" ht="17.399999999999999" x14ac:dyDescent="0.35">
      <c r="A388" s="67" t="s">
        <v>968</v>
      </c>
      <c r="B388" s="67"/>
      <c r="C388" s="66"/>
      <c r="D388" s="66">
        <v>2.2440699999999998</v>
      </c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CF388" s="68"/>
    </row>
    <row r="389" spans="1:84" ht="17.399999999999999" x14ac:dyDescent="0.35">
      <c r="A389" s="67" t="s">
        <v>968</v>
      </c>
      <c r="B389" s="67"/>
      <c r="C389" s="66"/>
      <c r="D389" s="66">
        <v>2.2210399999999999</v>
      </c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CF389" s="68"/>
    </row>
    <row r="390" spans="1:84" ht="17.399999999999999" x14ac:dyDescent="0.35">
      <c r="A390" s="67" t="s">
        <v>968</v>
      </c>
      <c r="B390" s="67"/>
      <c r="C390" s="66"/>
      <c r="D390" s="66">
        <v>2.2052900000000002</v>
      </c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CF390" s="68"/>
    </row>
    <row r="391" spans="1:84" ht="17.399999999999999" x14ac:dyDescent="0.35">
      <c r="A391" s="67" t="s">
        <v>968</v>
      </c>
      <c r="B391" s="67"/>
      <c r="C391" s="66"/>
      <c r="D391" s="66">
        <v>2.2492200000000002</v>
      </c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CF391" s="68"/>
    </row>
    <row r="392" spans="1:84" ht="17.399999999999999" x14ac:dyDescent="0.35">
      <c r="A392" s="67" t="s">
        <v>968</v>
      </c>
      <c r="B392" s="67"/>
      <c r="C392" s="66"/>
      <c r="D392" s="66">
        <v>2.2067000000000001</v>
      </c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CF392" s="68"/>
    </row>
    <row r="393" spans="1:84" ht="17.399999999999999" x14ac:dyDescent="0.35">
      <c r="A393" s="67" t="s">
        <v>968</v>
      </c>
      <c r="B393" s="67"/>
      <c r="C393" s="66"/>
      <c r="D393" s="66">
        <v>2.20919</v>
      </c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CF393" s="68"/>
    </row>
    <row r="394" spans="1:84" ht="17.399999999999999" x14ac:dyDescent="0.35">
      <c r="A394" s="67" t="s">
        <v>968</v>
      </c>
      <c r="B394" s="67"/>
      <c r="C394" s="66"/>
      <c r="D394" s="66">
        <v>2.18092</v>
      </c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CF394" s="68"/>
    </row>
    <row r="395" spans="1:84" ht="17.399999999999999" x14ac:dyDescent="0.35">
      <c r="A395" s="67" t="s">
        <v>968</v>
      </c>
      <c r="B395" s="67"/>
      <c r="C395" s="66"/>
      <c r="D395" s="66">
        <v>2.2029100000000001</v>
      </c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CF395" s="68"/>
    </row>
    <row r="396" spans="1:84" ht="17.399999999999999" x14ac:dyDescent="0.35">
      <c r="A396" s="67" t="s">
        <v>968</v>
      </c>
      <c r="B396" s="67"/>
      <c r="C396" s="66"/>
      <c r="D396" s="66">
        <v>2.32409</v>
      </c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CF396" s="68"/>
    </row>
    <row r="397" spans="1:84" ht="17.399999999999999" x14ac:dyDescent="0.35">
      <c r="A397" s="67" t="s">
        <v>968</v>
      </c>
      <c r="B397" s="67"/>
      <c r="C397" s="66"/>
      <c r="D397" s="66">
        <v>2.2333599999999998</v>
      </c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CF397" s="68"/>
    </row>
    <row r="398" spans="1:84" ht="17.399999999999999" x14ac:dyDescent="0.35">
      <c r="A398" s="67" t="s">
        <v>968</v>
      </c>
      <c r="B398" s="67"/>
      <c r="C398" s="66"/>
      <c r="D398" s="66">
        <v>2.2669700000000002</v>
      </c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CF398" s="68"/>
    </row>
    <row r="399" spans="1:84" ht="17.399999999999999" x14ac:dyDescent="0.35">
      <c r="A399" s="67" t="s">
        <v>968</v>
      </c>
      <c r="B399" s="67"/>
      <c r="C399" s="66"/>
      <c r="D399" s="66">
        <v>2.2500200000000001</v>
      </c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CF399" s="68"/>
    </row>
    <row r="400" spans="1:84" ht="17.399999999999999" x14ac:dyDescent="0.35">
      <c r="A400" s="67" t="s">
        <v>968</v>
      </c>
      <c r="B400" s="67"/>
      <c r="C400" s="66"/>
      <c r="D400" s="66">
        <v>2.22017</v>
      </c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CF400" s="68"/>
    </row>
    <row r="401" spans="1:84" ht="17.399999999999999" x14ac:dyDescent="0.35">
      <c r="A401" s="67" t="s">
        <v>968</v>
      </c>
      <c r="B401" s="67"/>
      <c r="C401" s="66"/>
      <c r="D401" s="66">
        <v>2.21184</v>
      </c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CF401" s="68"/>
    </row>
    <row r="402" spans="1:84" ht="17.399999999999999" x14ac:dyDescent="0.35">
      <c r="A402" s="67" t="s">
        <v>968</v>
      </c>
      <c r="B402" s="67"/>
      <c r="C402" s="66"/>
      <c r="D402" s="66">
        <v>2.23489</v>
      </c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CF402" s="68"/>
    </row>
    <row r="403" spans="1:84" ht="17.399999999999999" x14ac:dyDescent="0.35">
      <c r="A403" s="67" t="s">
        <v>968</v>
      </c>
      <c r="B403" s="67"/>
      <c r="C403" s="66"/>
      <c r="D403" s="66">
        <v>2.2273999999999998</v>
      </c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CF403" s="68"/>
    </row>
    <row r="404" spans="1:84" ht="17.399999999999999" x14ac:dyDescent="0.35">
      <c r="A404" s="67" t="s">
        <v>968</v>
      </c>
      <c r="B404" s="67"/>
      <c r="C404" s="66"/>
      <c r="D404" s="66">
        <v>2.28043</v>
      </c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CF404" s="68"/>
    </row>
    <row r="405" spans="1:84" ht="17.399999999999999" x14ac:dyDescent="0.35">
      <c r="A405" s="67" t="s">
        <v>968</v>
      </c>
      <c r="B405" s="67"/>
      <c r="C405" s="66"/>
      <c r="D405" s="66">
        <v>2.2106599999999998</v>
      </c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CF405" s="68"/>
    </row>
    <row r="406" spans="1:84" ht="17.399999999999999" x14ac:dyDescent="0.35">
      <c r="A406" s="67" t="s">
        <v>968</v>
      </c>
      <c r="B406" s="67"/>
      <c r="C406" s="66"/>
      <c r="D406" s="66">
        <v>2.2972000000000001</v>
      </c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CF406" s="68"/>
    </row>
    <row r="407" spans="1:84" ht="17.399999999999999" x14ac:dyDescent="0.35">
      <c r="A407" s="67" t="s">
        <v>968</v>
      </c>
      <c r="B407" s="67"/>
      <c r="C407" s="66"/>
      <c r="D407" s="66">
        <v>2.3134000000000001</v>
      </c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CF407" s="68"/>
    </row>
    <row r="408" spans="1:84" ht="17.399999999999999" x14ac:dyDescent="0.35">
      <c r="A408" s="67" t="s">
        <v>968</v>
      </c>
      <c r="B408" s="67"/>
      <c r="C408" s="66"/>
      <c r="D408" s="66">
        <v>2.2547600000000001</v>
      </c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CF408" s="68"/>
    </row>
    <row r="409" spans="1:84" ht="17.399999999999999" x14ac:dyDescent="0.35">
      <c r="A409" s="67" t="s">
        <v>968</v>
      </c>
      <c r="B409" s="67"/>
      <c r="C409" s="66"/>
      <c r="D409" s="66">
        <v>2.2573599999999998</v>
      </c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CF409" s="68"/>
    </row>
    <row r="410" spans="1:84" ht="17.399999999999999" x14ac:dyDescent="0.35">
      <c r="A410" s="67" t="s">
        <v>968</v>
      </c>
      <c r="B410" s="67"/>
      <c r="C410" s="66"/>
      <c r="D410" s="66">
        <v>2.21387</v>
      </c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CF410" s="68"/>
    </row>
    <row r="411" spans="1:84" ht="17.399999999999999" x14ac:dyDescent="0.35">
      <c r="A411" s="67" t="s">
        <v>968</v>
      </c>
      <c r="B411" s="67"/>
      <c r="C411" s="66"/>
      <c r="D411" s="66">
        <v>2.2471999999999999</v>
      </c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CF411" s="68"/>
    </row>
    <row r="412" spans="1:84" ht="17.399999999999999" x14ac:dyDescent="0.35">
      <c r="A412" s="67" t="s">
        <v>968</v>
      </c>
      <c r="B412" s="67"/>
      <c r="C412" s="66"/>
      <c r="D412" s="66">
        <v>2.2921499999999999</v>
      </c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CF412" s="68"/>
    </row>
    <row r="413" spans="1:84" ht="17.399999999999999" x14ac:dyDescent="0.35">
      <c r="A413" s="67" t="s">
        <v>968</v>
      </c>
      <c r="B413" s="67"/>
      <c r="C413" s="66"/>
      <c r="D413" s="66">
        <v>2.2475999999999998</v>
      </c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CF413" s="68"/>
    </row>
    <row r="414" spans="1:84" ht="17.399999999999999" x14ac:dyDescent="0.35">
      <c r="A414" s="67" t="s">
        <v>968</v>
      </c>
      <c r="B414" s="67"/>
      <c r="C414" s="66"/>
      <c r="D414" s="66">
        <v>2.27216</v>
      </c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CF414" s="68"/>
    </row>
    <row r="415" spans="1:84" ht="17.399999999999999" x14ac:dyDescent="0.35">
      <c r="A415" s="67" t="s">
        <v>968</v>
      </c>
      <c r="B415" s="67"/>
      <c r="C415" s="66"/>
      <c r="D415" s="66">
        <v>2.2882099999999999</v>
      </c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CF415" s="68"/>
    </row>
    <row r="416" spans="1:84" ht="17.399999999999999" x14ac:dyDescent="0.35">
      <c r="A416" s="67" t="s">
        <v>968</v>
      </c>
      <c r="B416" s="67"/>
      <c r="C416" s="66"/>
      <c r="D416" s="66">
        <v>2.2805599999999999</v>
      </c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CF416" s="68"/>
    </row>
    <row r="417" spans="1:84" ht="17.399999999999999" x14ac:dyDescent="0.35">
      <c r="A417" s="67" t="s">
        <v>968</v>
      </c>
      <c r="B417" s="67"/>
      <c r="C417" s="66"/>
      <c r="D417" s="66">
        <v>2.3045</v>
      </c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CF417" s="68"/>
    </row>
    <row r="418" spans="1:84" ht="17.399999999999999" x14ac:dyDescent="0.35">
      <c r="A418" s="67" t="s">
        <v>968</v>
      </c>
      <c r="B418" s="67"/>
      <c r="C418" s="66"/>
      <c r="D418" s="66">
        <v>2.3036599999999998</v>
      </c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CF418" s="68"/>
    </row>
    <row r="419" spans="1:84" ht="17.399999999999999" x14ac:dyDescent="0.35">
      <c r="A419" s="67" t="s">
        <v>968</v>
      </c>
      <c r="B419" s="67"/>
      <c r="C419" s="66"/>
      <c r="D419" s="66">
        <v>2.2677999999999998</v>
      </c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CF419" s="68"/>
    </row>
    <row r="420" spans="1:84" ht="17.399999999999999" x14ac:dyDescent="0.35">
      <c r="A420" s="67" t="s">
        <v>968</v>
      </c>
      <c r="B420" s="67"/>
      <c r="C420" s="66"/>
      <c r="D420" s="66">
        <v>2.2060200000000001</v>
      </c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CF420" s="68"/>
    </row>
    <row r="421" spans="1:84" ht="17.399999999999999" x14ac:dyDescent="0.35">
      <c r="A421" s="67" t="s">
        <v>968</v>
      </c>
      <c r="B421" s="67"/>
      <c r="C421" s="66"/>
      <c r="D421" s="66">
        <v>2.2368399999999999</v>
      </c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CF421" s="68"/>
    </row>
    <row r="422" spans="1:84" ht="17.399999999999999" x14ac:dyDescent="0.35">
      <c r="A422" s="67" t="s">
        <v>968</v>
      </c>
      <c r="B422" s="67"/>
      <c r="C422" s="66"/>
      <c r="D422" s="66">
        <v>2.23936</v>
      </c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CF422" s="68"/>
    </row>
    <row r="423" spans="1:84" ht="17.399999999999999" x14ac:dyDescent="0.35">
      <c r="A423" s="67" t="s">
        <v>968</v>
      </c>
      <c r="B423" s="67"/>
      <c r="C423" s="66"/>
      <c r="D423" s="66">
        <v>2.2992900000000001</v>
      </c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CF423" s="68"/>
    </row>
    <row r="424" spans="1:84" ht="17.399999999999999" x14ac:dyDescent="0.35">
      <c r="A424" s="67" t="s">
        <v>968</v>
      </c>
      <c r="B424" s="67"/>
      <c r="C424" s="66"/>
      <c r="D424" s="66">
        <v>2.2224499999999998</v>
      </c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CF424" s="68"/>
    </row>
    <row r="425" spans="1:84" ht="17.399999999999999" x14ac:dyDescent="0.35">
      <c r="A425" s="67" t="s">
        <v>968</v>
      </c>
      <c r="B425" s="67"/>
      <c r="C425" s="66"/>
      <c r="D425" s="66">
        <v>2.306</v>
      </c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CF425" s="68"/>
    </row>
    <row r="426" spans="1:84" ht="17.399999999999999" x14ac:dyDescent="0.35">
      <c r="A426" s="67" t="s">
        <v>968</v>
      </c>
      <c r="B426" s="67"/>
      <c r="C426" s="66"/>
      <c r="D426" s="66">
        <v>2.2076799999999999</v>
      </c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CF426" s="68"/>
    </row>
    <row r="427" spans="1:84" ht="17.399999999999999" x14ac:dyDescent="0.35">
      <c r="A427" s="67" t="s">
        <v>968</v>
      </c>
      <c r="B427" s="67"/>
      <c r="C427" s="66"/>
      <c r="D427" s="66">
        <v>2.1985199999999998</v>
      </c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CF427" s="68"/>
    </row>
    <row r="428" spans="1:84" ht="17.399999999999999" x14ac:dyDescent="0.35">
      <c r="A428" s="67" t="s">
        <v>968</v>
      </c>
      <c r="B428" s="67"/>
      <c r="C428" s="66"/>
      <c r="D428" s="66">
        <v>2.2130100000000001</v>
      </c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CF428" s="68"/>
    </row>
    <row r="429" spans="1:84" ht="17.399999999999999" x14ac:dyDescent="0.35">
      <c r="A429" s="67" t="s">
        <v>968</v>
      </c>
      <c r="B429" s="67"/>
      <c r="C429" s="66"/>
      <c r="D429" s="66">
        <v>2.26831</v>
      </c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CF429" s="68"/>
    </row>
    <row r="430" spans="1:84" ht="17.399999999999999" x14ac:dyDescent="0.35">
      <c r="A430" s="67" t="s">
        <v>968</v>
      </c>
      <c r="B430" s="67"/>
      <c r="C430" s="66"/>
      <c r="D430" s="66">
        <v>2.3087300000000002</v>
      </c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CF430" s="68"/>
    </row>
    <row r="431" spans="1:84" ht="17.399999999999999" x14ac:dyDescent="0.35">
      <c r="A431" s="67" t="s">
        <v>968</v>
      </c>
      <c r="B431" s="67"/>
      <c r="C431" s="66"/>
      <c r="D431" s="66">
        <v>2.28484</v>
      </c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CF431" s="68"/>
    </row>
    <row r="432" spans="1:84" ht="17.399999999999999" x14ac:dyDescent="0.35">
      <c r="A432" s="67" t="s">
        <v>968</v>
      </c>
      <c r="B432" s="67"/>
      <c r="C432" s="66"/>
      <c r="D432" s="66">
        <v>2.2866</v>
      </c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CF432" s="68"/>
    </row>
    <row r="433" spans="1:84" ht="17.399999999999999" x14ac:dyDescent="0.35">
      <c r="A433" s="67" t="s">
        <v>968</v>
      </c>
      <c r="B433" s="67"/>
      <c r="C433" s="66"/>
      <c r="D433" s="66">
        <v>2.3170099999999998</v>
      </c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CF433" s="68"/>
    </row>
    <row r="434" spans="1:84" ht="17.399999999999999" x14ac:dyDescent="0.35">
      <c r="A434" s="67" t="s">
        <v>968</v>
      </c>
      <c r="B434" s="67"/>
      <c r="C434" s="66"/>
      <c r="D434" s="66">
        <v>2.2463000000000002</v>
      </c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CF434" s="68"/>
    </row>
    <row r="435" spans="1:84" ht="17.399999999999999" x14ac:dyDescent="0.35">
      <c r="A435" s="67" t="s">
        <v>968</v>
      </c>
      <c r="B435" s="67"/>
      <c r="C435" s="66"/>
      <c r="D435" s="66">
        <v>2.2759100000000001</v>
      </c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CF435" s="68"/>
    </row>
    <row r="436" spans="1:84" ht="17.399999999999999" x14ac:dyDescent="0.35">
      <c r="A436" s="67" t="s">
        <v>968</v>
      </c>
      <c r="B436" s="67"/>
      <c r="C436" s="66"/>
      <c r="D436" s="66">
        <v>2.1784500000000002</v>
      </c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CF436" s="68"/>
    </row>
    <row r="437" spans="1:84" ht="17.399999999999999" x14ac:dyDescent="0.35">
      <c r="A437" s="67" t="s">
        <v>968</v>
      </c>
      <c r="B437" s="67"/>
      <c r="C437" s="66"/>
      <c r="D437" s="66">
        <v>2.2774299999999998</v>
      </c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CF437" s="68"/>
    </row>
    <row r="438" spans="1:84" ht="17.399999999999999" x14ac:dyDescent="0.35">
      <c r="A438" s="67" t="s">
        <v>968</v>
      </c>
      <c r="B438" s="67"/>
      <c r="C438" s="66"/>
      <c r="D438" s="66">
        <v>2.2429800000000002</v>
      </c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CF438" s="68"/>
    </row>
    <row r="439" spans="1:84" ht="17.399999999999999" x14ac:dyDescent="0.35">
      <c r="A439" s="67" t="s">
        <v>968</v>
      </c>
      <c r="B439" s="67"/>
      <c r="C439" s="66"/>
      <c r="D439" s="66">
        <v>2.27027</v>
      </c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CF439" s="68"/>
    </row>
    <row r="440" spans="1:84" ht="17.399999999999999" x14ac:dyDescent="0.35">
      <c r="A440" s="67" t="s">
        <v>968</v>
      </c>
      <c r="B440" s="67"/>
      <c r="C440" s="66"/>
      <c r="D440" s="66">
        <v>2.24397</v>
      </c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CF440" s="68"/>
    </row>
    <row r="441" spans="1:84" ht="17.399999999999999" x14ac:dyDescent="0.35">
      <c r="A441" s="67" t="s">
        <v>968</v>
      </c>
      <c r="B441" s="67"/>
      <c r="C441" s="66"/>
      <c r="D441" s="66">
        <v>2.22986</v>
      </c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CF441" s="68"/>
    </row>
    <row r="442" spans="1:84" ht="17.399999999999999" x14ac:dyDescent="0.35">
      <c r="A442" s="67" t="s">
        <v>968</v>
      </c>
      <c r="B442" s="67"/>
      <c r="C442" s="66"/>
      <c r="D442" s="66">
        <v>2.2658499999999999</v>
      </c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CF442" s="68"/>
    </row>
    <row r="443" spans="1:84" ht="17.399999999999999" x14ac:dyDescent="0.35">
      <c r="A443" s="67" t="s">
        <v>968</v>
      </c>
      <c r="B443" s="67"/>
      <c r="C443" s="66"/>
      <c r="D443" s="66">
        <v>2.30687</v>
      </c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CF443" s="68"/>
    </row>
    <row r="444" spans="1:84" ht="17.399999999999999" x14ac:dyDescent="0.35">
      <c r="A444" s="67" t="s">
        <v>968</v>
      </c>
      <c r="B444" s="67"/>
      <c r="C444" s="66"/>
      <c r="D444" s="66">
        <v>2.34476</v>
      </c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CF444" s="68"/>
    </row>
    <row r="445" spans="1:84" ht="17.399999999999999" x14ac:dyDescent="0.35">
      <c r="A445" s="67" t="s">
        <v>968</v>
      </c>
      <c r="B445" s="67"/>
      <c r="C445" s="66"/>
      <c r="D445" s="66">
        <v>2.2094100000000001</v>
      </c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CF445" s="68"/>
    </row>
    <row r="446" spans="1:84" ht="17.399999999999999" x14ac:dyDescent="0.35">
      <c r="A446" s="67" t="s">
        <v>968</v>
      </c>
      <c r="B446" s="67"/>
      <c r="C446" s="66"/>
      <c r="D446" s="66">
        <v>2.2273700000000001</v>
      </c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CF446" s="68"/>
    </row>
    <row r="447" spans="1:84" ht="17.399999999999999" x14ac:dyDescent="0.35">
      <c r="A447" s="67" t="s">
        <v>968</v>
      </c>
      <c r="B447" s="67"/>
      <c r="C447" s="66"/>
      <c r="D447" s="66">
        <v>2.1913800000000001</v>
      </c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CF447" s="68"/>
    </row>
    <row r="448" spans="1:84" ht="17.399999999999999" x14ac:dyDescent="0.35">
      <c r="A448" s="67" t="s">
        <v>968</v>
      </c>
      <c r="B448" s="67"/>
      <c r="C448" s="66"/>
      <c r="D448" s="66">
        <v>2.2638600000000002</v>
      </c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CF448" s="68"/>
    </row>
    <row r="449" spans="1:84" ht="17.399999999999999" x14ac:dyDescent="0.35">
      <c r="A449" s="67" t="s">
        <v>968</v>
      </c>
      <c r="B449" s="67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CF449" s="68"/>
    </row>
    <row r="450" spans="1:84" ht="17.399999999999999" x14ac:dyDescent="0.35">
      <c r="A450" s="67" t="s">
        <v>968</v>
      </c>
      <c r="B450" s="67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CF450" s="68"/>
    </row>
    <row r="451" spans="1:84" ht="17.399999999999999" x14ac:dyDescent="0.35">
      <c r="A451" s="67" t="s">
        <v>968</v>
      </c>
      <c r="B451" s="67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CF451" s="68"/>
    </row>
    <row r="452" spans="1:84" ht="17.399999999999999" x14ac:dyDescent="0.35">
      <c r="A452" s="67" t="s">
        <v>968</v>
      </c>
      <c r="B452" s="67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CF452" s="68"/>
    </row>
    <row r="453" spans="1:84" ht="17.399999999999999" x14ac:dyDescent="0.35">
      <c r="A453" s="67" t="s">
        <v>968</v>
      </c>
      <c r="B453" s="67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CF453" s="68"/>
    </row>
    <row r="454" spans="1:84" ht="17.399999999999999" x14ac:dyDescent="0.35">
      <c r="A454" s="67" t="s">
        <v>968</v>
      </c>
      <c r="B454" s="67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CF454" s="68"/>
    </row>
    <row r="455" spans="1:84" ht="17.399999999999999" x14ac:dyDescent="0.35">
      <c r="A455" s="67" t="s">
        <v>968</v>
      </c>
      <c r="B455" s="67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CF455" s="68"/>
    </row>
    <row r="456" spans="1:84" ht="17.399999999999999" x14ac:dyDescent="0.35">
      <c r="A456" s="67" t="s">
        <v>968</v>
      </c>
      <c r="B456" s="67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CF456" s="68"/>
    </row>
    <row r="457" spans="1:84" ht="17.399999999999999" x14ac:dyDescent="0.35">
      <c r="A457" s="67" t="s">
        <v>968</v>
      </c>
      <c r="B457" s="67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CF457" s="68"/>
    </row>
    <row r="458" spans="1:84" ht="17.399999999999999" x14ac:dyDescent="0.35">
      <c r="A458" s="67" t="s">
        <v>968</v>
      </c>
      <c r="B458" s="67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CF458" s="68"/>
    </row>
    <row r="459" spans="1:84" ht="17.399999999999999" x14ac:dyDescent="0.35">
      <c r="A459" s="67" t="s">
        <v>968</v>
      </c>
      <c r="B459" s="67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CF459" s="68"/>
    </row>
    <row r="460" spans="1:84" ht="17.399999999999999" x14ac:dyDescent="0.35">
      <c r="A460" s="67" t="s">
        <v>968</v>
      </c>
      <c r="B460" s="67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CF460" s="68"/>
    </row>
    <row r="461" spans="1:84" ht="17.399999999999999" x14ac:dyDescent="0.35">
      <c r="A461" s="67" t="s">
        <v>968</v>
      </c>
      <c r="B461" s="67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CF461" s="68"/>
    </row>
    <row r="462" spans="1:84" ht="17.399999999999999" x14ac:dyDescent="0.35">
      <c r="A462" s="67" t="s">
        <v>968</v>
      </c>
      <c r="B462" s="67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CF462" s="68"/>
    </row>
    <row r="463" spans="1:84" ht="17.399999999999999" x14ac:dyDescent="0.35">
      <c r="A463" s="67" t="s">
        <v>968</v>
      </c>
      <c r="B463" s="67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CF463" s="68"/>
    </row>
    <row r="464" spans="1:84" ht="17.399999999999999" x14ac:dyDescent="0.35">
      <c r="A464" s="67" t="s">
        <v>968</v>
      </c>
      <c r="B464" s="67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CF464" s="68"/>
    </row>
    <row r="465" spans="1:84" ht="17.399999999999999" x14ac:dyDescent="0.35">
      <c r="A465" s="67" t="s">
        <v>968</v>
      </c>
      <c r="B465" s="67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CF465" s="68"/>
    </row>
    <row r="466" spans="1:84" ht="17.399999999999999" x14ac:dyDescent="0.35">
      <c r="A466" s="67" t="s">
        <v>968</v>
      </c>
      <c r="B466" s="67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CF466" s="68"/>
    </row>
    <row r="467" spans="1:84" ht="17.399999999999999" x14ac:dyDescent="0.35">
      <c r="A467" s="67" t="s">
        <v>968</v>
      </c>
      <c r="B467" s="67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CF467" s="68"/>
    </row>
    <row r="468" spans="1:84" ht="17.399999999999999" x14ac:dyDescent="0.35">
      <c r="A468" s="67" t="s">
        <v>968</v>
      </c>
      <c r="B468" s="67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CF468" s="68"/>
    </row>
    <row r="469" spans="1:84" ht="17.399999999999999" x14ac:dyDescent="0.35">
      <c r="A469" s="67" t="s">
        <v>968</v>
      </c>
      <c r="B469" s="67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CF469" s="68"/>
    </row>
    <row r="470" spans="1:84" ht="17.399999999999999" x14ac:dyDescent="0.35">
      <c r="A470" s="67" t="s">
        <v>968</v>
      </c>
      <c r="B470" s="67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CF470" s="68"/>
    </row>
    <row r="471" spans="1:84" ht="17.399999999999999" x14ac:dyDescent="0.35">
      <c r="A471" s="67" t="s">
        <v>968</v>
      </c>
      <c r="B471" s="67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CF471" s="68"/>
    </row>
    <row r="472" spans="1:84" ht="17.399999999999999" x14ac:dyDescent="0.35">
      <c r="A472" s="67" t="s">
        <v>968</v>
      </c>
      <c r="B472" s="67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CF472" s="68"/>
    </row>
    <row r="473" spans="1:84" ht="17.399999999999999" x14ac:dyDescent="0.35">
      <c r="A473" s="67" t="s">
        <v>968</v>
      </c>
      <c r="B473" s="67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CF473" s="68"/>
    </row>
    <row r="474" spans="1:84" ht="17.399999999999999" x14ac:dyDescent="0.35">
      <c r="A474" s="67" t="s">
        <v>968</v>
      </c>
      <c r="B474" s="67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CF474" s="68"/>
    </row>
    <row r="475" spans="1:84" ht="17.399999999999999" x14ac:dyDescent="0.35">
      <c r="A475" s="67" t="s">
        <v>968</v>
      </c>
      <c r="B475" s="67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CF475" s="68"/>
    </row>
    <row r="476" spans="1:84" ht="17.399999999999999" x14ac:dyDescent="0.35">
      <c r="A476" s="67" t="s">
        <v>968</v>
      </c>
      <c r="B476" s="67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CF476" s="68"/>
    </row>
    <row r="477" spans="1:84" ht="17.399999999999999" x14ac:dyDescent="0.35">
      <c r="A477" s="67" t="s">
        <v>968</v>
      </c>
      <c r="B477" s="67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CF477" s="68"/>
    </row>
    <row r="478" spans="1:84" ht="17.399999999999999" x14ac:dyDescent="0.35">
      <c r="A478" s="67"/>
      <c r="B478" s="67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CF478" s="68"/>
    </row>
    <row r="479" spans="1:84" ht="17.399999999999999" x14ac:dyDescent="0.35">
      <c r="A479" s="67"/>
      <c r="B479" s="67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CF479" s="68"/>
    </row>
    <row r="480" spans="1:84" ht="17.399999999999999" x14ac:dyDescent="0.35">
      <c r="A480" s="67"/>
      <c r="B480" s="67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CF480" s="68"/>
    </row>
    <row r="481" spans="1:84" ht="17.399999999999999" x14ac:dyDescent="0.35">
      <c r="A481" s="67"/>
      <c r="B481" s="67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CF481" s="68"/>
    </row>
    <row r="482" spans="1:84" ht="17.399999999999999" x14ac:dyDescent="0.35">
      <c r="A482" s="67"/>
      <c r="B482" s="67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CF482" s="68"/>
    </row>
    <row r="483" spans="1:84" ht="17.399999999999999" x14ac:dyDescent="0.35">
      <c r="A483" s="67"/>
      <c r="B483" s="67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CF483" s="68"/>
    </row>
    <row r="484" spans="1:84" ht="17.399999999999999" x14ac:dyDescent="0.35">
      <c r="A484" s="67"/>
      <c r="B484" s="67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CF484" s="68"/>
    </row>
    <row r="485" spans="1:84" ht="17.399999999999999" x14ac:dyDescent="0.35">
      <c r="A485" s="67"/>
      <c r="B485" s="67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CF485" s="68"/>
    </row>
    <row r="486" spans="1:84" ht="17.399999999999999" x14ac:dyDescent="0.35">
      <c r="A486" s="67"/>
      <c r="B486" s="67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CF486" s="68"/>
    </row>
    <row r="487" spans="1:84" ht="17.399999999999999" x14ac:dyDescent="0.35">
      <c r="A487" s="67"/>
      <c r="B487" s="67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CF487" s="68"/>
    </row>
    <row r="488" spans="1:84" ht="17.399999999999999" x14ac:dyDescent="0.35">
      <c r="A488" s="67"/>
      <c r="B488" s="67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CF488" s="68"/>
    </row>
    <row r="489" spans="1:84" ht="17.399999999999999" x14ac:dyDescent="0.35">
      <c r="A489" s="67"/>
      <c r="B489" s="67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CF489" s="68"/>
    </row>
    <row r="490" spans="1:84" ht="17.399999999999999" x14ac:dyDescent="0.35">
      <c r="A490" s="67"/>
      <c r="B490" s="67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CF490" s="68"/>
    </row>
    <row r="491" spans="1:84" ht="17.399999999999999" x14ac:dyDescent="0.35">
      <c r="A491" s="67"/>
      <c r="B491" s="67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CF491" s="68"/>
    </row>
    <row r="492" spans="1:84" ht="17.399999999999999" x14ac:dyDescent="0.35">
      <c r="A492" s="67"/>
      <c r="B492" s="67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CF492" s="68"/>
    </row>
    <row r="493" spans="1:84" ht="17.399999999999999" x14ac:dyDescent="0.35">
      <c r="A493" s="67"/>
      <c r="B493" s="67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CF493" s="68"/>
    </row>
    <row r="494" spans="1:84" ht="17.399999999999999" x14ac:dyDescent="0.35">
      <c r="A494" s="67"/>
      <c r="B494" s="67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CF494" s="68"/>
    </row>
    <row r="495" spans="1:84" ht="17.399999999999999" x14ac:dyDescent="0.35">
      <c r="A495" s="67"/>
      <c r="B495" s="67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CF495" s="68"/>
    </row>
    <row r="496" spans="1:84" ht="17.399999999999999" x14ac:dyDescent="0.35">
      <c r="A496" s="67"/>
      <c r="B496" s="67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CF496" s="68"/>
    </row>
    <row r="497" spans="1:84" ht="17.399999999999999" x14ac:dyDescent="0.35">
      <c r="A497" s="67"/>
      <c r="B497" s="67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CF497" s="68"/>
    </row>
    <row r="498" spans="1:84" ht="17.399999999999999" x14ac:dyDescent="0.35">
      <c r="A498" s="67"/>
      <c r="B498" s="67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CF498" s="68"/>
    </row>
    <row r="499" spans="1:84" ht="17.399999999999999" x14ac:dyDescent="0.35">
      <c r="A499" s="67"/>
      <c r="B499" s="67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CF499" s="68"/>
    </row>
    <row r="500" spans="1:84" ht="17.399999999999999" x14ac:dyDescent="0.35">
      <c r="A500" s="67"/>
      <c r="B500" s="67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CF500" s="68"/>
    </row>
    <row r="501" spans="1:84" ht="17.399999999999999" x14ac:dyDescent="0.35">
      <c r="A501" s="67"/>
      <c r="B501" s="67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CF501" s="68"/>
    </row>
    <row r="502" spans="1:84" ht="17.399999999999999" x14ac:dyDescent="0.35">
      <c r="A502" s="67"/>
      <c r="B502" s="67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CF502" s="68"/>
    </row>
    <row r="503" spans="1:84" ht="17.399999999999999" x14ac:dyDescent="0.35">
      <c r="A503" s="67"/>
      <c r="B503" s="67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CF503" s="68"/>
    </row>
    <row r="504" spans="1:84" ht="17.399999999999999" x14ac:dyDescent="0.35">
      <c r="A504" s="67"/>
      <c r="B504" s="67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CF504" s="68"/>
    </row>
    <row r="505" spans="1:84" ht="17.399999999999999" x14ac:dyDescent="0.35">
      <c r="A505" s="67"/>
      <c r="B505" s="67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CF505" s="68"/>
    </row>
    <row r="506" spans="1:84" ht="17.399999999999999" x14ac:dyDescent="0.35">
      <c r="A506" s="67"/>
      <c r="B506" s="67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CF506" s="68"/>
    </row>
    <row r="507" spans="1:84" ht="17.399999999999999" x14ac:dyDescent="0.35">
      <c r="A507" s="67"/>
      <c r="B507" s="67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CF507" s="68"/>
    </row>
    <row r="508" spans="1:84" ht="17.399999999999999" x14ac:dyDescent="0.35">
      <c r="A508" s="67"/>
      <c r="B508" s="67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CF508" s="68"/>
    </row>
    <row r="509" spans="1:84" ht="17.399999999999999" x14ac:dyDescent="0.35">
      <c r="A509" s="67"/>
      <c r="B509" s="67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CF509" s="68"/>
    </row>
    <row r="510" spans="1:84" ht="17.399999999999999" x14ac:dyDescent="0.35">
      <c r="A510" s="67"/>
      <c r="B510" s="67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CF510" s="68"/>
    </row>
    <row r="511" spans="1:84" ht="17.399999999999999" x14ac:dyDescent="0.35">
      <c r="A511" s="67"/>
      <c r="B511" s="67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CF511" s="68"/>
    </row>
    <row r="512" spans="1:84" ht="17.399999999999999" x14ac:dyDescent="0.35">
      <c r="A512" s="67"/>
      <c r="B512" s="67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CF512" s="68"/>
    </row>
    <row r="513" spans="1:84" ht="17.399999999999999" x14ac:dyDescent="0.35">
      <c r="A513" s="67"/>
      <c r="B513" s="67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CF513" s="68"/>
    </row>
    <row r="514" spans="1:84" ht="17.399999999999999" x14ac:dyDescent="0.35">
      <c r="A514" s="67"/>
      <c r="B514" s="67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CF514" s="68"/>
    </row>
    <row r="515" spans="1:84" ht="17.399999999999999" x14ac:dyDescent="0.35">
      <c r="A515" s="67"/>
      <c r="B515" s="67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CF515" s="68"/>
    </row>
    <row r="516" spans="1:84" ht="17.399999999999999" x14ac:dyDescent="0.35">
      <c r="A516" s="67"/>
      <c r="B516" s="67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CF516" s="68"/>
    </row>
    <row r="517" spans="1:84" ht="17.399999999999999" x14ac:dyDescent="0.35">
      <c r="A517" s="67"/>
      <c r="B517" s="67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CF517" s="68"/>
    </row>
    <row r="518" spans="1:84" ht="17.399999999999999" x14ac:dyDescent="0.35">
      <c r="A518" s="67"/>
      <c r="B518" s="67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CF518" s="68"/>
    </row>
    <row r="519" spans="1:84" ht="17.399999999999999" x14ac:dyDescent="0.35">
      <c r="A519" s="67"/>
      <c r="B519" s="67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CF519" s="68"/>
    </row>
    <row r="520" spans="1:84" ht="17.399999999999999" x14ac:dyDescent="0.35">
      <c r="A520" s="67"/>
      <c r="B520" s="67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CF520" s="68"/>
    </row>
    <row r="521" spans="1:84" ht="17.399999999999999" x14ac:dyDescent="0.35">
      <c r="A521" s="67"/>
      <c r="B521" s="67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CF521" s="68"/>
    </row>
    <row r="522" spans="1:84" ht="17.399999999999999" x14ac:dyDescent="0.35">
      <c r="A522" s="67"/>
      <c r="B522" s="67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CF522" s="68"/>
    </row>
    <row r="523" spans="1:84" ht="17.399999999999999" x14ac:dyDescent="0.35">
      <c r="A523" s="67"/>
      <c r="B523" s="67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CF523" s="68"/>
    </row>
    <row r="524" spans="1:84" ht="17.399999999999999" x14ac:dyDescent="0.35">
      <c r="A524" s="67"/>
      <c r="B524" s="67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CF524" s="68"/>
    </row>
    <row r="525" spans="1:84" ht="17.399999999999999" x14ac:dyDescent="0.35">
      <c r="A525" s="67"/>
      <c r="B525" s="67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CF525" s="68"/>
    </row>
    <row r="526" spans="1:84" ht="17.399999999999999" x14ac:dyDescent="0.35">
      <c r="A526" s="67"/>
      <c r="B526" s="67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CF526" s="68"/>
    </row>
    <row r="527" spans="1:84" ht="17.399999999999999" x14ac:dyDescent="0.35">
      <c r="A527" s="67"/>
      <c r="B527" s="67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CF527" s="68"/>
    </row>
    <row r="528" spans="1:84" ht="17.399999999999999" x14ac:dyDescent="0.35">
      <c r="A528" s="67"/>
      <c r="B528" s="67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CF528" s="68"/>
    </row>
    <row r="529" spans="1:84" ht="17.399999999999999" x14ac:dyDescent="0.35">
      <c r="A529" s="67"/>
      <c r="B529" s="67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CF529" s="68"/>
    </row>
    <row r="530" spans="1:84" ht="17.399999999999999" x14ac:dyDescent="0.35">
      <c r="A530" s="67"/>
      <c r="B530" s="67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CF530" s="68"/>
    </row>
    <row r="531" spans="1:84" ht="17.399999999999999" x14ac:dyDescent="0.35">
      <c r="A531" s="67"/>
      <c r="B531" s="67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CF531" s="68"/>
    </row>
    <row r="532" spans="1:84" ht="17.399999999999999" x14ac:dyDescent="0.35">
      <c r="A532" s="67"/>
      <c r="B532" s="67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CF532" s="68"/>
    </row>
    <row r="533" spans="1:84" ht="17.399999999999999" x14ac:dyDescent="0.35">
      <c r="A533" s="67"/>
      <c r="B533" s="67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CF533" s="68"/>
    </row>
    <row r="534" spans="1:84" ht="17.399999999999999" x14ac:dyDescent="0.35">
      <c r="A534" s="67"/>
      <c r="B534" s="67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CF534" s="68"/>
    </row>
    <row r="535" spans="1:84" ht="17.399999999999999" x14ac:dyDescent="0.35">
      <c r="A535" s="67"/>
      <c r="B535" s="67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CF535" s="68"/>
    </row>
    <row r="536" spans="1:84" ht="17.399999999999999" x14ac:dyDescent="0.35">
      <c r="A536" s="67"/>
      <c r="B536" s="67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CF536" s="68"/>
    </row>
    <row r="537" spans="1:84" ht="17.399999999999999" x14ac:dyDescent="0.35">
      <c r="A537" s="67"/>
      <c r="B537" s="67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CF537" s="68"/>
    </row>
    <row r="538" spans="1:84" ht="17.399999999999999" x14ac:dyDescent="0.35">
      <c r="A538" s="67"/>
      <c r="B538" s="67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CF538" s="68"/>
    </row>
    <row r="539" spans="1:84" ht="17.399999999999999" x14ac:dyDescent="0.35">
      <c r="A539" s="67"/>
      <c r="B539" s="67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CF539" s="68"/>
    </row>
    <row r="540" spans="1:84" ht="17.399999999999999" x14ac:dyDescent="0.35">
      <c r="A540" s="67"/>
      <c r="B540" s="67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CF540" s="68"/>
    </row>
    <row r="541" spans="1:84" ht="17.399999999999999" x14ac:dyDescent="0.35">
      <c r="A541" s="67"/>
      <c r="B541" s="67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CF541" s="68"/>
    </row>
    <row r="542" spans="1:84" ht="17.399999999999999" x14ac:dyDescent="0.35">
      <c r="A542" s="67"/>
      <c r="B542" s="67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CF542" s="68"/>
    </row>
    <row r="543" spans="1:84" ht="17.399999999999999" x14ac:dyDescent="0.35">
      <c r="A543" s="67"/>
      <c r="B543" s="67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CF543" s="68"/>
    </row>
    <row r="544" spans="1:84" ht="17.399999999999999" x14ac:dyDescent="0.35">
      <c r="A544" s="67"/>
      <c r="B544" s="67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CF544" s="68"/>
    </row>
    <row r="545" spans="1:84" ht="17.399999999999999" x14ac:dyDescent="0.35">
      <c r="A545" s="67"/>
      <c r="B545" s="67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CF545" s="68"/>
    </row>
    <row r="546" spans="1:84" ht="17.399999999999999" x14ac:dyDescent="0.35">
      <c r="A546" s="67"/>
      <c r="B546" s="67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CF546" s="68"/>
    </row>
    <row r="547" spans="1:84" ht="17.399999999999999" x14ac:dyDescent="0.35">
      <c r="A547" s="67"/>
      <c r="B547" s="67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CF547" s="68"/>
    </row>
    <row r="548" spans="1:84" ht="17.399999999999999" x14ac:dyDescent="0.35">
      <c r="A548" s="67"/>
      <c r="B548" s="67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CF548" s="68"/>
    </row>
    <row r="549" spans="1:84" ht="17.399999999999999" x14ac:dyDescent="0.35">
      <c r="A549" s="67"/>
      <c r="B549" s="67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CF549" s="68"/>
    </row>
    <row r="550" spans="1:84" ht="17.399999999999999" x14ac:dyDescent="0.35">
      <c r="A550" s="67"/>
      <c r="B550" s="67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CF550" s="68"/>
    </row>
    <row r="551" spans="1:84" ht="17.399999999999999" x14ac:dyDescent="0.35">
      <c r="A551" s="67"/>
      <c r="B551" s="67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CF551" s="68"/>
    </row>
    <row r="552" spans="1:84" ht="17.399999999999999" x14ac:dyDescent="0.35">
      <c r="A552" s="67"/>
      <c r="B552" s="67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CF552" s="68"/>
    </row>
    <row r="553" spans="1:84" ht="17.399999999999999" x14ac:dyDescent="0.35">
      <c r="A553" s="67"/>
      <c r="B553" s="67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CF553" s="68"/>
    </row>
    <row r="554" spans="1:84" ht="17.399999999999999" x14ac:dyDescent="0.35">
      <c r="A554" s="67"/>
      <c r="B554" s="67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CF554" s="68"/>
    </row>
    <row r="555" spans="1:84" ht="17.399999999999999" x14ac:dyDescent="0.35">
      <c r="A555" s="67"/>
      <c r="B555" s="67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CF555" s="68"/>
    </row>
    <row r="556" spans="1:84" ht="17.399999999999999" x14ac:dyDescent="0.35">
      <c r="A556" s="67"/>
      <c r="B556" s="67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CF556" s="68"/>
    </row>
    <row r="557" spans="1:84" ht="17.399999999999999" x14ac:dyDescent="0.35">
      <c r="A557" s="67"/>
      <c r="B557" s="67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CF557" s="68"/>
    </row>
    <row r="558" spans="1:84" ht="17.399999999999999" x14ac:dyDescent="0.35">
      <c r="A558" s="67"/>
      <c r="B558" s="67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CF558" s="68"/>
    </row>
    <row r="559" spans="1:84" ht="17.399999999999999" x14ac:dyDescent="0.35">
      <c r="A559" s="67"/>
      <c r="B559" s="67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CF559" s="68"/>
    </row>
    <row r="560" spans="1:84" ht="17.399999999999999" x14ac:dyDescent="0.35">
      <c r="A560" s="67"/>
      <c r="B560" s="67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CF560" s="68"/>
    </row>
    <row r="561" spans="1:84" ht="17.399999999999999" x14ac:dyDescent="0.35">
      <c r="A561" s="67"/>
      <c r="B561" s="67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CF561" s="68"/>
    </row>
    <row r="562" spans="1:84" ht="17.399999999999999" x14ac:dyDescent="0.35">
      <c r="A562" s="67"/>
      <c r="B562" s="67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CF562" s="68"/>
    </row>
    <row r="563" spans="1:84" ht="17.399999999999999" x14ac:dyDescent="0.35">
      <c r="A563" s="67"/>
      <c r="B563" s="67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CF563" s="68"/>
    </row>
    <row r="564" spans="1:84" ht="17.399999999999999" x14ac:dyDescent="0.35">
      <c r="A564" s="67"/>
      <c r="B564" s="67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CF564" s="68"/>
    </row>
    <row r="565" spans="1:84" ht="17.399999999999999" x14ac:dyDescent="0.35">
      <c r="A565" s="67"/>
      <c r="B565" s="67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CF565" s="68"/>
    </row>
    <row r="566" spans="1:84" ht="17.399999999999999" x14ac:dyDescent="0.35">
      <c r="A566" s="67"/>
      <c r="B566" s="67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CF566" s="68"/>
    </row>
    <row r="567" spans="1:84" ht="17.399999999999999" x14ac:dyDescent="0.35">
      <c r="A567" s="67"/>
      <c r="B567" s="67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CF567" s="68"/>
    </row>
    <row r="568" spans="1:84" ht="17.399999999999999" x14ac:dyDescent="0.35">
      <c r="A568" s="67"/>
      <c r="B568" s="67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CF568" s="68"/>
    </row>
    <row r="569" spans="1:84" ht="17.399999999999999" x14ac:dyDescent="0.35">
      <c r="A569" s="67"/>
      <c r="B569" s="67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CF569" s="68"/>
    </row>
    <row r="570" spans="1:84" ht="17.399999999999999" x14ac:dyDescent="0.35">
      <c r="A570" s="67"/>
      <c r="B570" s="67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CF570" s="68"/>
    </row>
    <row r="571" spans="1:84" ht="17.399999999999999" x14ac:dyDescent="0.35">
      <c r="A571" s="67"/>
      <c r="B571" s="67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CF571" s="68"/>
    </row>
    <row r="572" spans="1:84" ht="17.399999999999999" x14ac:dyDescent="0.35">
      <c r="A572" s="67"/>
      <c r="B572" s="67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CF572" s="68"/>
    </row>
    <row r="573" spans="1:84" ht="17.399999999999999" x14ac:dyDescent="0.35">
      <c r="A573" s="67"/>
      <c r="B573" s="67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CF573" s="68"/>
    </row>
    <row r="574" spans="1:84" ht="17.399999999999999" x14ac:dyDescent="0.35">
      <c r="A574" s="67"/>
      <c r="B574" s="67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CF574" s="68"/>
    </row>
    <row r="575" spans="1:84" ht="17.399999999999999" x14ac:dyDescent="0.35">
      <c r="A575" s="67"/>
      <c r="B575" s="67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CF575" s="68"/>
    </row>
    <row r="576" spans="1:84" ht="17.399999999999999" x14ac:dyDescent="0.35">
      <c r="A576" s="67"/>
      <c r="B576" s="67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CF576" s="68"/>
    </row>
    <row r="577" spans="1:84" ht="17.399999999999999" x14ac:dyDescent="0.35">
      <c r="A577" s="67"/>
      <c r="B577" s="67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CF577" s="68"/>
    </row>
    <row r="578" spans="1:84" ht="17.399999999999999" x14ac:dyDescent="0.35">
      <c r="A578" s="67"/>
      <c r="B578" s="67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CF578" s="68"/>
    </row>
    <row r="579" spans="1:84" ht="17.399999999999999" x14ac:dyDescent="0.35">
      <c r="A579" s="67"/>
      <c r="B579" s="67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CF579" s="68"/>
    </row>
    <row r="580" spans="1:84" ht="17.399999999999999" x14ac:dyDescent="0.35">
      <c r="A580" s="67"/>
      <c r="B580" s="67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CF580" s="68"/>
    </row>
    <row r="581" spans="1:84" ht="17.399999999999999" x14ac:dyDescent="0.35">
      <c r="A581" s="67"/>
      <c r="B581" s="67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CF581" s="68"/>
    </row>
    <row r="582" spans="1:84" ht="17.399999999999999" x14ac:dyDescent="0.35">
      <c r="A582" s="67"/>
      <c r="B582" s="67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CF582" s="68"/>
    </row>
    <row r="583" spans="1:84" ht="17.399999999999999" x14ac:dyDescent="0.35">
      <c r="A583" s="67"/>
      <c r="B583" s="67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CF583" s="68"/>
    </row>
    <row r="584" spans="1:84" ht="17.399999999999999" x14ac:dyDescent="0.35">
      <c r="A584" s="67"/>
      <c r="B584" s="67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CF584" s="68"/>
    </row>
    <row r="585" spans="1:84" ht="17.399999999999999" x14ac:dyDescent="0.35">
      <c r="A585" s="67"/>
      <c r="B585" s="67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CF585" s="68"/>
    </row>
    <row r="586" spans="1:84" ht="17.399999999999999" x14ac:dyDescent="0.35">
      <c r="A586" s="67"/>
      <c r="B586" s="67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CF586" s="68"/>
    </row>
    <row r="587" spans="1:84" ht="17.399999999999999" x14ac:dyDescent="0.35">
      <c r="A587" s="67"/>
      <c r="B587" s="67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CF587" s="68"/>
    </row>
    <row r="588" spans="1:84" ht="17.399999999999999" x14ac:dyDescent="0.35">
      <c r="A588" s="67"/>
      <c r="B588" s="67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CF588" s="68"/>
    </row>
    <row r="589" spans="1:84" ht="17.399999999999999" x14ac:dyDescent="0.35">
      <c r="A589" s="67"/>
      <c r="B589" s="67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CF589" s="68"/>
    </row>
    <row r="590" spans="1:84" ht="17.399999999999999" x14ac:dyDescent="0.35">
      <c r="A590" s="67"/>
      <c r="B590" s="67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CF590" s="68"/>
    </row>
    <row r="591" spans="1:84" ht="17.399999999999999" x14ac:dyDescent="0.35">
      <c r="A591" s="67"/>
      <c r="B591" s="67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CF591" s="68"/>
    </row>
    <row r="592" spans="1:84" ht="17.399999999999999" x14ac:dyDescent="0.35">
      <c r="A592" s="67"/>
      <c r="B592" s="67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CF592" s="68"/>
    </row>
    <row r="593" spans="1:84" ht="17.399999999999999" x14ac:dyDescent="0.35">
      <c r="A593" s="67"/>
      <c r="B593" s="67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CF593" s="68"/>
    </row>
    <row r="594" spans="1:84" ht="17.399999999999999" x14ac:dyDescent="0.35">
      <c r="A594" s="67"/>
      <c r="B594" s="67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CF594" s="68"/>
    </row>
    <row r="595" spans="1:84" ht="17.399999999999999" x14ac:dyDescent="0.35">
      <c r="A595" s="67"/>
      <c r="B595" s="67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CF595" s="68"/>
    </row>
    <row r="596" spans="1:84" ht="17.399999999999999" x14ac:dyDescent="0.35">
      <c r="A596" s="67"/>
      <c r="B596" s="67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CF596" s="68"/>
    </row>
    <row r="597" spans="1:84" ht="17.399999999999999" x14ac:dyDescent="0.35">
      <c r="A597" s="67"/>
      <c r="B597" s="67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CF597" s="68"/>
    </row>
    <row r="598" spans="1:84" ht="17.399999999999999" x14ac:dyDescent="0.35">
      <c r="A598" s="67"/>
      <c r="B598" s="67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CF598" s="68"/>
    </row>
    <row r="599" spans="1:84" ht="17.399999999999999" x14ac:dyDescent="0.35">
      <c r="A599" s="67"/>
      <c r="B599" s="67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CF599" s="68"/>
    </row>
    <row r="600" spans="1:84" ht="17.399999999999999" x14ac:dyDescent="0.35">
      <c r="A600" s="67"/>
      <c r="B600" s="67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CF600" s="68"/>
    </row>
    <row r="601" spans="1:84" ht="17.399999999999999" x14ac:dyDescent="0.35">
      <c r="A601" s="67"/>
      <c r="B601" s="67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CF601" s="68"/>
    </row>
    <row r="602" spans="1:84" ht="17.399999999999999" x14ac:dyDescent="0.35">
      <c r="A602" s="67"/>
      <c r="B602" s="67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CF602" s="68"/>
    </row>
    <row r="603" spans="1:84" ht="17.399999999999999" x14ac:dyDescent="0.35">
      <c r="A603" s="67"/>
      <c r="B603" s="67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CF603" s="68"/>
    </row>
    <row r="604" spans="1:84" ht="17.399999999999999" x14ac:dyDescent="0.35">
      <c r="A604" s="67"/>
      <c r="B604" s="67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CF604" s="68"/>
    </row>
    <row r="605" spans="1:84" ht="17.399999999999999" x14ac:dyDescent="0.35">
      <c r="A605" s="67"/>
      <c r="B605" s="67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CF605" s="68"/>
    </row>
    <row r="606" spans="1:84" ht="17.399999999999999" x14ac:dyDescent="0.35">
      <c r="A606" s="67"/>
      <c r="B606" s="67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CF606" s="68"/>
    </row>
    <row r="607" spans="1:84" ht="17.399999999999999" x14ac:dyDescent="0.35">
      <c r="A607" s="67"/>
      <c r="B607" s="67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CF607" s="68"/>
    </row>
    <row r="608" spans="1:84" ht="17.399999999999999" x14ac:dyDescent="0.35">
      <c r="A608" s="67"/>
      <c r="B608" s="67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CF608" s="68"/>
    </row>
    <row r="609" spans="1:84" ht="17.399999999999999" x14ac:dyDescent="0.35">
      <c r="A609" s="67"/>
      <c r="B609" s="67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CF609" s="68"/>
    </row>
    <row r="610" spans="1:84" ht="17.399999999999999" x14ac:dyDescent="0.35">
      <c r="A610" s="67"/>
      <c r="B610" s="67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CF610" s="68"/>
    </row>
    <row r="611" spans="1:84" ht="17.399999999999999" x14ac:dyDescent="0.35">
      <c r="A611" s="67"/>
      <c r="B611" s="67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CF611" s="68"/>
    </row>
    <row r="612" spans="1:84" ht="17.399999999999999" x14ac:dyDescent="0.35">
      <c r="A612" s="67"/>
      <c r="B612" s="67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CF612" s="68"/>
    </row>
    <row r="613" spans="1:84" ht="17.399999999999999" x14ac:dyDescent="0.35">
      <c r="A613" s="67"/>
      <c r="B613" s="67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CF613" s="68"/>
    </row>
    <row r="614" spans="1:84" ht="17.399999999999999" x14ac:dyDescent="0.35">
      <c r="A614" s="67"/>
      <c r="B614" s="67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CF614" s="68"/>
    </row>
    <row r="615" spans="1:84" ht="17.399999999999999" x14ac:dyDescent="0.35">
      <c r="A615" s="67"/>
      <c r="B615" s="67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CF615" s="68"/>
    </row>
    <row r="616" spans="1:84" x14ac:dyDescent="0.3">
      <c r="A616" s="68"/>
      <c r="B616" s="68"/>
      <c r="C616" s="68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CF616" s="68"/>
    </row>
    <row r="617" spans="1:84" x14ac:dyDescent="0.3">
      <c r="A617" s="68"/>
      <c r="B617" s="68"/>
      <c r="C617" s="68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CF617" s="68"/>
    </row>
    <row r="618" spans="1:84" x14ac:dyDescent="0.3">
      <c r="A618" s="68"/>
      <c r="B618" s="68"/>
      <c r="C618" s="68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CF618" s="68"/>
    </row>
    <row r="619" spans="1:84" x14ac:dyDescent="0.3">
      <c r="A619" s="68"/>
      <c r="B619" s="68"/>
      <c r="C619" s="68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CF619" s="68"/>
    </row>
    <row r="620" spans="1:84" x14ac:dyDescent="0.3">
      <c r="A620" s="68"/>
      <c r="B620" s="68"/>
      <c r="C620" s="68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CF620" s="68"/>
    </row>
    <row r="621" spans="1:84" x14ac:dyDescent="0.3">
      <c r="A621" s="58"/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  <c r="AG621" s="58"/>
      <c r="AH621" s="79"/>
    </row>
    <row r="622" spans="1:84" x14ac:dyDescent="0.3">
      <c r="A622" s="57"/>
      <c r="B622" s="57"/>
      <c r="C622" s="57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79"/>
    </row>
    <row r="623" spans="1:84" x14ac:dyDescent="0.3">
      <c r="A623" s="57"/>
      <c r="B623" s="57"/>
      <c r="C623" s="57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79"/>
    </row>
    <row r="624" spans="1:84" x14ac:dyDescent="0.3">
      <c r="A624" s="57"/>
      <c r="B624" s="57"/>
      <c r="C624" s="57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79"/>
    </row>
    <row r="625" spans="1:34" x14ac:dyDescent="0.3">
      <c r="A625" s="57"/>
      <c r="B625" s="57"/>
      <c r="C625" s="57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79"/>
    </row>
    <row r="626" spans="1:34" x14ac:dyDescent="0.3">
      <c r="A626" s="57"/>
      <c r="B626" s="57"/>
      <c r="C626" s="57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79"/>
    </row>
    <row r="627" spans="1:34" x14ac:dyDescent="0.3">
      <c r="A627" s="57"/>
      <c r="B627" s="57"/>
      <c r="C627" s="57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79"/>
    </row>
  </sheetData>
  <mergeCells count="6">
    <mergeCell ref="A11:B12"/>
    <mergeCell ref="I6:O7"/>
    <mergeCell ref="L1:M1"/>
    <mergeCell ref="L2:M2"/>
    <mergeCell ref="L3:M3"/>
    <mergeCell ref="A1:B1"/>
  </mergeCells>
  <phoneticPr fontId="21" type="noConversion"/>
  <conditionalFormatting sqref="B6:B7">
    <cfRule type="cellIs" dxfId="553" priority="1820" operator="greaterThan">
      <formula>$N$3</formula>
    </cfRule>
  </conditionalFormatting>
  <conditionalFormatting sqref="N2">
    <cfRule type="cellIs" dxfId="552" priority="1821" operator="equal">
      <formula>$N$1</formula>
    </cfRule>
  </conditionalFormatting>
  <dataValidations count="1">
    <dataValidation type="list" allowBlank="1" showInputMessage="1" showErrorMessage="1" sqref="B4" xr:uid="{EFC7ADE7-A965-49D7-B17C-FCDA171337A1}">
      <formula1>$AH$1:$AH$11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1</xdr:col>
                    <xdr:colOff>106680</xdr:colOff>
                    <xdr:row>2</xdr:row>
                    <xdr:rowOff>38100</xdr:rowOff>
                  </from>
                  <to>
                    <xdr:col>1</xdr:col>
                    <xdr:colOff>1912620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1.events_on">
                <anchor moveWithCells="1" sizeWithCells="1">
                  <from>
                    <xdr:col>15</xdr:col>
                    <xdr:colOff>83820</xdr:colOff>
                    <xdr:row>0</xdr:row>
                    <xdr:rowOff>160020</xdr:rowOff>
                  </from>
                  <to>
                    <xdr:col>16</xdr:col>
                    <xdr:colOff>594360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1</xdr:col>
                    <xdr:colOff>83820</xdr:colOff>
                    <xdr:row>1</xdr:row>
                    <xdr:rowOff>22860</xdr:rowOff>
                  </from>
                  <to>
                    <xdr:col>1</xdr:col>
                    <xdr:colOff>2118360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4984B8DB-092C-44FE-BAE7-2C2BDE6EEF49}">
          <x14:formula1>
            <xm:f>Setups!$C$2:$C$100</xm:f>
          </x14:formula1>
          <xm:sqref>A1:B1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BB47-A0D1-4D06-90F3-D50948ABDCC9}">
  <sheetPr codeName="Sheet6"/>
  <dimension ref="A1:GH124"/>
  <sheetViews>
    <sheetView zoomScale="85" zoomScaleNormal="85" workbookViewId="0">
      <pane xSplit="22620" ySplit="1560" topLeftCell="FD8" activePane="bottomLeft"/>
      <selection pane="topRight" activeCell="EI1" sqref="EI1"/>
      <selection pane="bottomLeft" activeCell="Z3" sqref="Z3"/>
      <selection pane="bottomRight" activeCell="Z3" sqref="Z3"/>
    </sheetView>
  </sheetViews>
  <sheetFormatPr defaultRowHeight="14.4" x14ac:dyDescent="0.3"/>
  <cols>
    <col min="1" max="1" width="17.44140625" customWidth="1"/>
    <col min="2" max="2" width="96.6640625" customWidth="1"/>
    <col min="3" max="3" width="87.109375" customWidth="1"/>
    <col min="4" max="4" width="4.33203125" customWidth="1"/>
    <col min="5" max="14" width="4.109375" customWidth="1"/>
    <col min="15" max="23" width="1.44140625" customWidth="1"/>
    <col min="24" max="24" width="3.109375" customWidth="1"/>
    <col min="25" max="25" width="6.88671875" customWidth="1"/>
    <col min="56" max="57" width="11.109375" customWidth="1"/>
    <col min="59" max="59" width="12.33203125" customWidth="1"/>
    <col min="107" max="107" width="9.109375" style="72"/>
  </cols>
  <sheetData>
    <row r="1" spans="1:187" ht="28.8" x14ac:dyDescent="0.3">
      <c r="A1" t="e">
        <f>VALUE(Sheet1!B7)</f>
        <v>#VALUE!</v>
      </c>
      <c r="E1" t="s">
        <v>88</v>
      </c>
      <c r="O1" t="s">
        <v>37</v>
      </c>
      <c r="Z1" t="s">
        <v>80</v>
      </c>
      <c r="AC1" t="s">
        <v>291</v>
      </c>
      <c r="BC1">
        <f>COLUMN()</f>
        <v>55</v>
      </c>
      <c r="BD1" t="s">
        <v>324</v>
      </c>
      <c r="DB1">
        <f>COLUMN()</f>
        <v>106</v>
      </c>
      <c r="DD1" t="s">
        <v>292</v>
      </c>
      <c r="EH1" s="53" t="s">
        <v>77</v>
      </c>
      <c r="EI1">
        <f>COLUMN()</f>
        <v>139</v>
      </c>
      <c r="GE1">
        <f>COLUMN()</f>
        <v>187</v>
      </c>
    </row>
    <row r="2" spans="1:187" s="53" customFormat="1" ht="45.75" customHeight="1" x14ac:dyDescent="0.3">
      <c r="A2" s="53" t="s">
        <v>76</v>
      </c>
      <c r="B2" s="53" t="s">
        <v>75</v>
      </c>
      <c r="C2" s="53" t="s">
        <v>503</v>
      </c>
      <c r="D2" s="53" t="s">
        <v>87</v>
      </c>
      <c r="E2" s="53">
        <v>1</v>
      </c>
      <c r="F2" s="53">
        <v>2</v>
      </c>
      <c r="G2" s="53">
        <v>3</v>
      </c>
      <c r="H2" s="53">
        <v>4</v>
      </c>
      <c r="I2" s="53">
        <v>5</v>
      </c>
      <c r="J2" s="53">
        <v>6</v>
      </c>
      <c r="K2" s="53">
        <v>7</v>
      </c>
      <c r="L2" s="53">
        <v>8</v>
      </c>
      <c r="M2" s="53">
        <v>9</v>
      </c>
      <c r="N2" s="53">
        <v>10</v>
      </c>
      <c r="O2" s="53">
        <v>1</v>
      </c>
      <c r="P2" s="53">
        <v>2</v>
      </c>
      <c r="Q2" s="53">
        <v>3</v>
      </c>
      <c r="R2" s="53">
        <v>4</v>
      </c>
      <c r="S2" s="53">
        <v>5</v>
      </c>
      <c r="T2" s="53">
        <v>6</v>
      </c>
      <c r="U2" s="53">
        <v>7</v>
      </c>
      <c r="V2" s="53">
        <v>8</v>
      </c>
      <c r="W2" s="53">
        <v>9</v>
      </c>
      <c r="X2" s="53">
        <v>10</v>
      </c>
      <c r="Y2" s="53" t="s">
        <v>81</v>
      </c>
      <c r="Z2" s="69">
        <v>1</v>
      </c>
      <c r="AA2" s="69">
        <v>2</v>
      </c>
      <c r="AB2" s="69">
        <v>3</v>
      </c>
      <c r="AC2" s="69">
        <v>4</v>
      </c>
      <c r="AD2" s="69">
        <v>5</v>
      </c>
      <c r="AE2" s="69">
        <v>6</v>
      </c>
      <c r="AF2" s="69">
        <v>7</v>
      </c>
      <c r="AG2" s="69">
        <v>8</v>
      </c>
      <c r="AH2" s="69">
        <v>9</v>
      </c>
      <c r="AI2" s="69">
        <v>10</v>
      </c>
      <c r="AJ2" s="69">
        <v>11</v>
      </c>
      <c r="AK2" s="69">
        <v>12</v>
      </c>
      <c r="AL2" s="69">
        <v>13</v>
      </c>
      <c r="AM2" s="69">
        <v>14</v>
      </c>
      <c r="AN2" s="69">
        <v>15</v>
      </c>
      <c r="AO2" s="69">
        <v>16</v>
      </c>
      <c r="AP2" s="69">
        <v>17</v>
      </c>
      <c r="AQ2" s="69">
        <v>18</v>
      </c>
      <c r="AR2" s="69">
        <v>19</v>
      </c>
      <c r="AS2" s="69">
        <v>20</v>
      </c>
      <c r="AT2" s="69">
        <v>21</v>
      </c>
      <c r="AU2" s="69">
        <v>22</v>
      </c>
      <c r="AV2" s="69">
        <v>23</v>
      </c>
      <c r="AW2" s="69">
        <v>24</v>
      </c>
      <c r="AX2" s="69">
        <v>25</v>
      </c>
      <c r="AY2" s="69">
        <v>26</v>
      </c>
      <c r="AZ2" s="69">
        <v>27</v>
      </c>
      <c r="BA2" s="69">
        <v>28</v>
      </c>
      <c r="BB2" s="69">
        <v>29</v>
      </c>
      <c r="BC2" s="69">
        <v>30</v>
      </c>
      <c r="BD2" s="69">
        <v>1</v>
      </c>
      <c r="BE2" s="69">
        <v>2</v>
      </c>
      <c r="BF2" s="69">
        <v>3</v>
      </c>
      <c r="BG2" s="69">
        <v>4</v>
      </c>
      <c r="BH2" s="69">
        <v>5</v>
      </c>
      <c r="BI2" s="69">
        <v>6</v>
      </c>
      <c r="BJ2" s="69">
        <v>7</v>
      </c>
      <c r="BK2" s="69">
        <v>8</v>
      </c>
      <c r="BL2" s="69">
        <v>9</v>
      </c>
      <c r="BM2" s="69">
        <v>10</v>
      </c>
      <c r="BN2" s="69">
        <v>11</v>
      </c>
      <c r="BO2" s="69">
        <v>12</v>
      </c>
      <c r="BP2" s="69">
        <v>13</v>
      </c>
      <c r="BQ2" s="69">
        <v>14</v>
      </c>
      <c r="BR2" s="69">
        <v>15</v>
      </c>
      <c r="BS2" s="69">
        <v>16</v>
      </c>
      <c r="BT2" s="69">
        <v>17</v>
      </c>
      <c r="BU2" s="69">
        <v>18</v>
      </c>
      <c r="BV2" s="69">
        <v>19</v>
      </c>
      <c r="BW2" s="69">
        <v>20</v>
      </c>
      <c r="BX2" s="69">
        <v>21</v>
      </c>
      <c r="BY2" s="69">
        <v>22</v>
      </c>
      <c r="BZ2" s="69">
        <v>23</v>
      </c>
      <c r="CA2" s="69">
        <v>24</v>
      </c>
      <c r="CB2" s="69">
        <v>25</v>
      </c>
      <c r="CC2" s="69">
        <v>26</v>
      </c>
      <c r="CD2" s="69">
        <v>27</v>
      </c>
      <c r="CE2" s="69">
        <v>28</v>
      </c>
      <c r="CF2" s="69">
        <v>29</v>
      </c>
      <c r="CG2" s="69">
        <v>30</v>
      </c>
      <c r="CH2" s="69">
        <v>31</v>
      </c>
      <c r="CI2" s="69">
        <v>32</v>
      </c>
      <c r="CJ2" s="69">
        <v>33</v>
      </c>
      <c r="CK2" s="69">
        <v>34</v>
      </c>
      <c r="CL2" s="69">
        <v>35</v>
      </c>
      <c r="CM2" s="69">
        <v>36</v>
      </c>
      <c r="CN2" s="69">
        <v>37</v>
      </c>
      <c r="CO2" s="69">
        <v>38</v>
      </c>
      <c r="CP2" s="69">
        <v>39</v>
      </c>
      <c r="CQ2" s="69">
        <v>40</v>
      </c>
      <c r="CR2" s="69">
        <v>41</v>
      </c>
      <c r="CS2" s="69">
        <v>42</v>
      </c>
      <c r="CT2" s="69">
        <v>43</v>
      </c>
      <c r="CU2" s="69">
        <v>44</v>
      </c>
      <c r="CV2" s="69">
        <v>45</v>
      </c>
      <c r="CW2" s="69">
        <v>46</v>
      </c>
      <c r="CX2" s="69">
        <v>47</v>
      </c>
      <c r="CY2" s="69">
        <v>48</v>
      </c>
      <c r="CZ2" s="69">
        <v>49</v>
      </c>
      <c r="DA2" s="69">
        <v>50</v>
      </c>
      <c r="DB2" s="69">
        <v>51</v>
      </c>
      <c r="DC2" s="73"/>
      <c r="DD2" s="53">
        <v>1</v>
      </c>
      <c r="DE2" s="53">
        <v>2</v>
      </c>
      <c r="DF2" s="53">
        <v>3</v>
      </c>
      <c r="DG2" s="53">
        <v>4</v>
      </c>
      <c r="DH2" s="53">
        <v>5</v>
      </c>
      <c r="DI2" s="53">
        <v>6</v>
      </c>
      <c r="DJ2" s="53">
        <v>7</v>
      </c>
      <c r="DK2" s="53">
        <v>8</v>
      </c>
      <c r="DL2" s="53">
        <v>9</v>
      </c>
      <c r="DM2" s="53">
        <v>10</v>
      </c>
      <c r="DN2" s="53">
        <v>11</v>
      </c>
      <c r="DO2" s="53">
        <v>12</v>
      </c>
      <c r="DP2" s="53">
        <v>13</v>
      </c>
      <c r="DQ2" s="53">
        <v>14</v>
      </c>
      <c r="DR2" s="53">
        <v>15</v>
      </c>
      <c r="DS2" s="53">
        <v>16</v>
      </c>
      <c r="DT2" s="53">
        <v>17</v>
      </c>
      <c r="DU2" s="53">
        <v>18</v>
      </c>
      <c r="DV2" s="53">
        <v>19</v>
      </c>
      <c r="DW2" s="53">
        <v>20</v>
      </c>
      <c r="DX2" s="53">
        <v>21</v>
      </c>
      <c r="DY2" s="53">
        <v>22</v>
      </c>
      <c r="DZ2" s="53">
        <v>23</v>
      </c>
      <c r="EA2" s="53">
        <v>24</v>
      </c>
      <c r="EB2" s="53">
        <v>25</v>
      </c>
      <c r="EC2" s="53">
        <v>26</v>
      </c>
      <c r="ED2" s="53">
        <v>27</v>
      </c>
      <c r="EE2" s="53">
        <v>28</v>
      </c>
      <c r="EF2" s="53">
        <v>29</v>
      </c>
      <c r="EG2" s="53">
        <v>30</v>
      </c>
      <c r="EH2" s="53">
        <v>1</v>
      </c>
      <c r="EI2" s="53">
        <v>2</v>
      </c>
      <c r="EJ2" s="53">
        <v>3</v>
      </c>
      <c r="EK2" s="53">
        <v>4</v>
      </c>
      <c r="EL2" s="53">
        <v>5</v>
      </c>
      <c r="EM2" s="53">
        <v>6</v>
      </c>
      <c r="EN2" s="53">
        <v>7</v>
      </c>
      <c r="EO2" s="53">
        <v>8</v>
      </c>
      <c r="EP2" s="53">
        <v>9</v>
      </c>
      <c r="EQ2" s="53">
        <v>10</v>
      </c>
      <c r="ER2" s="53">
        <v>11</v>
      </c>
      <c r="ES2" s="53">
        <v>12</v>
      </c>
      <c r="ET2" s="53">
        <v>13</v>
      </c>
      <c r="EU2" s="53">
        <v>14</v>
      </c>
      <c r="EV2" s="53">
        <v>15</v>
      </c>
      <c r="EW2" s="53">
        <v>16</v>
      </c>
      <c r="EX2" s="53">
        <v>17</v>
      </c>
      <c r="EY2" s="53">
        <v>18</v>
      </c>
      <c r="EZ2" s="53">
        <v>19</v>
      </c>
      <c r="FA2" s="53">
        <v>20</v>
      </c>
      <c r="FB2" s="53">
        <v>21</v>
      </c>
      <c r="FC2" s="53">
        <v>22</v>
      </c>
      <c r="FD2" s="53">
        <v>23</v>
      </c>
      <c r="FE2" s="53">
        <v>24</v>
      </c>
      <c r="FF2" s="53">
        <v>25</v>
      </c>
      <c r="FG2" s="53">
        <v>26</v>
      </c>
      <c r="FH2" s="53">
        <v>27</v>
      </c>
      <c r="FI2" s="53">
        <v>28</v>
      </c>
      <c r="FJ2" s="53">
        <v>29</v>
      </c>
      <c r="FK2" s="53">
        <v>30</v>
      </c>
      <c r="FL2" s="53">
        <v>31</v>
      </c>
      <c r="FM2" s="53">
        <v>32</v>
      </c>
      <c r="FN2" s="53">
        <v>33</v>
      </c>
      <c r="FO2" s="53">
        <v>34</v>
      </c>
      <c r="FP2" s="53">
        <v>35</v>
      </c>
      <c r="FQ2" s="53">
        <v>36</v>
      </c>
      <c r="FR2" s="53">
        <v>37</v>
      </c>
      <c r="FS2" s="53">
        <v>38</v>
      </c>
      <c r="FT2" s="53">
        <v>39</v>
      </c>
      <c r="FU2" s="53">
        <v>40</v>
      </c>
      <c r="FV2" s="53">
        <v>41</v>
      </c>
      <c r="FW2" s="53">
        <v>42</v>
      </c>
      <c r="FX2" s="53">
        <v>43</v>
      </c>
      <c r="FY2" s="53">
        <v>44</v>
      </c>
      <c r="FZ2" s="53">
        <v>45</v>
      </c>
      <c r="GA2" s="53">
        <v>46</v>
      </c>
      <c r="GB2" s="53">
        <v>47</v>
      </c>
      <c r="GC2" s="53">
        <v>48</v>
      </c>
      <c r="GD2" s="53">
        <v>49</v>
      </c>
      <c r="GE2" s="53">
        <v>50</v>
      </c>
    </row>
    <row r="3" spans="1:187" ht="18.600000000000001" thickBot="1" x14ac:dyDescent="0.4">
      <c r="A3" s="59">
        <v>1</v>
      </c>
      <c r="B3" s="59" t="s">
        <v>270</v>
      </c>
      <c r="C3" s="86" t="str">
        <f>CONCATENATE(A3,": ",B3)</f>
        <v>1: one-off 'single list' weighing</v>
      </c>
      <c r="D3" s="60">
        <f>COUNT(E3:X3)</f>
        <v>1</v>
      </c>
      <c r="E3" s="59">
        <v>1</v>
      </c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61">
        <f>COUNTA(Z3:BC3)</f>
        <v>1</v>
      </c>
      <c r="Z3" s="66" t="s">
        <v>123</v>
      </c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71" t="s">
        <v>123</v>
      </c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  <c r="CC3" s="71"/>
      <c r="CD3" s="71"/>
      <c r="CE3" s="71"/>
      <c r="CF3" s="71"/>
      <c r="CG3" s="71"/>
      <c r="CH3" s="71"/>
      <c r="CI3" s="71"/>
      <c r="CJ3" s="71"/>
      <c r="CK3" s="71"/>
      <c r="CL3" s="71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4">
        <f>A3</f>
        <v>1</v>
      </c>
    </row>
    <row r="4" spans="1:187" ht="15.6" thickTop="1" thickBot="1" x14ac:dyDescent="0.35">
      <c r="A4" s="62">
        <f>A3+1</f>
        <v>2</v>
      </c>
      <c r="B4" s="62" t="s">
        <v>280</v>
      </c>
      <c r="C4" s="62" t="str">
        <f t="shared" ref="C4:C65" si="0">CONCATENATE(A4,": ",B4)</f>
        <v>2: weigh 1 &gt; weigh 2 &gt; weigh 3 &gt; weigh 4 &gt; weigh 5 &gt; weigh 6</v>
      </c>
      <c r="D4" s="63">
        <f>COUNT(E4:X4)</f>
        <v>6</v>
      </c>
      <c r="E4" s="62">
        <v>1</v>
      </c>
      <c r="F4" s="62">
        <v>2</v>
      </c>
      <c r="G4" s="62">
        <v>3</v>
      </c>
      <c r="H4" s="62">
        <v>4</v>
      </c>
      <c r="I4" s="62">
        <v>5</v>
      </c>
      <c r="J4" s="62">
        <v>6</v>
      </c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4">
        <f t="shared" ref="Y4:Y6" si="1">COUNTA(Z4:BC4)</f>
        <v>6</v>
      </c>
      <c r="Z4" s="66" t="s">
        <v>124</v>
      </c>
      <c r="AA4" s="66" t="s">
        <v>125</v>
      </c>
      <c r="AB4" s="66" t="s">
        <v>126</v>
      </c>
      <c r="AC4" s="66" t="s">
        <v>127</v>
      </c>
      <c r="AD4" s="66" t="s">
        <v>281</v>
      </c>
      <c r="AE4" s="66" t="s">
        <v>282</v>
      </c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71" t="s">
        <v>325</v>
      </c>
      <c r="BE4" s="71" t="s">
        <v>326</v>
      </c>
      <c r="BF4" s="71" t="s">
        <v>327</v>
      </c>
      <c r="BG4" s="71" t="s">
        <v>328</v>
      </c>
      <c r="BH4" s="71" t="s">
        <v>329</v>
      </c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4">
        <f t="shared" ref="DC4:DC65" si="2">A4</f>
        <v>2</v>
      </c>
      <c r="DD4">
        <v>10</v>
      </c>
      <c r="DE4">
        <v>12</v>
      </c>
      <c r="DF4">
        <v>14</v>
      </c>
      <c r="DG4">
        <v>16</v>
      </c>
      <c r="DH4">
        <v>18</v>
      </c>
      <c r="DI4">
        <v>20</v>
      </c>
      <c r="EH4">
        <f>DE4-DD4</f>
        <v>2</v>
      </c>
      <c r="EI4">
        <f>DF4-DE4</f>
        <v>2</v>
      </c>
      <c r="EJ4">
        <f>DG4-DF4</f>
        <v>2</v>
      </c>
      <c r="EK4">
        <f>DH4-DG4</f>
        <v>2</v>
      </c>
      <c r="EL4">
        <f>DI4-DH4</f>
        <v>2</v>
      </c>
    </row>
    <row r="5" spans="1:187" ht="15.6" thickTop="1" thickBot="1" x14ac:dyDescent="0.35">
      <c r="A5" s="62">
        <f t="shared" ref="A5:A67" si="3">A4+1</f>
        <v>3</v>
      </c>
      <c r="B5" s="62" t="s">
        <v>78</v>
      </c>
      <c r="C5" s="62" t="str">
        <f t="shared" si="0"/>
        <v>3: weigh 1 » weigh 2 (together) &gt; then later weigh 3</v>
      </c>
      <c r="D5" s="63">
        <f t="shared" ref="D5:D67" si="4">COUNT(E5:X5)</f>
        <v>2</v>
      </c>
      <c r="E5" s="62">
        <v>1</v>
      </c>
      <c r="F5" s="62">
        <v>3</v>
      </c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4">
        <f t="shared" si="1"/>
        <v>3</v>
      </c>
      <c r="Z5" s="66" t="s">
        <v>124</v>
      </c>
      <c r="AA5" s="66" t="s">
        <v>125</v>
      </c>
      <c r="AB5" s="66" t="s">
        <v>126</v>
      </c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71" t="s">
        <v>325</v>
      </c>
      <c r="BE5" s="71" t="s">
        <v>326</v>
      </c>
      <c r="BF5" s="71" t="s">
        <v>325</v>
      </c>
      <c r="BG5" s="71" t="s">
        <v>449</v>
      </c>
      <c r="BH5" s="71"/>
      <c r="BI5" s="71"/>
      <c r="BJ5" s="71"/>
      <c r="BK5" s="71"/>
      <c r="BL5" s="71"/>
      <c r="BM5" s="71"/>
      <c r="BN5" s="71"/>
      <c r="BO5" s="71"/>
      <c r="BP5" s="71"/>
      <c r="BQ5" s="71"/>
      <c r="BR5" s="71"/>
      <c r="BS5" s="71"/>
      <c r="BT5" s="71"/>
      <c r="BU5" s="71"/>
      <c r="BV5" s="71"/>
      <c r="BW5" s="71"/>
      <c r="BX5" s="71"/>
      <c r="BY5" s="71"/>
      <c r="BZ5" s="71"/>
      <c r="CA5" s="71"/>
      <c r="CB5" s="71"/>
      <c r="CC5" s="71"/>
      <c r="CD5" s="71"/>
      <c r="CE5" s="71"/>
      <c r="CF5" s="71"/>
      <c r="CG5" s="71"/>
      <c r="CH5" s="71"/>
      <c r="CI5" s="71"/>
      <c r="CJ5" s="71"/>
      <c r="CK5" s="71"/>
      <c r="CL5" s="71"/>
      <c r="CM5" s="71"/>
      <c r="CN5" s="71"/>
      <c r="CO5" s="71"/>
      <c r="CP5" s="71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4">
        <f t="shared" si="2"/>
        <v>3</v>
      </c>
      <c r="DD5">
        <v>10</v>
      </c>
      <c r="DE5">
        <v>12</v>
      </c>
      <c r="DF5">
        <v>14</v>
      </c>
      <c r="EH5">
        <f>DE5-DD5</f>
        <v>2</v>
      </c>
      <c r="EI5">
        <f>DF5-DE5</f>
        <v>2</v>
      </c>
      <c r="EJ5">
        <f>DE5-DD5</f>
        <v>2</v>
      </c>
      <c r="EK5">
        <f>DF5-DE5</f>
        <v>2</v>
      </c>
    </row>
    <row r="6" spans="1:187" ht="15.6" thickTop="1" thickBot="1" x14ac:dyDescent="0.35">
      <c r="A6" s="62">
        <f t="shared" si="3"/>
        <v>4</v>
      </c>
      <c r="B6" s="62" t="s">
        <v>271</v>
      </c>
      <c r="C6" s="62" t="str">
        <f t="shared" si="0"/>
        <v>4: weigh 1 &gt; then weigh 2 » weigh 3 (2&amp;3 together later)</v>
      </c>
      <c r="D6" s="63">
        <f t="shared" si="4"/>
        <v>2</v>
      </c>
      <c r="E6" s="65">
        <v>1</v>
      </c>
      <c r="F6" s="65">
        <v>2</v>
      </c>
      <c r="G6" s="65"/>
      <c r="H6" s="65"/>
      <c r="I6" s="65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4">
        <f t="shared" si="1"/>
        <v>3</v>
      </c>
      <c r="Z6" s="66" t="s">
        <v>124</v>
      </c>
      <c r="AA6" s="66" t="s">
        <v>125</v>
      </c>
      <c r="AB6" s="66" t="s">
        <v>126</v>
      </c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71" t="s">
        <v>325</v>
      </c>
      <c r="BE6" s="71" t="s">
        <v>326</v>
      </c>
      <c r="BF6" s="71" t="s">
        <v>325</v>
      </c>
      <c r="BG6" s="71" t="s">
        <v>449</v>
      </c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71"/>
      <c r="BV6" s="71"/>
      <c r="BW6" s="71"/>
      <c r="BX6" s="71"/>
      <c r="BY6" s="71"/>
      <c r="BZ6" s="71"/>
      <c r="CA6" s="71"/>
      <c r="CB6" s="71"/>
      <c r="CC6" s="71"/>
      <c r="CD6" s="71"/>
      <c r="CE6" s="71"/>
      <c r="CF6" s="71"/>
      <c r="CG6" s="71"/>
      <c r="CH6" s="71"/>
      <c r="CI6" s="71"/>
      <c r="CJ6" s="71"/>
      <c r="CK6" s="71"/>
      <c r="CL6" s="71"/>
      <c r="CM6" s="71"/>
      <c r="CN6" s="71"/>
      <c r="CO6" s="71"/>
      <c r="CP6" s="71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4">
        <f t="shared" si="2"/>
        <v>4</v>
      </c>
      <c r="DD6">
        <v>10</v>
      </c>
      <c r="DE6">
        <v>12</v>
      </c>
      <c r="DF6">
        <v>14</v>
      </c>
      <c r="EH6">
        <f>DE6-DD6</f>
        <v>2</v>
      </c>
      <c r="EI6">
        <f>DF6-DE6</f>
        <v>2</v>
      </c>
      <c r="EJ6">
        <f>DE6-DD6</f>
        <v>2</v>
      </c>
      <c r="EK6">
        <f>DE6-DF6</f>
        <v>-2</v>
      </c>
    </row>
    <row r="7" spans="1:187" ht="15.6" thickTop="1" thickBot="1" x14ac:dyDescent="0.35">
      <c r="A7" s="62">
        <f t="shared" si="3"/>
        <v>5</v>
      </c>
      <c r="B7" s="62" t="s">
        <v>330</v>
      </c>
      <c r="C7" s="62" t="str">
        <f t="shared" si="0"/>
        <v>5: weigh 1 » weigh 2 (together) &gt; then later reweigh 1 » weight 2</v>
      </c>
      <c r="D7" s="63">
        <f t="shared" si="4"/>
        <v>2</v>
      </c>
      <c r="E7" s="62">
        <v>1</v>
      </c>
      <c r="F7" s="62">
        <v>3</v>
      </c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4">
        <f>COUNTA(Z7:BC7)</f>
        <v>4</v>
      </c>
      <c r="Z7" s="66" t="s">
        <v>124</v>
      </c>
      <c r="AA7" s="66" t="s">
        <v>125</v>
      </c>
      <c r="AB7" s="66" t="s">
        <v>331</v>
      </c>
      <c r="AC7" s="66" t="s">
        <v>332</v>
      </c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71" t="s">
        <v>333</v>
      </c>
      <c r="BE7" s="71" t="s">
        <v>334</v>
      </c>
      <c r="BF7" s="71" t="s">
        <v>454</v>
      </c>
      <c r="BG7" s="71" t="s">
        <v>455</v>
      </c>
      <c r="BH7" s="71" t="s">
        <v>450</v>
      </c>
      <c r="BI7" s="71" t="s">
        <v>451</v>
      </c>
      <c r="BJ7" s="71" t="s">
        <v>452</v>
      </c>
      <c r="BK7" s="71" t="s">
        <v>453</v>
      </c>
      <c r="BL7" s="71"/>
      <c r="BM7" s="71"/>
      <c r="BN7" s="71"/>
      <c r="BO7" s="71"/>
      <c r="BP7" s="71"/>
      <c r="BQ7" s="71"/>
      <c r="BR7" s="71"/>
      <c r="BS7" s="71"/>
      <c r="BT7" s="71"/>
      <c r="BU7" s="71"/>
      <c r="BV7" s="71"/>
      <c r="BW7" s="71"/>
      <c r="BX7" s="71"/>
      <c r="BY7" s="71"/>
      <c r="BZ7" s="71"/>
      <c r="CA7" s="71"/>
      <c r="CB7" s="71"/>
      <c r="CC7" s="71"/>
      <c r="CD7" s="71"/>
      <c r="CE7" s="71"/>
      <c r="CF7" s="71"/>
      <c r="CG7" s="71"/>
      <c r="CH7" s="71"/>
      <c r="CI7" s="71"/>
      <c r="CJ7" s="71"/>
      <c r="CK7" s="71"/>
      <c r="CL7" s="71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4">
        <f t="shared" si="2"/>
        <v>5</v>
      </c>
      <c r="DD7">
        <v>10</v>
      </c>
      <c r="DE7">
        <v>12</v>
      </c>
      <c r="DF7">
        <v>14</v>
      </c>
      <c r="DG7">
        <v>16</v>
      </c>
      <c r="EH7">
        <f>DF7-DD7</f>
        <v>4</v>
      </c>
      <c r="EI7">
        <f>DG7-DE7</f>
        <v>4</v>
      </c>
      <c r="EJ7">
        <f>EH7/DD7*100</f>
        <v>40</v>
      </c>
      <c r="EK7">
        <f>EI7/DE7*100</f>
        <v>33.333333333333329</v>
      </c>
      <c r="EL7">
        <f>DD7-DF7</f>
        <v>-4</v>
      </c>
      <c r="EM7">
        <f>DE7-DG7</f>
        <v>-4</v>
      </c>
      <c r="EN7">
        <f>DD7/DF7*100</f>
        <v>71.428571428571431</v>
      </c>
      <c r="EO7">
        <f>DE7/DG7*100</f>
        <v>75</v>
      </c>
    </row>
    <row r="8" spans="1:187" ht="15.6" thickTop="1" thickBot="1" x14ac:dyDescent="0.35">
      <c r="A8" s="62">
        <f t="shared" si="3"/>
        <v>6</v>
      </c>
      <c r="B8" s="97" t="s">
        <v>272</v>
      </c>
      <c r="C8" s="62" t="str">
        <f t="shared" si="0"/>
        <v>6: soil moisture (weigh wet &gt; weigh dry &gt; weigh soil tin)</v>
      </c>
      <c r="D8" s="63">
        <f t="shared" si="4"/>
        <v>3</v>
      </c>
      <c r="E8" s="62">
        <v>1</v>
      </c>
      <c r="F8" s="62">
        <v>2</v>
      </c>
      <c r="G8" s="62">
        <v>3</v>
      </c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4">
        <f t="shared" ref="Y8:Y68" si="5">COUNTA(Z8:BC8)</f>
        <v>3</v>
      </c>
      <c r="Z8" s="66" t="s">
        <v>128</v>
      </c>
      <c r="AA8" s="66" t="s">
        <v>129</v>
      </c>
      <c r="AB8" s="66" t="s">
        <v>130</v>
      </c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71" t="s">
        <v>335</v>
      </c>
      <c r="BE8" s="71" t="s">
        <v>336</v>
      </c>
      <c r="BF8" s="71" t="s">
        <v>337</v>
      </c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71"/>
      <c r="BV8" s="71"/>
      <c r="BW8" s="71"/>
      <c r="BX8" s="71"/>
      <c r="BY8" s="71"/>
      <c r="BZ8" s="71"/>
      <c r="CA8" s="71"/>
      <c r="CB8" s="71"/>
      <c r="CC8" s="71"/>
      <c r="CD8" s="71"/>
      <c r="CE8" s="71"/>
      <c r="CF8" s="71"/>
      <c r="CG8" s="71"/>
      <c r="CH8" s="71"/>
      <c r="CI8" s="71"/>
      <c r="CJ8" s="71"/>
      <c r="CK8" s="71"/>
      <c r="CL8" s="71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4">
        <f t="shared" si="2"/>
        <v>6</v>
      </c>
      <c r="DD8">
        <v>100</v>
      </c>
      <c r="DE8">
        <v>80</v>
      </c>
      <c r="DF8">
        <v>10</v>
      </c>
      <c r="EH8">
        <f>(DD8-DF8)-(DE8-DF8)</f>
        <v>20</v>
      </c>
      <c r="EI8">
        <f>DE8-DF8</f>
        <v>70</v>
      </c>
      <c r="EJ8">
        <f>EH8/EI8*100</f>
        <v>28.571428571428569</v>
      </c>
    </row>
    <row r="9" spans="1:187" ht="15.6" thickTop="1" thickBot="1" x14ac:dyDescent="0.35">
      <c r="A9" s="62">
        <f t="shared" si="3"/>
        <v>7</v>
      </c>
      <c r="B9" s="97" t="s">
        <v>285</v>
      </c>
      <c r="C9" s="62" t="str">
        <f t="shared" si="0"/>
        <v>7: soil moisture sub-sample in  empty phial (empty»wet &gt; dry)</v>
      </c>
      <c r="D9" s="63">
        <f t="shared" si="4"/>
        <v>2</v>
      </c>
      <c r="E9" s="62">
        <v>1</v>
      </c>
      <c r="F9" s="62">
        <v>3</v>
      </c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4">
        <f t="shared" si="5"/>
        <v>3</v>
      </c>
      <c r="Z9" s="66" t="s">
        <v>131</v>
      </c>
      <c r="AA9" s="66" t="s">
        <v>132</v>
      </c>
      <c r="AB9" s="66" t="s">
        <v>133</v>
      </c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71" t="s">
        <v>335</v>
      </c>
      <c r="BE9" s="71" t="s">
        <v>336</v>
      </c>
      <c r="BF9" s="71" t="s">
        <v>337</v>
      </c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  <c r="BR9" s="71"/>
      <c r="BS9" s="71"/>
      <c r="BT9" s="71"/>
      <c r="BU9" s="71"/>
      <c r="BV9" s="71"/>
      <c r="BW9" s="71"/>
      <c r="BX9" s="71"/>
      <c r="BY9" s="71"/>
      <c r="BZ9" s="71"/>
      <c r="CA9" s="71"/>
      <c r="CB9" s="71"/>
      <c r="CC9" s="71"/>
      <c r="CD9" s="71"/>
      <c r="CE9" s="71"/>
      <c r="CF9" s="71"/>
      <c r="CG9" s="71"/>
      <c r="CH9" s="71"/>
      <c r="CI9" s="71"/>
      <c r="CJ9" s="71"/>
      <c r="CK9" s="71"/>
      <c r="CL9" s="71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4">
        <f t="shared" si="2"/>
        <v>7</v>
      </c>
      <c r="DD9">
        <v>50</v>
      </c>
      <c r="DE9">
        <v>150</v>
      </c>
      <c r="DF9">
        <v>120</v>
      </c>
      <c r="EH9">
        <f t="shared" ref="EH9:EH25" si="6">DE9-DD9</f>
        <v>100</v>
      </c>
      <c r="EI9">
        <f t="shared" ref="EI9:EI15" si="7">DF9-DD9</f>
        <v>70</v>
      </c>
      <c r="EJ9">
        <f>EH9/EI9*100</f>
        <v>142.85714285714286</v>
      </c>
    </row>
    <row r="10" spans="1:187" ht="15.6" thickTop="1" thickBot="1" x14ac:dyDescent="0.35">
      <c r="A10" s="62">
        <f t="shared" si="3"/>
        <v>8</v>
      </c>
      <c r="B10" s="97" t="s">
        <v>273</v>
      </c>
      <c r="C10" s="62" t="str">
        <f t="shared" si="0"/>
        <v>8: soil mositure then organic matter @550  (empty»wet &gt; dry &gt; burnt)</v>
      </c>
      <c r="D10" s="63">
        <f t="shared" si="4"/>
        <v>3</v>
      </c>
      <c r="E10" s="62">
        <v>1</v>
      </c>
      <c r="F10" s="62">
        <v>3</v>
      </c>
      <c r="G10" s="62">
        <v>4</v>
      </c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4">
        <f t="shared" si="5"/>
        <v>4</v>
      </c>
      <c r="Z10" s="66" t="s">
        <v>131</v>
      </c>
      <c r="AA10" s="66" t="s">
        <v>132</v>
      </c>
      <c r="AB10" s="66" t="s">
        <v>134</v>
      </c>
      <c r="AC10" s="66" t="s">
        <v>135</v>
      </c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71" t="s">
        <v>335</v>
      </c>
      <c r="BE10" s="71" t="s">
        <v>336</v>
      </c>
      <c r="BF10" s="71" t="s">
        <v>337</v>
      </c>
      <c r="BG10" s="71" t="s">
        <v>338</v>
      </c>
      <c r="BH10" s="71" t="s">
        <v>339</v>
      </c>
      <c r="BI10" s="71" t="s">
        <v>340</v>
      </c>
      <c r="BJ10" s="71"/>
      <c r="BK10" s="71"/>
      <c r="BL10" s="71"/>
      <c r="BM10" s="71"/>
      <c r="BN10" s="71"/>
      <c r="BO10" s="71"/>
      <c r="BP10" s="71"/>
      <c r="BQ10" s="71"/>
      <c r="BR10" s="71"/>
      <c r="BS10" s="71"/>
      <c r="BT10" s="71"/>
      <c r="BU10" s="71"/>
      <c r="BV10" s="71"/>
      <c r="BW10" s="71"/>
      <c r="BX10" s="71"/>
      <c r="BY10" s="71"/>
      <c r="BZ10" s="71"/>
      <c r="CA10" s="71"/>
      <c r="CB10" s="71"/>
      <c r="CC10" s="71"/>
      <c r="CD10" s="71"/>
      <c r="CE10" s="71"/>
      <c r="CF10" s="71"/>
      <c r="CG10" s="71"/>
      <c r="CH10" s="71"/>
      <c r="CI10" s="71"/>
      <c r="CJ10" s="71"/>
      <c r="CK10" s="71"/>
      <c r="CL10" s="71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4">
        <f t="shared" si="2"/>
        <v>8</v>
      </c>
      <c r="DD10">
        <v>50</v>
      </c>
      <c r="DE10">
        <v>150</v>
      </c>
      <c r="DF10">
        <v>120</v>
      </c>
      <c r="DG10">
        <v>110</v>
      </c>
      <c r="EH10">
        <f t="shared" si="6"/>
        <v>100</v>
      </c>
      <c r="EI10">
        <f t="shared" si="7"/>
        <v>70</v>
      </c>
      <c r="EJ10">
        <f t="shared" ref="EJ10:EJ15" si="8">EH10/EI10*100</f>
        <v>142.85714285714286</v>
      </c>
      <c r="EK10">
        <f t="shared" ref="EK10:EK15" si="9">DG10-DD10</f>
        <v>60</v>
      </c>
      <c r="EL10">
        <f>EI10-EK10</f>
        <v>10</v>
      </c>
      <c r="EM10">
        <f>EL10/EI10*100</f>
        <v>14.285714285714285</v>
      </c>
    </row>
    <row r="11" spans="1:187" ht="15.6" thickTop="1" thickBot="1" x14ac:dyDescent="0.35">
      <c r="A11" s="62">
        <f t="shared" si="3"/>
        <v>9</v>
      </c>
      <c r="B11" s="97" t="s">
        <v>98</v>
      </c>
      <c r="C11" s="62" t="str">
        <f t="shared" si="0"/>
        <v>9: soil mositure then organic matter   (empty &gt; wet &gt; dry &gt; burnt)</v>
      </c>
      <c r="D11" s="63">
        <f t="shared" si="4"/>
        <v>4</v>
      </c>
      <c r="E11" s="62">
        <v>1</v>
      </c>
      <c r="F11" s="62">
        <v>2</v>
      </c>
      <c r="G11" s="62">
        <v>3</v>
      </c>
      <c r="H11" s="62">
        <v>4</v>
      </c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4">
        <f>COUNTA(Z11:BC11)</f>
        <v>4</v>
      </c>
      <c r="Z11" s="66" t="s">
        <v>131</v>
      </c>
      <c r="AA11" s="66" t="s">
        <v>132</v>
      </c>
      <c r="AB11" s="66" t="s">
        <v>134</v>
      </c>
      <c r="AC11" s="66" t="s">
        <v>135</v>
      </c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71" t="s">
        <v>335</v>
      </c>
      <c r="BE11" s="71" t="s">
        <v>336</v>
      </c>
      <c r="BF11" s="71" t="s">
        <v>337</v>
      </c>
      <c r="BG11" s="71" t="s">
        <v>338</v>
      </c>
      <c r="BH11" s="71" t="s">
        <v>339</v>
      </c>
      <c r="BI11" s="71" t="s">
        <v>340</v>
      </c>
      <c r="BJ11" s="71"/>
      <c r="BK11" s="71"/>
      <c r="BL11" s="71"/>
      <c r="BM11" s="71"/>
      <c r="BN11" s="71"/>
      <c r="BO11" s="71"/>
      <c r="BP11" s="71"/>
      <c r="BQ11" s="71"/>
      <c r="BR11" s="71"/>
      <c r="BS11" s="71"/>
      <c r="BT11" s="71"/>
      <c r="BU11" s="71"/>
      <c r="BV11" s="71"/>
      <c r="BW11" s="71"/>
      <c r="BX11" s="71"/>
      <c r="BY11" s="71"/>
      <c r="BZ11" s="71"/>
      <c r="CA11" s="71"/>
      <c r="CB11" s="71"/>
      <c r="CC11" s="71"/>
      <c r="CD11" s="71"/>
      <c r="CE11" s="71"/>
      <c r="CF11" s="71"/>
      <c r="CG11" s="71"/>
      <c r="CH11" s="71"/>
      <c r="CI11" s="71"/>
      <c r="CJ11" s="71"/>
      <c r="CK11" s="71"/>
      <c r="CL11" s="71"/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4">
        <f t="shared" si="2"/>
        <v>9</v>
      </c>
      <c r="DD11">
        <v>50</v>
      </c>
      <c r="DE11">
        <v>150</v>
      </c>
      <c r="DF11">
        <v>120</v>
      </c>
      <c r="DG11">
        <v>110</v>
      </c>
      <c r="EH11">
        <f t="shared" si="6"/>
        <v>100</v>
      </c>
      <c r="EI11">
        <f t="shared" si="7"/>
        <v>70</v>
      </c>
      <c r="EJ11">
        <f t="shared" si="8"/>
        <v>142.85714285714286</v>
      </c>
      <c r="EK11">
        <f t="shared" si="9"/>
        <v>60</v>
      </c>
      <c r="EL11">
        <f>EI11-EK11</f>
        <v>10</v>
      </c>
      <c r="EM11">
        <f>EL11/EI11*100</f>
        <v>14.285714285714285</v>
      </c>
    </row>
    <row r="12" spans="1:187" ht="15.6" thickTop="1" thickBot="1" x14ac:dyDescent="0.35">
      <c r="A12" s="62">
        <f t="shared" si="3"/>
        <v>10</v>
      </c>
      <c r="B12" s="97" t="s">
        <v>274</v>
      </c>
      <c r="C12" s="62" t="str">
        <f t="shared" si="0"/>
        <v>10: soil moisture \ organic@550\ CaCO3@950 (empty» wet &gt; dry &gt; LOI &gt; CO3)</v>
      </c>
      <c r="D12" s="63">
        <f t="shared" si="4"/>
        <v>4</v>
      </c>
      <c r="E12" s="62">
        <v>1</v>
      </c>
      <c r="F12" s="62">
        <v>3</v>
      </c>
      <c r="G12" s="62">
        <v>4</v>
      </c>
      <c r="H12" s="62">
        <v>5</v>
      </c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4">
        <f t="shared" si="5"/>
        <v>5</v>
      </c>
      <c r="Z12" s="66" t="s">
        <v>131</v>
      </c>
      <c r="AA12" s="66" t="s">
        <v>132</v>
      </c>
      <c r="AB12" s="66" t="s">
        <v>134</v>
      </c>
      <c r="AC12" s="66" t="s">
        <v>136</v>
      </c>
      <c r="AD12" s="66" t="s">
        <v>137</v>
      </c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71" t="s">
        <v>335</v>
      </c>
      <c r="BE12" s="71" t="s">
        <v>336</v>
      </c>
      <c r="BF12" s="71" t="s">
        <v>337</v>
      </c>
      <c r="BG12" s="71" t="s">
        <v>338</v>
      </c>
      <c r="BH12" s="71" t="s">
        <v>339</v>
      </c>
      <c r="BI12" s="71" t="s">
        <v>340</v>
      </c>
      <c r="BJ12" s="71" t="s">
        <v>341</v>
      </c>
      <c r="BK12" s="71" t="s">
        <v>342</v>
      </c>
      <c r="BL12" s="71" t="s">
        <v>502</v>
      </c>
      <c r="BM12" s="71" t="s">
        <v>456</v>
      </c>
      <c r="BN12" s="71"/>
      <c r="BO12" s="71"/>
      <c r="BP12" s="71"/>
      <c r="BQ12" s="71"/>
      <c r="BR12" s="71"/>
      <c r="BS12" s="71"/>
      <c r="BT12" s="71"/>
      <c r="BU12" s="71"/>
      <c r="BV12" s="71"/>
      <c r="BW12" s="71"/>
      <c r="BX12" s="71"/>
      <c r="BY12" s="71"/>
      <c r="BZ12" s="71"/>
      <c r="CA12" s="71"/>
      <c r="CB12" s="71"/>
      <c r="CC12" s="71"/>
      <c r="CD12" s="71"/>
      <c r="CE12" s="71"/>
      <c r="CF12" s="71"/>
      <c r="CG12" s="71"/>
      <c r="CH12" s="71"/>
      <c r="CI12" s="71"/>
      <c r="CJ12" s="71"/>
      <c r="CK12" s="71"/>
      <c r="CL12" s="71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4">
        <f t="shared" si="2"/>
        <v>10</v>
      </c>
      <c r="DD12">
        <v>50</v>
      </c>
      <c r="DE12">
        <v>150</v>
      </c>
      <c r="DF12">
        <v>120</v>
      </c>
      <c r="DG12">
        <v>110</v>
      </c>
      <c r="DH12">
        <v>105</v>
      </c>
      <c r="EH12">
        <f t="shared" si="6"/>
        <v>100</v>
      </c>
      <c r="EI12">
        <f t="shared" si="7"/>
        <v>70</v>
      </c>
      <c r="EJ12">
        <f t="shared" si="8"/>
        <v>142.85714285714286</v>
      </c>
      <c r="EK12">
        <f t="shared" si="9"/>
        <v>60</v>
      </c>
      <c r="EL12">
        <f t="shared" ref="EL12:EL15" si="10">EI12-EK12</f>
        <v>10</v>
      </c>
      <c r="EM12">
        <f t="shared" ref="EM12:EM15" si="11">EL12/EI12*100</f>
        <v>14.285714285714285</v>
      </c>
      <c r="EN12">
        <f>DH12-DD12</f>
        <v>55</v>
      </c>
      <c r="EO12">
        <f>EK12-EN12</f>
        <v>5</v>
      </c>
      <c r="EP12">
        <f>(EO12/EK12*100) * 1.3636</f>
        <v>11.363333333333332</v>
      </c>
      <c r="EQ12">
        <f>(EO12/EN12*100) * 1.3636</f>
        <v>12.396363636363636</v>
      </c>
    </row>
    <row r="13" spans="1:187" ht="15.6" thickTop="1" thickBot="1" x14ac:dyDescent="0.35">
      <c r="A13" s="62">
        <f t="shared" si="3"/>
        <v>11</v>
      </c>
      <c r="B13" s="97" t="s">
        <v>89</v>
      </c>
      <c r="C13" s="62" t="str">
        <f t="shared" si="0"/>
        <v>11: soil moist \ organic@550 \ CaCO3@950 \ ? (empty» wet &gt; dry &gt; LOI &gt; CO3 &gt; burn 3)</v>
      </c>
      <c r="D13" s="63">
        <f t="shared" si="4"/>
        <v>5</v>
      </c>
      <c r="E13" s="62">
        <v>1</v>
      </c>
      <c r="F13" s="62">
        <v>3</v>
      </c>
      <c r="G13" s="62">
        <v>4</v>
      </c>
      <c r="H13" s="62">
        <v>5</v>
      </c>
      <c r="I13" s="62">
        <v>6</v>
      </c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4">
        <f t="shared" si="5"/>
        <v>6</v>
      </c>
      <c r="Z13" s="66" t="s">
        <v>131</v>
      </c>
      <c r="AA13" s="66" t="s">
        <v>132</v>
      </c>
      <c r="AB13" s="66" t="s">
        <v>134</v>
      </c>
      <c r="AC13" s="66" t="s">
        <v>136</v>
      </c>
      <c r="AD13" s="66" t="s">
        <v>137</v>
      </c>
      <c r="AE13" s="66" t="s">
        <v>138</v>
      </c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71" t="s">
        <v>335</v>
      </c>
      <c r="BE13" s="71" t="s">
        <v>336</v>
      </c>
      <c r="BF13" s="71" t="s">
        <v>337</v>
      </c>
      <c r="BG13" s="71" t="s">
        <v>338</v>
      </c>
      <c r="BH13" s="71" t="s">
        <v>339</v>
      </c>
      <c r="BI13" s="71" t="s">
        <v>340</v>
      </c>
      <c r="BJ13" s="71" t="s">
        <v>341</v>
      </c>
      <c r="BK13" s="71" t="s">
        <v>342</v>
      </c>
      <c r="BL13" s="71" t="s">
        <v>502</v>
      </c>
      <c r="BM13" s="71" t="s">
        <v>456</v>
      </c>
      <c r="BN13" s="71" t="s">
        <v>344</v>
      </c>
      <c r="BO13" s="71" t="s">
        <v>345</v>
      </c>
      <c r="BP13" s="71" t="s">
        <v>346</v>
      </c>
      <c r="BQ13" s="71" t="s">
        <v>457</v>
      </c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  <c r="CF13" s="71"/>
      <c r="CG13" s="71"/>
      <c r="CH13" s="71"/>
      <c r="CI13" s="71"/>
      <c r="CJ13" s="71"/>
      <c r="CK13" s="71"/>
      <c r="CL13" s="71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4">
        <f t="shared" si="2"/>
        <v>11</v>
      </c>
      <c r="DD13">
        <v>50</v>
      </c>
      <c r="DE13">
        <v>150</v>
      </c>
      <c r="DF13">
        <v>120</v>
      </c>
      <c r="DG13">
        <v>110</v>
      </c>
      <c r="DH13">
        <v>105</v>
      </c>
      <c r="DI13">
        <v>104</v>
      </c>
      <c r="EH13">
        <f t="shared" si="6"/>
        <v>100</v>
      </c>
      <c r="EI13">
        <f t="shared" si="7"/>
        <v>70</v>
      </c>
      <c r="EJ13">
        <f t="shared" si="8"/>
        <v>142.85714285714286</v>
      </c>
      <c r="EK13">
        <f t="shared" si="9"/>
        <v>60</v>
      </c>
      <c r="EL13">
        <f t="shared" si="10"/>
        <v>10</v>
      </c>
      <c r="EM13">
        <f t="shared" si="11"/>
        <v>14.285714285714285</v>
      </c>
      <c r="EN13">
        <f>DH13-DD13</f>
        <v>55</v>
      </c>
      <c r="EO13">
        <f t="shared" ref="EO13:EO15" si="12">EK13-EN13</f>
        <v>5</v>
      </c>
      <c r="EP13">
        <f t="shared" ref="EP13:EP15" si="13">(EO13/EK13*100) * 1.3636</f>
        <v>11.363333333333332</v>
      </c>
      <c r="EQ13">
        <f t="shared" ref="EQ13:EQ15" si="14">(EO13/EN13*100) * 1.3636</f>
        <v>12.396363636363636</v>
      </c>
      <c r="ER13">
        <f>DI13-DD13</f>
        <v>54</v>
      </c>
      <c r="ES13">
        <f>EN13-ER13</f>
        <v>1</v>
      </c>
      <c r="ET13" s="76">
        <f>ES13/EN13*100</f>
        <v>1.8181818181818181</v>
      </c>
      <c r="EU13" s="77">
        <f>ES13/ER13*100</f>
        <v>1.8518518518518516</v>
      </c>
    </row>
    <row r="14" spans="1:187" ht="15.6" thickTop="1" thickBot="1" x14ac:dyDescent="0.35">
      <c r="A14" s="62">
        <f t="shared" si="3"/>
        <v>12</v>
      </c>
      <c r="B14" s="97" t="s">
        <v>99</v>
      </c>
      <c r="C14" s="62" t="str">
        <f t="shared" si="0"/>
        <v>12: soil moisture \ organic@550\ CaCO3@950 (empty &gt; wet &gt; dry &gt; LOI &gt; CO3)</v>
      </c>
      <c r="D14" s="63">
        <f t="shared" si="4"/>
        <v>5</v>
      </c>
      <c r="E14" s="62">
        <v>1</v>
      </c>
      <c r="F14" s="62">
        <v>2</v>
      </c>
      <c r="G14" s="62">
        <v>3</v>
      </c>
      <c r="H14" s="62">
        <v>4</v>
      </c>
      <c r="I14" s="62">
        <v>5</v>
      </c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4">
        <f>COUNTA(Z14:BC14)</f>
        <v>5</v>
      </c>
      <c r="Z14" s="66" t="s">
        <v>131</v>
      </c>
      <c r="AA14" s="66" t="s">
        <v>132</v>
      </c>
      <c r="AB14" s="66" t="s">
        <v>134</v>
      </c>
      <c r="AC14" s="66" t="s">
        <v>136</v>
      </c>
      <c r="AD14" s="66" t="s">
        <v>137</v>
      </c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71" t="s">
        <v>335</v>
      </c>
      <c r="BE14" s="71" t="s">
        <v>336</v>
      </c>
      <c r="BF14" s="71" t="s">
        <v>337</v>
      </c>
      <c r="BG14" s="71" t="s">
        <v>338</v>
      </c>
      <c r="BH14" s="71" t="s">
        <v>339</v>
      </c>
      <c r="BI14" s="71" t="s">
        <v>340</v>
      </c>
      <c r="BJ14" s="71" t="s">
        <v>341</v>
      </c>
      <c r="BK14" s="71" t="s">
        <v>342</v>
      </c>
      <c r="BL14" s="71" t="s">
        <v>502</v>
      </c>
      <c r="BM14" s="71" t="s">
        <v>456</v>
      </c>
      <c r="BN14" s="71"/>
      <c r="BO14" s="71"/>
      <c r="BP14" s="71"/>
      <c r="BQ14" s="71"/>
      <c r="BR14" s="71"/>
      <c r="BS14" s="71"/>
      <c r="BT14" s="71"/>
      <c r="BU14" s="71"/>
      <c r="BV14" s="71"/>
      <c r="BW14" s="71"/>
      <c r="BX14" s="71"/>
      <c r="BY14" s="71"/>
      <c r="BZ14" s="71"/>
      <c r="CA14" s="71"/>
      <c r="CB14" s="71"/>
      <c r="CC14" s="71"/>
      <c r="CD14" s="71"/>
      <c r="CE14" s="71"/>
      <c r="CF14" s="71"/>
      <c r="CG14" s="71"/>
      <c r="CH14" s="71"/>
      <c r="CI14" s="71"/>
      <c r="CJ14" s="71"/>
      <c r="CK14" s="71"/>
      <c r="CL14" s="71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4">
        <f t="shared" si="2"/>
        <v>12</v>
      </c>
      <c r="DD14">
        <v>50</v>
      </c>
      <c r="DE14">
        <v>150</v>
      </c>
      <c r="DF14">
        <v>120</v>
      </c>
      <c r="DG14">
        <v>110</v>
      </c>
      <c r="DH14">
        <v>105</v>
      </c>
      <c r="EH14">
        <f t="shared" si="6"/>
        <v>100</v>
      </c>
      <c r="EI14">
        <f t="shared" si="7"/>
        <v>70</v>
      </c>
      <c r="EJ14">
        <f t="shared" si="8"/>
        <v>142.85714285714286</v>
      </c>
      <c r="EK14">
        <f t="shared" si="9"/>
        <v>60</v>
      </c>
      <c r="EL14">
        <f t="shared" si="10"/>
        <v>10</v>
      </c>
      <c r="EM14">
        <f t="shared" si="11"/>
        <v>14.285714285714285</v>
      </c>
      <c r="EN14">
        <f>DH14-DD14</f>
        <v>55</v>
      </c>
      <c r="EO14">
        <f t="shared" si="12"/>
        <v>5</v>
      </c>
      <c r="EP14">
        <f t="shared" si="13"/>
        <v>11.363333333333332</v>
      </c>
      <c r="EQ14">
        <f t="shared" si="14"/>
        <v>12.396363636363636</v>
      </c>
    </row>
    <row r="15" spans="1:187" ht="15.6" thickTop="1" thickBot="1" x14ac:dyDescent="0.35">
      <c r="A15" s="62">
        <f t="shared" si="3"/>
        <v>13</v>
      </c>
      <c r="B15" s="97" t="s">
        <v>100</v>
      </c>
      <c r="C15" s="62" t="str">
        <f t="shared" si="0"/>
        <v>13: soil moist \ organic@550 \ CaCO3@950 \ ? (empty &gt; wet &gt; dry &gt; LOI &gt; CO3 &gt; brn3)</v>
      </c>
      <c r="D15" s="63">
        <f t="shared" si="4"/>
        <v>6</v>
      </c>
      <c r="E15" s="62">
        <v>1</v>
      </c>
      <c r="F15" s="62">
        <v>2</v>
      </c>
      <c r="G15" s="62">
        <v>3</v>
      </c>
      <c r="H15" s="62">
        <v>4</v>
      </c>
      <c r="I15" s="62">
        <v>5</v>
      </c>
      <c r="J15" s="62">
        <v>6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4">
        <f>COUNTA(Z15:BC15)</f>
        <v>6</v>
      </c>
      <c r="Z15" s="66" t="s">
        <v>131</v>
      </c>
      <c r="AA15" s="66" t="s">
        <v>132</v>
      </c>
      <c r="AB15" s="66" t="s">
        <v>134</v>
      </c>
      <c r="AC15" s="66" t="s">
        <v>136</v>
      </c>
      <c r="AD15" s="66" t="s">
        <v>137</v>
      </c>
      <c r="AE15" s="66" t="s">
        <v>202</v>
      </c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71" t="s">
        <v>335</v>
      </c>
      <c r="BE15" s="71" t="s">
        <v>336</v>
      </c>
      <c r="BF15" s="71" t="s">
        <v>337</v>
      </c>
      <c r="BG15" s="71" t="s">
        <v>338</v>
      </c>
      <c r="BH15" s="71" t="s">
        <v>339</v>
      </c>
      <c r="BI15" s="71" t="s">
        <v>340</v>
      </c>
      <c r="BJ15" s="71" t="s">
        <v>341</v>
      </c>
      <c r="BK15" s="71" t="s">
        <v>342</v>
      </c>
      <c r="BL15" s="71" t="s">
        <v>502</v>
      </c>
      <c r="BM15" s="71" t="s">
        <v>456</v>
      </c>
      <c r="BN15" s="71" t="s">
        <v>344</v>
      </c>
      <c r="BO15" s="71" t="s">
        <v>345</v>
      </c>
      <c r="BP15" s="71" t="s">
        <v>346</v>
      </c>
      <c r="BQ15" s="71" t="s">
        <v>457</v>
      </c>
      <c r="BR15" s="71"/>
      <c r="BS15" s="71"/>
      <c r="BT15" s="71"/>
      <c r="BU15" s="71"/>
      <c r="BV15" s="71"/>
      <c r="BW15" s="71"/>
      <c r="BX15" s="71"/>
      <c r="BY15" s="71"/>
      <c r="BZ15" s="71"/>
      <c r="CA15" s="71"/>
      <c r="CB15" s="71"/>
      <c r="CC15" s="71"/>
      <c r="CD15" s="71"/>
      <c r="CE15" s="71"/>
      <c r="CF15" s="71"/>
      <c r="CG15" s="71"/>
      <c r="CH15" s="71"/>
      <c r="CI15" s="71"/>
      <c r="CJ15" s="71"/>
      <c r="CK15" s="71"/>
      <c r="CL15" s="71"/>
      <c r="CM15" s="71"/>
      <c r="CN15" s="71"/>
      <c r="CO15" s="71"/>
      <c r="CP15" s="71"/>
      <c r="CQ15" s="71"/>
      <c r="CR15" s="71"/>
      <c r="CS15" s="71"/>
      <c r="CT15" s="71"/>
      <c r="CU15" s="71"/>
      <c r="CV15" s="71"/>
      <c r="CW15" s="71"/>
      <c r="CX15" s="71"/>
      <c r="CY15" s="71"/>
      <c r="CZ15" s="71"/>
      <c r="DA15" s="71"/>
      <c r="DB15" s="71"/>
      <c r="DC15" s="74">
        <f t="shared" si="2"/>
        <v>13</v>
      </c>
      <c r="DD15">
        <v>50</v>
      </c>
      <c r="DE15">
        <v>150</v>
      </c>
      <c r="DF15">
        <v>120</v>
      </c>
      <c r="DG15">
        <v>110</v>
      </c>
      <c r="DH15">
        <v>105</v>
      </c>
      <c r="DI15">
        <v>104</v>
      </c>
      <c r="EH15">
        <f t="shared" si="6"/>
        <v>100</v>
      </c>
      <c r="EI15">
        <f t="shared" si="7"/>
        <v>70</v>
      </c>
      <c r="EJ15">
        <f t="shared" si="8"/>
        <v>142.85714285714286</v>
      </c>
      <c r="EK15">
        <f t="shared" si="9"/>
        <v>60</v>
      </c>
      <c r="EL15">
        <f t="shared" si="10"/>
        <v>10</v>
      </c>
      <c r="EM15">
        <f t="shared" si="11"/>
        <v>14.285714285714285</v>
      </c>
      <c r="EN15">
        <f>DH15-DD15</f>
        <v>55</v>
      </c>
      <c r="EO15">
        <f t="shared" si="12"/>
        <v>5</v>
      </c>
      <c r="EP15">
        <f t="shared" si="13"/>
        <v>11.363333333333332</v>
      </c>
      <c r="EQ15">
        <f t="shared" si="14"/>
        <v>12.396363636363636</v>
      </c>
      <c r="ER15">
        <f>DI15-DD15</f>
        <v>54</v>
      </c>
      <c r="ES15">
        <f>EN15-ER15</f>
        <v>1</v>
      </c>
      <c r="ET15">
        <f>ES15/EN15*100</f>
        <v>1.8181818181818181</v>
      </c>
      <c r="EU15">
        <f>ES15/ER15*100</f>
        <v>1.8518518518518516</v>
      </c>
    </row>
    <row r="16" spans="1:187" ht="15.6" thickTop="1" thickBot="1" x14ac:dyDescent="0.35">
      <c r="A16" s="62">
        <f t="shared" si="3"/>
        <v>14</v>
      </c>
      <c r="B16" s="98" t="s">
        <v>283</v>
      </c>
      <c r="C16" s="62" t="str">
        <f t="shared" si="0"/>
        <v>14: organic matter    (empty » full &gt; burnt)</v>
      </c>
      <c r="D16" s="63">
        <f t="shared" si="4"/>
        <v>2</v>
      </c>
      <c r="E16" s="62">
        <v>1</v>
      </c>
      <c r="F16" s="62">
        <v>3</v>
      </c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4">
        <f t="shared" si="5"/>
        <v>3</v>
      </c>
      <c r="Z16" s="66" t="s">
        <v>131</v>
      </c>
      <c r="AA16" s="66" t="s">
        <v>133</v>
      </c>
      <c r="AB16" s="66" t="s">
        <v>139</v>
      </c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71" t="s">
        <v>336</v>
      </c>
      <c r="BE16" s="75" t="s">
        <v>339</v>
      </c>
      <c r="BF16" s="71" t="s">
        <v>340</v>
      </c>
      <c r="BG16" s="71"/>
      <c r="BH16" s="71"/>
      <c r="BI16" s="71"/>
      <c r="BJ16" s="71"/>
      <c r="BK16" s="71"/>
      <c r="BL16" s="71"/>
      <c r="BM16" s="71"/>
      <c r="BN16" s="71"/>
      <c r="BO16" s="71"/>
      <c r="BP16" s="71"/>
      <c r="BQ16" s="71"/>
      <c r="BR16" s="71"/>
      <c r="BS16" s="71"/>
      <c r="BT16" s="71"/>
      <c r="BU16" s="71"/>
      <c r="BV16" s="71"/>
      <c r="BW16" s="71"/>
      <c r="BX16" s="71"/>
      <c r="BY16" s="71"/>
      <c r="BZ16" s="71"/>
      <c r="CA16" s="71"/>
      <c r="CB16" s="71"/>
      <c r="CC16" s="71"/>
      <c r="CD16" s="71"/>
      <c r="CE16" s="71"/>
      <c r="CF16" s="71"/>
      <c r="CG16" s="71"/>
      <c r="CH16" s="71"/>
      <c r="CI16" s="71"/>
      <c r="CJ16" s="71"/>
      <c r="CK16" s="71"/>
      <c r="CL16" s="71"/>
      <c r="CM16" s="71"/>
      <c r="CN16" s="71"/>
      <c r="CO16" s="71"/>
      <c r="CP16" s="71"/>
      <c r="CQ16" s="71"/>
      <c r="CR16" s="71"/>
      <c r="CS16" s="71"/>
      <c r="CT16" s="71"/>
      <c r="CU16" s="71"/>
      <c r="CV16" s="71"/>
      <c r="CW16" s="71"/>
      <c r="CX16" s="71"/>
      <c r="CY16" s="71"/>
      <c r="CZ16" s="71"/>
      <c r="DA16" s="71"/>
      <c r="DB16" s="71"/>
      <c r="DC16" s="74">
        <f t="shared" si="2"/>
        <v>14</v>
      </c>
      <c r="DD16">
        <v>10</v>
      </c>
      <c r="DE16">
        <v>20</v>
      </c>
      <c r="DF16">
        <v>15</v>
      </c>
      <c r="EH16">
        <f t="shared" si="6"/>
        <v>10</v>
      </c>
      <c r="EI16">
        <f t="shared" ref="EI16:EI25" si="15">DE16-DF16</f>
        <v>5</v>
      </c>
      <c r="EJ16">
        <f>EI16/EH16*100</f>
        <v>50</v>
      </c>
    </row>
    <row r="17" spans="1:190" ht="15.6" thickTop="1" thickBot="1" x14ac:dyDescent="0.35">
      <c r="A17" s="62">
        <f t="shared" si="3"/>
        <v>15</v>
      </c>
      <c r="B17" s="98" t="s">
        <v>101</v>
      </c>
      <c r="C17" s="62" t="str">
        <f t="shared" si="0"/>
        <v xml:space="preserve">15: organic matter    (empty &gt; full &gt; burnt) </v>
      </c>
      <c r="D17" s="63">
        <f t="shared" si="4"/>
        <v>3</v>
      </c>
      <c r="E17" s="62">
        <v>1</v>
      </c>
      <c r="F17" s="62">
        <v>2</v>
      </c>
      <c r="G17" s="62">
        <v>3</v>
      </c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4">
        <f>COUNTA(Z17:BC17)</f>
        <v>3</v>
      </c>
      <c r="Z17" s="66" t="s">
        <v>131</v>
      </c>
      <c r="AA17" s="66" t="s">
        <v>133</v>
      </c>
      <c r="AB17" s="66" t="s">
        <v>136</v>
      </c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71" t="s">
        <v>336</v>
      </c>
      <c r="BE17" s="75" t="s">
        <v>339</v>
      </c>
      <c r="BF17" s="71" t="s">
        <v>340</v>
      </c>
      <c r="BG17" s="71"/>
      <c r="BH17" s="71"/>
      <c r="BI17" s="71"/>
      <c r="BJ17" s="71"/>
      <c r="BK17" s="71"/>
      <c r="BL17" s="71"/>
      <c r="BM17" s="71"/>
      <c r="BN17" s="71"/>
      <c r="BO17" s="71"/>
      <c r="BP17" s="71"/>
      <c r="BQ17" s="71"/>
      <c r="BR17" s="71"/>
      <c r="BS17" s="71"/>
      <c r="BT17" s="71"/>
      <c r="BU17" s="71"/>
      <c r="BV17" s="71"/>
      <c r="BW17" s="71"/>
      <c r="BX17" s="71"/>
      <c r="BY17" s="71"/>
      <c r="BZ17" s="71"/>
      <c r="CA17" s="71"/>
      <c r="CB17" s="71"/>
      <c r="CC17" s="71"/>
      <c r="CD17" s="71"/>
      <c r="CE17" s="71"/>
      <c r="CF17" s="71"/>
      <c r="CG17" s="71"/>
      <c r="CH17" s="71"/>
      <c r="CI17" s="71"/>
      <c r="CJ17" s="71"/>
      <c r="CK17" s="71"/>
      <c r="CL17" s="71"/>
      <c r="CM17" s="71"/>
      <c r="CN17" s="71"/>
      <c r="CO17" s="71"/>
      <c r="CP17" s="71"/>
      <c r="CQ17" s="71"/>
      <c r="CR17" s="71"/>
      <c r="CS17" s="71"/>
      <c r="CT17" s="71"/>
      <c r="CU17" s="71"/>
      <c r="CV17" s="71"/>
      <c r="CW17" s="71"/>
      <c r="CX17" s="71"/>
      <c r="CY17" s="71"/>
      <c r="CZ17" s="71"/>
      <c r="DA17" s="71"/>
      <c r="DB17" s="71"/>
      <c r="DC17" s="74">
        <f t="shared" si="2"/>
        <v>15</v>
      </c>
      <c r="DD17">
        <v>10</v>
      </c>
      <c r="DE17">
        <v>20</v>
      </c>
      <c r="DF17">
        <v>15</v>
      </c>
      <c r="EH17">
        <f t="shared" si="6"/>
        <v>10</v>
      </c>
      <c r="EI17">
        <f t="shared" si="15"/>
        <v>5</v>
      </c>
      <c r="EJ17">
        <f t="shared" ref="EJ17:EJ21" si="16">EI17/EH17*100</f>
        <v>50</v>
      </c>
    </row>
    <row r="18" spans="1:190" ht="15.6" thickTop="1" thickBot="1" x14ac:dyDescent="0.35">
      <c r="A18" s="62">
        <f t="shared" si="3"/>
        <v>16</v>
      </c>
      <c r="B18" s="98" t="s">
        <v>276</v>
      </c>
      <c r="C18" s="62" t="str">
        <f t="shared" si="0"/>
        <v>16: Organic \ CaCO3 (empty» full &gt; OM burn &gt; CaCO3)</v>
      </c>
      <c r="D18" s="63">
        <f t="shared" si="4"/>
        <v>3</v>
      </c>
      <c r="E18" s="62">
        <v>1</v>
      </c>
      <c r="F18" s="62">
        <v>3</v>
      </c>
      <c r="G18" s="62">
        <v>4</v>
      </c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4">
        <f t="shared" si="5"/>
        <v>4</v>
      </c>
      <c r="Z18" s="66" t="s">
        <v>131</v>
      </c>
      <c r="AA18" s="66" t="s">
        <v>140</v>
      </c>
      <c r="AB18" s="66" t="s">
        <v>136</v>
      </c>
      <c r="AC18" s="66" t="s">
        <v>137</v>
      </c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71" t="s">
        <v>336</v>
      </c>
      <c r="BE18" s="75" t="s">
        <v>339</v>
      </c>
      <c r="BF18" s="71" t="s">
        <v>340</v>
      </c>
      <c r="BG18" s="71" t="s">
        <v>458</v>
      </c>
      <c r="BH18" s="71" t="s">
        <v>342</v>
      </c>
      <c r="BI18" s="71" t="s">
        <v>343</v>
      </c>
      <c r="BJ18" s="71" t="s">
        <v>456</v>
      </c>
      <c r="BK18" s="71"/>
      <c r="BL18" s="71"/>
      <c r="BM18" s="71"/>
      <c r="BN18" s="71"/>
      <c r="BO18" s="71"/>
      <c r="BP18" s="71"/>
      <c r="BQ18" s="71"/>
      <c r="BR18" s="71"/>
      <c r="BS18" s="71"/>
      <c r="BT18" s="71"/>
      <c r="BU18" s="71"/>
      <c r="BV18" s="71"/>
      <c r="BW18" s="71"/>
      <c r="BX18" s="71"/>
      <c r="BY18" s="71"/>
      <c r="BZ18" s="71"/>
      <c r="CA18" s="71"/>
      <c r="CB18" s="71"/>
      <c r="CC18" s="71"/>
      <c r="CD18" s="71"/>
      <c r="CE18" s="71"/>
      <c r="CF18" s="71"/>
      <c r="CG18" s="71"/>
      <c r="CH18" s="71"/>
      <c r="CI18" s="71"/>
      <c r="CJ18" s="71"/>
      <c r="CK18" s="71"/>
      <c r="CL18" s="71"/>
      <c r="CM18" s="71"/>
      <c r="CN18" s="71"/>
      <c r="CO18" s="71"/>
      <c r="CP18" s="71"/>
      <c r="CQ18" s="71"/>
      <c r="CR18" s="71"/>
      <c r="CS18" s="71"/>
      <c r="CT18" s="71"/>
      <c r="CU18" s="71"/>
      <c r="CV18" s="71"/>
      <c r="CW18" s="71"/>
      <c r="CX18" s="71"/>
      <c r="CY18" s="71"/>
      <c r="CZ18" s="71"/>
      <c r="DA18" s="71"/>
      <c r="DB18" s="71"/>
      <c r="DC18" s="74">
        <f t="shared" si="2"/>
        <v>16</v>
      </c>
      <c r="DD18">
        <v>10</v>
      </c>
      <c r="DE18">
        <v>20</v>
      </c>
      <c r="DF18">
        <v>15</v>
      </c>
      <c r="DG18">
        <v>14</v>
      </c>
      <c r="EH18">
        <f t="shared" si="6"/>
        <v>10</v>
      </c>
      <c r="EI18">
        <f t="shared" si="15"/>
        <v>5</v>
      </c>
      <c r="EJ18">
        <f t="shared" si="16"/>
        <v>50</v>
      </c>
      <c r="EK18">
        <f>DG18-DD18</f>
        <v>4</v>
      </c>
      <c r="EL18">
        <f>DF18-DG18</f>
        <v>1</v>
      </c>
      <c r="EM18">
        <f>(EL18/EH18*100) * 1.3636</f>
        <v>13.635999999999999</v>
      </c>
      <c r="EN18">
        <f>(EL18/EK18*100) * 1.3636</f>
        <v>34.089999999999996</v>
      </c>
    </row>
    <row r="19" spans="1:190" ht="15.6" thickTop="1" thickBot="1" x14ac:dyDescent="0.35">
      <c r="A19" s="62">
        <f t="shared" si="3"/>
        <v>17</v>
      </c>
      <c r="B19" s="98" t="s">
        <v>277</v>
      </c>
      <c r="C19" s="62" t="str">
        <f t="shared" si="0"/>
        <v>17: Organic \ CaCO3 \ 3rd burn @  (empty» full &gt; OM burn &gt; CaCO3[1] &gt; burn 3)</v>
      </c>
      <c r="D19" s="63">
        <f t="shared" si="4"/>
        <v>4</v>
      </c>
      <c r="E19" s="62">
        <v>1</v>
      </c>
      <c r="F19" s="62">
        <v>3</v>
      </c>
      <c r="G19" s="62">
        <v>4</v>
      </c>
      <c r="H19" s="62">
        <v>5</v>
      </c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4">
        <f t="shared" si="5"/>
        <v>5</v>
      </c>
      <c r="Z19" s="66" t="s">
        <v>131</v>
      </c>
      <c r="AA19" s="66" t="s">
        <v>140</v>
      </c>
      <c r="AB19" s="66" t="s">
        <v>136</v>
      </c>
      <c r="AC19" s="66" t="s">
        <v>137</v>
      </c>
      <c r="AD19" s="66" t="s">
        <v>141</v>
      </c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71" t="s">
        <v>336</v>
      </c>
      <c r="BE19" s="75" t="s">
        <v>339</v>
      </c>
      <c r="BF19" s="71" t="s">
        <v>340</v>
      </c>
      <c r="BG19" s="71" t="s">
        <v>458</v>
      </c>
      <c r="BH19" s="71" t="s">
        <v>342</v>
      </c>
      <c r="BI19" s="71" t="s">
        <v>343</v>
      </c>
      <c r="BJ19" s="71" t="s">
        <v>456</v>
      </c>
      <c r="BK19" s="71" t="s">
        <v>344</v>
      </c>
      <c r="BL19" s="71" t="s">
        <v>345</v>
      </c>
      <c r="BM19" s="71" t="s">
        <v>346</v>
      </c>
      <c r="BN19" s="71" t="s">
        <v>457</v>
      </c>
      <c r="BO19" s="71"/>
      <c r="BP19" s="71"/>
      <c r="BQ19" s="71"/>
      <c r="BR19" s="71"/>
      <c r="BS19" s="71"/>
      <c r="BT19" s="71"/>
      <c r="BU19" s="71"/>
      <c r="BV19" s="71"/>
      <c r="BW19" s="71"/>
      <c r="BX19" s="71"/>
      <c r="BY19" s="71"/>
      <c r="BZ19" s="71"/>
      <c r="CA19" s="71"/>
      <c r="CB19" s="71"/>
      <c r="CC19" s="71"/>
      <c r="CD19" s="71"/>
      <c r="CE19" s="71"/>
      <c r="CF19" s="71"/>
      <c r="CG19" s="71"/>
      <c r="CH19" s="71"/>
      <c r="CI19" s="71"/>
      <c r="CJ19" s="71"/>
      <c r="CK19" s="71"/>
      <c r="CL19" s="71"/>
      <c r="CM19" s="71"/>
      <c r="CN19" s="71"/>
      <c r="CO19" s="71"/>
      <c r="CP19" s="71"/>
      <c r="CQ19" s="71"/>
      <c r="CR19" s="71"/>
      <c r="CS19" s="71"/>
      <c r="CT19" s="71"/>
      <c r="CU19" s="71"/>
      <c r="CV19" s="71"/>
      <c r="CW19" s="71"/>
      <c r="CX19" s="71"/>
      <c r="CY19" s="71"/>
      <c r="CZ19" s="71"/>
      <c r="DA19" s="71"/>
      <c r="DB19" s="71"/>
      <c r="DC19" s="74">
        <f t="shared" si="2"/>
        <v>17</v>
      </c>
      <c r="DD19">
        <v>10</v>
      </c>
      <c r="DE19">
        <v>20</v>
      </c>
      <c r="DF19">
        <v>15</v>
      </c>
      <c r="DG19">
        <v>14</v>
      </c>
      <c r="DH19">
        <v>13</v>
      </c>
      <c r="EH19">
        <f t="shared" si="6"/>
        <v>10</v>
      </c>
      <c r="EI19">
        <f t="shared" si="15"/>
        <v>5</v>
      </c>
      <c r="EJ19">
        <f t="shared" si="16"/>
        <v>50</v>
      </c>
      <c r="EK19">
        <f>DG19-DD19</f>
        <v>4</v>
      </c>
      <c r="EL19">
        <f t="shared" ref="EL19:EL21" si="17">DF19-DG19</f>
        <v>1</v>
      </c>
      <c r="EM19">
        <f t="shared" ref="EM19:EM21" si="18">(EL19/EH19*100) * 1.3636</f>
        <v>13.635999999999999</v>
      </c>
      <c r="EN19">
        <f t="shared" ref="EN19:EN21" si="19">(EL19/EK19*100) * 1.3636</f>
        <v>34.089999999999996</v>
      </c>
      <c r="EO19">
        <f>DH19-DD19</f>
        <v>3</v>
      </c>
      <c r="EP19">
        <f>DG19-DH19</f>
        <v>1</v>
      </c>
      <c r="EQ19">
        <f>EP19/EH19*100</f>
        <v>10</v>
      </c>
      <c r="ER19">
        <f>EP19/EO19*100</f>
        <v>33.333333333333329</v>
      </c>
    </row>
    <row r="20" spans="1:190" ht="15.6" thickTop="1" thickBot="1" x14ac:dyDescent="0.35">
      <c r="A20" s="62">
        <f t="shared" si="3"/>
        <v>18</v>
      </c>
      <c r="B20" s="98" t="s">
        <v>104</v>
      </c>
      <c r="C20" s="62" t="str">
        <f t="shared" si="0"/>
        <v xml:space="preserve">18: Organic \ CaCO3 (empty &gt; full &gt; OM burn &gt; CO3)  </v>
      </c>
      <c r="D20" s="63">
        <f t="shared" si="4"/>
        <v>4</v>
      </c>
      <c r="E20" s="62">
        <v>1</v>
      </c>
      <c r="F20" s="62">
        <v>2</v>
      </c>
      <c r="G20" s="62">
        <v>3</v>
      </c>
      <c r="H20" s="62">
        <v>4</v>
      </c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4">
        <f t="shared" ref="Y20:Y44" si="20">COUNTA(Z20:BC20)</f>
        <v>4</v>
      </c>
      <c r="Z20" s="66" t="s">
        <v>131</v>
      </c>
      <c r="AA20" s="66" t="s">
        <v>140</v>
      </c>
      <c r="AB20" s="66" t="s">
        <v>136</v>
      </c>
      <c r="AC20" s="66" t="s">
        <v>137</v>
      </c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71" t="s">
        <v>336</v>
      </c>
      <c r="BE20" s="75" t="s">
        <v>339</v>
      </c>
      <c r="BF20" s="71" t="s">
        <v>340</v>
      </c>
      <c r="BG20" s="71" t="s">
        <v>458</v>
      </c>
      <c r="BH20" s="71" t="s">
        <v>342</v>
      </c>
      <c r="BI20" s="71" t="s">
        <v>343</v>
      </c>
      <c r="BJ20" s="71" t="s">
        <v>456</v>
      </c>
      <c r="BK20" s="71"/>
      <c r="BL20" s="71"/>
      <c r="BM20" s="71"/>
      <c r="BN20" s="71"/>
      <c r="BO20" s="71"/>
      <c r="BP20" s="71"/>
      <c r="BQ20" s="71"/>
      <c r="BR20" s="71"/>
      <c r="BS20" s="71"/>
      <c r="BT20" s="71"/>
      <c r="BU20" s="71"/>
      <c r="BV20" s="71"/>
      <c r="BW20" s="71"/>
      <c r="BX20" s="71"/>
      <c r="BY20" s="71"/>
      <c r="BZ20" s="71"/>
      <c r="CA20" s="71"/>
      <c r="CB20" s="71"/>
      <c r="CC20" s="71"/>
      <c r="CD20" s="71"/>
      <c r="CE20" s="71"/>
      <c r="CF20" s="71"/>
      <c r="CG20" s="71"/>
      <c r="CH20" s="71"/>
      <c r="CI20" s="71"/>
      <c r="CJ20" s="71"/>
      <c r="CK20" s="71"/>
      <c r="CL20" s="71"/>
      <c r="CM20" s="71"/>
      <c r="CN20" s="71"/>
      <c r="CO20" s="71"/>
      <c r="CP20" s="71"/>
      <c r="CQ20" s="71"/>
      <c r="CR20" s="71"/>
      <c r="CS20" s="71"/>
      <c r="CT20" s="71"/>
      <c r="CU20" s="71"/>
      <c r="CV20" s="71"/>
      <c r="CW20" s="71"/>
      <c r="CX20" s="71"/>
      <c r="CY20" s="71"/>
      <c r="CZ20" s="71"/>
      <c r="DA20" s="71"/>
      <c r="DB20" s="71"/>
      <c r="DC20" s="74">
        <f t="shared" si="2"/>
        <v>18</v>
      </c>
      <c r="DD20">
        <v>10</v>
      </c>
      <c r="DE20">
        <v>20</v>
      </c>
      <c r="DF20">
        <v>15</v>
      </c>
      <c r="DG20">
        <v>14</v>
      </c>
      <c r="EH20">
        <f t="shared" si="6"/>
        <v>10</v>
      </c>
      <c r="EI20">
        <f t="shared" si="15"/>
        <v>5</v>
      </c>
      <c r="EJ20">
        <f t="shared" si="16"/>
        <v>50</v>
      </c>
      <c r="EK20">
        <f>DG20-DD20</f>
        <v>4</v>
      </c>
      <c r="EL20">
        <f t="shared" si="17"/>
        <v>1</v>
      </c>
      <c r="EM20">
        <f t="shared" si="18"/>
        <v>13.635999999999999</v>
      </c>
      <c r="EN20">
        <f t="shared" si="19"/>
        <v>34.089999999999996</v>
      </c>
    </row>
    <row r="21" spans="1:190" ht="15.6" thickTop="1" thickBot="1" x14ac:dyDescent="0.35">
      <c r="A21" s="62">
        <f t="shared" si="3"/>
        <v>19</v>
      </c>
      <c r="B21" s="98" t="s">
        <v>105</v>
      </c>
      <c r="C21" s="62" t="str">
        <f t="shared" si="0"/>
        <v>19: Organic \ CaCO3 \ 3rd burn @ ? (empty &gt; full &gt; OM &gt; CO3 &gt; 3rd burn)</v>
      </c>
      <c r="D21" s="63">
        <f t="shared" si="4"/>
        <v>5</v>
      </c>
      <c r="E21" s="62">
        <v>1</v>
      </c>
      <c r="F21" s="62">
        <v>2</v>
      </c>
      <c r="G21" s="62">
        <v>3</v>
      </c>
      <c r="H21" s="62">
        <v>4</v>
      </c>
      <c r="I21" s="62">
        <v>5</v>
      </c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4">
        <f t="shared" si="20"/>
        <v>5</v>
      </c>
      <c r="Z21" s="66" t="s">
        <v>131</v>
      </c>
      <c r="AA21" s="66" t="s">
        <v>140</v>
      </c>
      <c r="AB21" s="66" t="s">
        <v>136</v>
      </c>
      <c r="AC21" s="66" t="s">
        <v>137</v>
      </c>
      <c r="AD21" s="66" t="s">
        <v>138</v>
      </c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71" t="s">
        <v>336</v>
      </c>
      <c r="BE21" s="75" t="s">
        <v>339</v>
      </c>
      <c r="BF21" s="71" t="s">
        <v>340</v>
      </c>
      <c r="BG21" s="71" t="s">
        <v>458</v>
      </c>
      <c r="BH21" s="71" t="s">
        <v>342</v>
      </c>
      <c r="BI21" s="71" t="s">
        <v>343</v>
      </c>
      <c r="BJ21" s="71" t="s">
        <v>456</v>
      </c>
      <c r="BK21" s="71" t="s">
        <v>344</v>
      </c>
      <c r="BL21" s="71" t="s">
        <v>345</v>
      </c>
      <c r="BM21" s="71" t="s">
        <v>346</v>
      </c>
      <c r="BN21" s="71" t="s">
        <v>457</v>
      </c>
      <c r="BO21" s="71"/>
      <c r="BP21" s="71"/>
      <c r="BQ21" s="71"/>
      <c r="BR21" s="71"/>
      <c r="BS21" s="71"/>
      <c r="BT21" s="71"/>
      <c r="BU21" s="71"/>
      <c r="BV21" s="71"/>
      <c r="BW21" s="71"/>
      <c r="BX21" s="71"/>
      <c r="BY21" s="71"/>
      <c r="BZ21" s="71"/>
      <c r="CA21" s="71"/>
      <c r="CB21" s="71"/>
      <c r="CC21" s="71"/>
      <c r="CD21" s="71"/>
      <c r="CE21" s="71"/>
      <c r="CF21" s="71"/>
      <c r="CG21" s="71"/>
      <c r="CH21" s="71"/>
      <c r="CI21" s="71"/>
      <c r="CJ21" s="71"/>
      <c r="CK21" s="71"/>
      <c r="CL21" s="71"/>
      <c r="CM21" s="71"/>
      <c r="CN21" s="71"/>
      <c r="CO21" s="71"/>
      <c r="CP21" s="71"/>
      <c r="CQ21" s="71"/>
      <c r="CR21" s="71"/>
      <c r="CS21" s="71"/>
      <c r="CT21" s="71"/>
      <c r="CU21" s="71"/>
      <c r="CV21" s="71"/>
      <c r="CW21" s="71"/>
      <c r="CX21" s="71"/>
      <c r="CY21" s="71"/>
      <c r="CZ21" s="71"/>
      <c r="DA21" s="71"/>
      <c r="DB21" s="71"/>
      <c r="DC21" s="74">
        <f t="shared" si="2"/>
        <v>19</v>
      </c>
      <c r="DD21">
        <v>10</v>
      </c>
      <c r="DE21">
        <v>20</v>
      </c>
      <c r="DF21">
        <v>15</v>
      </c>
      <c r="DG21">
        <v>14</v>
      </c>
      <c r="DH21">
        <v>13</v>
      </c>
      <c r="EH21">
        <f t="shared" si="6"/>
        <v>10</v>
      </c>
      <c r="EI21">
        <f t="shared" si="15"/>
        <v>5</v>
      </c>
      <c r="EJ21">
        <f t="shared" si="16"/>
        <v>50</v>
      </c>
      <c r="EK21">
        <f>DG21-DD21</f>
        <v>4</v>
      </c>
      <c r="EL21">
        <f t="shared" si="17"/>
        <v>1</v>
      </c>
      <c r="EM21">
        <f t="shared" si="18"/>
        <v>13.635999999999999</v>
      </c>
      <c r="EN21">
        <f t="shared" si="19"/>
        <v>34.089999999999996</v>
      </c>
      <c r="EO21">
        <f>DH21-DD21</f>
        <v>3</v>
      </c>
      <c r="EP21">
        <f>DG21-DH21</f>
        <v>1</v>
      </c>
      <c r="EQ21">
        <f>EP21/EH21*100</f>
        <v>10</v>
      </c>
      <c r="ER21">
        <f>EP21/EO21*100</f>
        <v>33.333333333333329</v>
      </c>
    </row>
    <row r="22" spans="1:190" ht="15.6" thickTop="1" thickBot="1" x14ac:dyDescent="0.35">
      <c r="A22" s="62">
        <f t="shared" si="3"/>
        <v>20</v>
      </c>
      <c r="B22" s="62" t="s">
        <v>284</v>
      </c>
      <c r="C22" s="62" t="str">
        <f t="shared" si="0"/>
        <v>20: CaCO3 @ 950 (one burn) (empty » full &gt; burnt)</v>
      </c>
      <c r="D22" s="63">
        <f t="shared" si="4"/>
        <v>2</v>
      </c>
      <c r="E22" s="62">
        <v>1</v>
      </c>
      <c r="F22" s="62">
        <v>3</v>
      </c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4">
        <f t="shared" si="20"/>
        <v>3</v>
      </c>
      <c r="Z22" s="66" t="s">
        <v>131</v>
      </c>
      <c r="AA22" s="66" t="s">
        <v>133</v>
      </c>
      <c r="AB22" s="66" t="s">
        <v>137</v>
      </c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71" t="s">
        <v>347</v>
      </c>
      <c r="BE22" s="75" t="s">
        <v>339</v>
      </c>
      <c r="BF22" s="71" t="s">
        <v>343</v>
      </c>
      <c r="BG22" s="71"/>
      <c r="BH22" s="71"/>
      <c r="BI22" s="71"/>
      <c r="BJ22" s="71"/>
      <c r="BK22" s="71"/>
      <c r="BL22" s="71"/>
      <c r="BM22" s="71"/>
      <c r="BN22" s="71"/>
      <c r="BO22" s="71"/>
      <c r="BP22" s="71"/>
      <c r="BQ22" s="71"/>
      <c r="BR22" s="71"/>
      <c r="BS22" s="71"/>
      <c r="BT22" s="71"/>
      <c r="BU22" s="71"/>
      <c r="BV22" s="71"/>
      <c r="BW22" s="71"/>
      <c r="BX22" s="71"/>
      <c r="BY22" s="71"/>
      <c r="BZ22" s="71"/>
      <c r="CA22" s="71"/>
      <c r="CB22" s="71"/>
      <c r="CC22" s="71"/>
      <c r="CD22" s="71"/>
      <c r="CE22" s="71"/>
      <c r="CF22" s="71"/>
      <c r="CG22" s="71"/>
      <c r="CH22" s="71"/>
      <c r="CI22" s="71"/>
      <c r="CJ22" s="71"/>
      <c r="CK22" s="71"/>
      <c r="CL22" s="71"/>
      <c r="CM22" s="71"/>
      <c r="CN22" s="71"/>
      <c r="CO22" s="71"/>
      <c r="CP22" s="71"/>
      <c r="CQ22" s="71"/>
      <c r="CR22" s="71"/>
      <c r="CS22" s="71"/>
      <c r="CT22" s="71"/>
      <c r="CU22" s="71"/>
      <c r="CV22" s="71"/>
      <c r="CW22" s="71"/>
      <c r="CX22" s="71"/>
      <c r="CY22" s="71"/>
      <c r="CZ22" s="71"/>
      <c r="DA22" s="71"/>
      <c r="DB22" s="71"/>
      <c r="DC22" s="74">
        <f t="shared" si="2"/>
        <v>20</v>
      </c>
      <c r="DD22">
        <v>10</v>
      </c>
      <c r="DE22">
        <v>20</v>
      </c>
      <c r="DF22">
        <v>15</v>
      </c>
      <c r="EH22">
        <f t="shared" si="6"/>
        <v>10</v>
      </c>
      <c r="EI22">
        <f t="shared" si="15"/>
        <v>5</v>
      </c>
      <c r="EJ22">
        <f>(EI22/EH22*100)*1.3636</f>
        <v>68.179999999999993</v>
      </c>
    </row>
    <row r="23" spans="1:190" ht="15.6" thickTop="1" thickBot="1" x14ac:dyDescent="0.35">
      <c r="A23" s="62">
        <f t="shared" si="3"/>
        <v>21</v>
      </c>
      <c r="B23" s="62" t="s">
        <v>275</v>
      </c>
      <c r="C23" s="62" t="str">
        <f t="shared" si="0"/>
        <v>21: CaCO3 @ 950 \ further burn @  (two burns) (empty» full &gt; CaCO3 &gt; burn 2)</v>
      </c>
      <c r="D23" s="63">
        <f t="shared" si="4"/>
        <v>3</v>
      </c>
      <c r="E23" s="62">
        <v>1</v>
      </c>
      <c r="F23" s="62">
        <v>3</v>
      </c>
      <c r="G23" s="62">
        <v>4</v>
      </c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4">
        <f t="shared" si="20"/>
        <v>4</v>
      </c>
      <c r="Z23" s="66" t="s">
        <v>131</v>
      </c>
      <c r="AA23" s="66" t="s">
        <v>133</v>
      </c>
      <c r="AB23" s="66" t="s">
        <v>137</v>
      </c>
      <c r="AC23" s="66" t="s">
        <v>138</v>
      </c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71" t="s">
        <v>347</v>
      </c>
      <c r="BE23" s="75" t="s">
        <v>339</v>
      </c>
      <c r="BF23" s="71" t="s">
        <v>343</v>
      </c>
      <c r="BG23" s="71" t="s">
        <v>341</v>
      </c>
      <c r="BH23" s="71" t="s">
        <v>342</v>
      </c>
      <c r="BI23" s="71" t="s">
        <v>459</v>
      </c>
      <c r="BJ23" s="71" t="s">
        <v>460</v>
      </c>
      <c r="BK23" s="71"/>
      <c r="BL23" s="71"/>
      <c r="BM23" s="71"/>
      <c r="BN23" s="71"/>
      <c r="BO23" s="71"/>
      <c r="BP23" s="71"/>
      <c r="BQ23" s="71"/>
      <c r="BR23" s="71"/>
      <c r="BS23" s="71"/>
      <c r="BT23" s="71"/>
      <c r="BU23" s="71"/>
      <c r="BV23" s="71"/>
      <c r="BW23" s="71"/>
      <c r="BX23" s="71"/>
      <c r="BY23" s="71"/>
      <c r="BZ23" s="71"/>
      <c r="CA23" s="71"/>
      <c r="CB23" s="71"/>
      <c r="CC23" s="71"/>
      <c r="CD23" s="71"/>
      <c r="CE23" s="71"/>
      <c r="CF23" s="71"/>
      <c r="CG23" s="71"/>
      <c r="CH23" s="71"/>
      <c r="CI23" s="71"/>
      <c r="CJ23" s="71"/>
      <c r="CK23" s="71"/>
      <c r="CL23" s="71"/>
      <c r="CM23" s="71"/>
      <c r="CN23" s="71"/>
      <c r="CO23" s="71"/>
      <c r="CP23" s="71"/>
      <c r="CQ23" s="71"/>
      <c r="CR23" s="71"/>
      <c r="CS23" s="71"/>
      <c r="CT23" s="71"/>
      <c r="CU23" s="71"/>
      <c r="CV23" s="71"/>
      <c r="CW23" s="71"/>
      <c r="CX23" s="71"/>
      <c r="CY23" s="71"/>
      <c r="CZ23" s="71"/>
      <c r="DA23" s="71"/>
      <c r="DB23" s="71"/>
      <c r="DC23" s="74">
        <f t="shared" si="2"/>
        <v>21</v>
      </c>
      <c r="DD23">
        <v>10</v>
      </c>
      <c r="DE23">
        <v>20</v>
      </c>
      <c r="DF23">
        <v>15</v>
      </c>
      <c r="DG23">
        <v>14</v>
      </c>
      <c r="EH23">
        <f t="shared" si="6"/>
        <v>10</v>
      </c>
      <c r="EI23">
        <f t="shared" si="15"/>
        <v>5</v>
      </c>
      <c r="EJ23">
        <f t="shared" ref="EJ23:EJ25" si="21">(EI23/EH23*100)*1.3636</f>
        <v>68.179999999999993</v>
      </c>
      <c r="EK23">
        <f>DG23-DD23</f>
        <v>4</v>
      </c>
      <c r="EL23">
        <f>DF23-DG23</f>
        <v>1</v>
      </c>
      <c r="EM23">
        <f>EL23/EH23*100</f>
        <v>10</v>
      </c>
      <c r="EN23">
        <f>EL23/EK23*100</f>
        <v>25</v>
      </c>
    </row>
    <row r="24" spans="1:190" ht="15.6" thickTop="1" thickBot="1" x14ac:dyDescent="0.35">
      <c r="A24" s="62">
        <f t="shared" si="3"/>
        <v>22</v>
      </c>
      <c r="B24" s="62" t="s">
        <v>102</v>
      </c>
      <c r="C24" s="62" t="str">
        <f t="shared" si="0"/>
        <v>22: CaCO3 @ 950 (one burn)   (empty &gt; full &gt; CO3)</v>
      </c>
      <c r="D24" s="63">
        <f t="shared" si="4"/>
        <v>3</v>
      </c>
      <c r="E24" s="62">
        <v>1</v>
      </c>
      <c r="F24" s="62">
        <v>2</v>
      </c>
      <c r="G24" s="62">
        <v>3</v>
      </c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4">
        <f t="shared" si="20"/>
        <v>3</v>
      </c>
      <c r="Z24" s="66" t="s">
        <v>131</v>
      </c>
      <c r="AA24" s="66" t="s">
        <v>133</v>
      </c>
      <c r="AB24" s="66" t="s">
        <v>137</v>
      </c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71" t="s">
        <v>347</v>
      </c>
      <c r="BE24" s="75" t="s">
        <v>339</v>
      </c>
      <c r="BF24" s="71" t="s">
        <v>343</v>
      </c>
      <c r="BG24" s="71"/>
      <c r="BH24" s="71"/>
      <c r="BI24" s="71"/>
      <c r="BJ24" s="71"/>
      <c r="BK24" s="71"/>
      <c r="BL24" s="71"/>
      <c r="BM24" s="71"/>
      <c r="BN24" s="71"/>
      <c r="BO24" s="71"/>
      <c r="BP24" s="71"/>
      <c r="BQ24" s="71"/>
      <c r="BR24" s="71"/>
      <c r="BS24" s="71"/>
      <c r="BT24" s="71"/>
      <c r="BU24" s="71"/>
      <c r="BV24" s="71"/>
      <c r="BW24" s="71"/>
      <c r="BX24" s="71"/>
      <c r="BY24" s="71"/>
      <c r="BZ24" s="71"/>
      <c r="CA24" s="71"/>
      <c r="CB24" s="71"/>
      <c r="CC24" s="71"/>
      <c r="CD24" s="71"/>
      <c r="CE24" s="71"/>
      <c r="CF24" s="71"/>
      <c r="CG24" s="71"/>
      <c r="CH24" s="71"/>
      <c r="CI24" s="71"/>
      <c r="CJ24" s="71"/>
      <c r="CK24" s="71"/>
      <c r="CL24" s="71"/>
      <c r="CM24" s="71"/>
      <c r="CN24" s="71"/>
      <c r="CO24" s="71"/>
      <c r="CP24" s="71"/>
      <c r="CQ24" s="71"/>
      <c r="CR24" s="71"/>
      <c r="CS24" s="71"/>
      <c r="CT24" s="71"/>
      <c r="CU24" s="71"/>
      <c r="CV24" s="71"/>
      <c r="CW24" s="71"/>
      <c r="CX24" s="71"/>
      <c r="CY24" s="71"/>
      <c r="CZ24" s="71"/>
      <c r="DA24" s="71"/>
      <c r="DB24" s="71"/>
      <c r="DC24" s="74">
        <f t="shared" si="2"/>
        <v>22</v>
      </c>
      <c r="DD24">
        <v>10</v>
      </c>
      <c r="DE24">
        <v>20</v>
      </c>
      <c r="DF24">
        <v>15</v>
      </c>
      <c r="EH24">
        <f t="shared" si="6"/>
        <v>10</v>
      </c>
      <c r="EI24">
        <f t="shared" si="15"/>
        <v>5</v>
      </c>
      <c r="EJ24">
        <f t="shared" si="21"/>
        <v>68.179999999999993</v>
      </c>
    </row>
    <row r="25" spans="1:190" ht="15.6" thickTop="1" thickBot="1" x14ac:dyDescent="0.35">
      <c r="A25" s="62">
        <f t="shared" si="3"/>
        <v>23</v>
      </c>
      <c r="B25" s="62" t="s">
        <v>103</v>
      </c>
      <c r="C25" s="62" t="str">
        <f t="shared" si="0"/>
        <v>23: CaCO3 @ 950 \ further burn @ ? (two burns) (empty &gt; full &gt; burn 1 &gt; burn 2)</v>
      </c>
      <c r="D25" s="63">
        <f t="shared" si="4"/>
        <v>4</v>
      </c>
      <c r="E25" s="62">
        <v>1</v>
      </c>
      <c r="F25" s="62">
        <v>2</v>
      </c>
      <c r="G25" s="62">
        <v>3</v>
      </c>
      <c r="H25" s="62">
        <v>4</v>
      </c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4">
        <f t="shared" si="20"/>
        <v>4</v>
      </c>
      <c r="Z25" s="66" t="s">
        <v>131</v>
      </c>
      <c r="AA25" s="66" t="s">
        <v>133</v>
      </c>
      <c r="AB25" s="66" t="s">
        <v>137</v>
      </c>
      <c r="AC25" s="66" t="s">
        <v>138</v>
      </c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71" t="s">
        <v>347</v>
      </c>
      <c r="BE25" s="75" t="s">
        <v>339</v>
      </c>
      <c r="BF25" s="71" t="s">
        <v>343</v>
      </c>
      <c r="BG25" s="71" t="s">
        <v>341</v>
      </c>
      <c r="BH25" s="71" t="s">
        <v>342</v>
      </c>
      <c r="BI25" s="71" t="s">
        <v>459</v>
      </c>
      <c r="BJ25" s="71" t="s">
        <v>460</v>
      </c>
      <c r="BK25" s="71"/>
      <c r="BL25" s="71"/>
      <c r="BM25" s="71"/>
      <c r="BN25" s="71"/>
      <c r="BO25" s="71"/>
      <c r="BP25" s="71"/>
      <c r="BQ25" s="71"/>
      <c r="BR25" s="71"/>
      <c r="BS25" s="71"/>
      <c r="BT25" s="71"/>
      <c r="BU25" s="71"/>
      <c r="BV25" s="71"/>
      <c r="BW25" s="71"/>
      <c r="BX25" s="71"/>
      <c r="BY25" s="71"/>
      <c r="BZ25" s="71"/>
      <c r="CA25" s="71"/>
      <c r="CB25" s="71"/>
      <c r="CC25" s="71"/>
      <c r="CD25" s="71"/>
      <c r="CE25" s="71"/>
      <c r="CF25" s="71"/>
      <c r="CG25" s="71"/>
      <c r="CH25" s="71"/>
      <c r="CI25" s="71"/>
      <c r="CJ25" s="71"/>
      <c r="CK25" s="71"/>
      <c r="CL25" s="71"/>
      <c r="CM25" s="71"/>
      <c r="CN25" s="71"/>
      <c r="CO25" s="71"/>
      <c r="CP25" s="71"/>
      <c r="CQ25" s="71"/>
      <c r="CR25" s="71"/>
      <c r="CS25" s="71"/>
      <c r="CT25" s="71"/>
      <c r="CU25" s="71"/>
      <c r="CV25" s="71"/>
      <c r="CW25" s="71"/>
      <c r="CX25" s="71"/>
      <c r="CY25" s="71"/>
      <c r="CZ25" s="71"/>
      <c r="DA25" s="71"/>
      <c r="DB25" s="71"/>
      <c r="DC25" s="74">
        <f t="shared" si="2"/>
        <v>23</v>
      </c>
      <c r="DD25">
        <v>10</v>
      </c>
      <c r="DE25">
        <v>20</v>
      </c>
      <c r="DF25">
        <v>15</v>
      </c>
      <c r="DG25">
        <v>14</v>
      </c>
      <c r="EH25">
        <f t="shared" si="6"/>
        <v>10</v>
      </c>
      <c r="EI25">
        <f t="shared" si="15"/>
        <v>5</v>
      </c>
      <c r="EJ25">
        <f t="shared" si="21"/>
        <v>68.179999999999993</v>
      </c>
      <c r="EK25">
        <f>DG25-DD25</f>
        <v>4</v>
      </c>
      <c r="EL25">
        <f>DF25-DG25</f>
        <v>1</v>
      </c>
      <c r="EM25">
        <f>EL25/EH25*100</f>
        <v>10</v>
      </c>
      <c r="EN25">
        <f>EL25/EK25*100</f>
        <v>25</v>
      </c>
    </row>
    <row r="26" spans="1:190" ht="15.6" thickTop="1" thickBot="1" x14ac:dyDescent="0.35">
      <c r="A26" s="62">
        <f t="shared" si="3"/>
        <v>24</v>
      </c>
      <c r="B26" s="99" t="s">
        <v>286</v>
      </c>
      <c r="C26" s="62" t="str">
        <f t="shared" si="0"/>
        <v>24: PSA WET gritty mud: MT&lt;1mm &gt;  &lt;1mm dry &gt; dry siv 32-1mm @ half-phi (CEFAS)</v>
      </c>
      <c r="D26" s="63">
        <f t="shared" si="4"/>
        <v>6</v>
      </c>
      <c r="E26" s="62">
        <v>1</v>
      </c>
      <c r="F26" s="62">
        <v>2</v>
      </c>
      <c r="G26" s="62">
        <v>3</v>
      </c>
      <c r="H26" s="62">
        <v>13</v>
      </c>
      <c r="I26" s="62">
        <v>14</v>
      </c>
      <c r="J26" s="62">
        <v>15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4">
        <f t="shared" si="20"/>
        <v>19</v>
      </c>
      <c r="Z26" s="66" t="s">
        <v>221</v>
      </c>
      <c r="AA26" s="66" t="s">
        <v>222</v>
      </c>
      <c r="AB26" s="66" t="s">
        <v>149</v>
      </c>
      <c r="AC26" s="66" t="s">
        <v>150</v>
      </c>
      <c r="AD26" s="66" t="s">
        <v>160</v>
      </c>
      <c r="AE26" s="66" t="s">
        <v>151</v>
      </c>
      <c r="AF26" s="66" t="s">
        <v>152</v>
      </c>
      <c r="AG26" s="66" t="s">
        <v>153</v>
      </c>
      <c r="AH26" s="66" t="s">
        <v>154</v>
      </c>
      <c r="AI26" s="66" t="s">
        <v>159</v>
      </c>
      <c r="AJ26" s="66" t="s">
        <v>223</v>
      </c>
      <c r="AK26" s="66" t="s">
        <v>224</v>
      </c>
      <c r="AL26" s="66" t="s">
        <v>636</v>
      </c>
      <c r="AM26" s="66" t="s">
        <v>637</v>
      </c>
      <c r="AN26" s="66" t="s">
        <v>638</v>
      </c>
      <c r="AP26" s="66"/>
      <c r="AQ26" s="66"/>
      <c r="AR26" s="66"/>
      <c r="AS26" s="66"/>
      <c r="AT26" s="66"/>
      <c r="AU26" s="66"/>
      <c r="AV26" s="66"/>
      <c r="AW26" s="66"/>
      <c r="AX26" s="66"/>
      <c r="AY26" s="71" t="s">
        <v>639</v>
      </c>
      <c r="AZ26" s="71" t="s">
        <v>642</v>
      </c>
      <c r="BA26" s="75" t="s">
        <v>640</v>
      </c>
      <c r="BB26" s="71" t="s">
        <v>641</v>
      </c>
      <c r="BC26" s="66"/>
      <c r="BD26" s="71"/>
      <c r="BE26" s="71"/>
      <c r="BF26" s="75"/>
      <c r="BG26" s="71"/>
      <c r="BH26" s="71"/>
      <c r="BI26" s="71"/>
      <c r="BJ26" s="71"/>
      <c r="BK26" s="71"/>
      <c r="BL26" s="71"/>
      <c r="BM26" s="71"/>
      <c r="BN26" s="71"/>
      <c r="BO26" s="71"/>
      <c r="BP26" s="71"/>
      <c r="BQ26" s="71"/>
      <c r="BR26" s="71"/>
      <c r="BS26" s="71" t="s">
        <v>149</v>
      </c>
      <c r="BT26" s="71" t="s">
        <v>150</v>
      </c>
      <c r="BU26" s="71" t="s">
        <v>160</v>
      </c>
      <c r="BV26" s="71" t="s">
        <v>151</v>
      </c>
      <c r="BW26" s="71" t="s">
        <v>152</v>
      </c>
      <c r="BX26" s="71" t="s">
        <v>153</v>
      </c>
      <c r="BY26" s="71" t="s">
        <v>154</v>
      </c>
      <c r="BZ26" s="71" t="s">
        <v>159</v>
      </c>
      <c r="CA26" s="71" t="s">
        <v>223</v>
      </c>
      <c r="CB26" s="71" t="s">
        <v>162</v>
      </c>
      <c r="CC26" s="71" t="s">
        <v>348</v>
      </c>
      <c r="CD26" s="71"/>
      <c r="CE26" s="71"/>
      <c r="CF26" s="71"/>
      <c r="CG26" s="71"/>
      <c r="CH26" s="71"/>
      <c r="CI26" s="71"/>
      <c r="CJ26" s="71"/>
      <c r="CK26" s="71"/>
      <c r="CL26" s="71"/>
      <c r="CM26" s="71"/>
      <c r="CN26" s="71"/>
      <c r="CO26" s="71"/>
      <c r="CP26" s="71"/>
      <c r="CQ26" s="71"/>
      <c r="CR26" s="71"/>
      <c r="CS26" s="71"/>
      <c r="CT26" s="71"/>
      <c r="CU26" s="71"/>
      <c r="CV26" s="71"/>
      <c r="CW26" s="71"/>
      <c r="CX26" s="71"/>
      <c r="CY26" s="71"/>
      <c r="CZ26" s="71"/>
      <c r="DA26" s="71"/>
      <c r="DB26" s="71"/>
      <c r="DC26" s="74">
        <f t="shared" si="2"/>
        <v>24</v>
      </c>
      <c r="DD26">
        <v>100</v>
      </c>
      <c r="DE26">
        <v>120</v>
      </c>
      <c r="DF26">
        <v>32</v>
      </c>
      <c r="DG26">
        <v>16</v>
      </c>
      <c r="DH26">
        <v>11.2</v>
      </c>
      <c r="DI26">
        <v>8</v>
      </c>
      <c r="DJ26">
        <v>5.6</v>
      </c>
      <c r="DK26">
        <v>4</v>
      </c>
      <c r="DL26">
        <v>2.8</v>
      </c>
      <c r="DM26">
        <v>2</v>
      </c>
      <c r="DN26">
        <v>1.4</v>
      </c>
      <c r="DO26">
        <v>1</v>
      </c>
      <c r="DP26">
        <v>10</v>
      </c>
      <c r="DQ26">
        <v>15</v>
      </c>
      <c r="DR26">
        <v>13</v>
      </c>
      <c r="EC26">
        <f>DQ26-DP26</f>
        <v>5</v>
      </c>
      <c r="ED26">
        <f>DQ26-DR26</f>
        <v>2</v>
      </c>
      <c r="EE26">
        <f>DR26-DP26</f>
        <v>3</v>
      </c>
      <c r="EF26">
        <f>(ED26/EC26)*100</f>
        <v>40</v>
      </c>
      <c r="ES26" s="78"/>
      <c r="EW26" s="78">
        <f t="shared" ref="EW26:FF26" si="22">IF(       AND($A$14="TARE",$A$15="TARE"),IF(DF26&gt;0,DF26-VLOOKUP($C26,$B$14:$O$15,COLUMN()-31),0),    IF(UPPER($A$14)="TARE",IF(DF26&gt;0,DF26-DF$14,0),DF26)        )</f>
        <v>32</v>
      </c>
      <c r="EX26" s="78">
        <f t="shared" si="22"/>
        <v>16</v>
      </c>
      <c r="EY26" s="78">
        <f t="shared" si="22"/>
        <v>11.2</v>
      </c>
      <c r="EZ26" s="78">
        <f t="shared" si="22"/>
        <v>8</v>
      </c>
      <c r="FA26" s="78">
        <f t="shared" si="22"/>
        <v>5.6</v>
      </c>
      <c r="FB26" s="78">
        <f t="shared" si="22"/>
        <v>4</v>
      </c>
      <c r="FC26" s="78">
        <f t="shared" si="22"/>
        <v>2.8</v>
      </c>
      <c r="FD26" s="78">
        <f t="shared" si="22"/>
        <v>2</v>
      </c>
      <c r="FE26" s="78">
        <f t="shared" si="22"/>
        <v>1.4</v>
      </c>
      <c r="FF26" s="78">
        <f t="shared" si="22"/>
        <v>1</v>
      </c>
      <c r="FG26" s="78">
        <f>DE26-DD26</f>
        <v>20</v>
      </c>
    </row>
    <row r="27" spans="1:190" ht="15.6" thickTop="1" thickBot="1" x14ac:dyDescent="0.35">
      <c r="A27" s="62">
        <f t="shared" si="3"/>
        <v>25</v>
      </c>
      <c r="B27" s="99" t="s">
        <v>266</v>
      </c>
      <c r="C27" s="62" t="str">
        <f t="shared" si="0"/>
        <v xml:space="preserve">25: PSA gritty mud: MT&lt;1mm &gt; dry sv 32/16-1.4mm @ half-phi  &gt;  &lt;1mm dry (CEFAS)   </v>
      </c>
      <c r="D27" s="63">
        <f t="shared" si="4"/>
        <v>6</v>
      </c>
      <c r="E27" s="62">
        <v>1</v>
      </c>
      <c r="F27" s="62">
        <v>2</v>
      </c>
      <c r="G27" s="62">
        <v>12</v>
      </c>
      <c r="H27" s="62">
        <v>13</v>
      </c>
      <c r="I27" s="62">
        <v>14</v>
      </c>
      <c r="J27" s="62">
        <v>15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4">
        <f t="shared" si="20"/>
        <v>19</v>
      </c>
      <c r="Z27" s="66" t="s">
        <v>221</v>
      </c>
      <c r="AA27" s="66" t="s">
        <v>149</v>
      </c>
      <c r="AB27" s="66" t="s">
        <v>150</v>
      </c>
      <c r="AC27" s="66" t="s">
        <v>160</v>
      </c>
      <c r="AD27" s="66" t="s">
        <v>151</v>
      </c>
      <c r="AE27" s="66" t="s">
        <v>152</v>
      </c>
      <c r="AF27" s="66" t="s">
        <v>153</v>
      </c>
      <c r="AG27" s="66" t="s">
        <v>154</v>
      </c>
      <c r="AH27" s="66" t="s">
        <v>159</v>
      </c>
      <c r="AI27" s="66" t="s">
        <v>223</v>
      </c>
      <c r="AJ27" s="66" t="s">
        <v>224</v>
      </c>
      <c r="AK27" s="66" t="s">
        <v>222</v>
      </c>
      <c r="AL27" s="66" t="s">
        <v>636</v>
      </c>
      <c r="AM27" s="66" t="s">
        <v>637</v>
      </c>
      <c r="AN27" s="66" t="s">
        <v>638</v>
      </c>
      <c r="AP27" s="66"/>
      <c r="AQ27" s="66"/>
      <c r="AR27" s="66"/>
      <c r="AS27" s="66"/>
      <c r="AT27" s="66"/>
      <c r="AU27" s="66"/>
      <c r="AV27" s="66"/>
      <c r="AW27" s="66"/>
      <c r="AX27" s="66"/>
      <c r="AY27" s="71" t="s">
        <v>639</v>
      </c>
      <c r="AZ27" s="71" t="s">
        <v>642</v>
      </c>
      <c r="BA27" s="75" t="s">
        <v>640</v>
      </c>
      <c r="BB27" s="71" t="s">
        <v>641</v>
      </c>
      <c r="BC27" s="66"/>
      <c r="BD27" s="71"/>
      <c r="BE27" s="71"/>
      <c r="BF27" s="75"/>
      <c r="BG27" s="71"/>
      <c r="BH27" s="71"/>
      <c r="BI27" s="71"/>
      <c r="BJ27" s="71"/>
      <c r="BK27" s="71"/>
      <c r="BL27" s="71"/>
      <c r="BM27" s="71"/>
      <c r="BN27" s="71"/>
      <c r="BO27" s="71"/>
      <c r="BP27" s="71"/>
      <c r="BQ27" s="71"/>
      <c r="BR27" s="71"/>
      <c r="BS27" s="71" t="s">
        <v>149</v>
      </c>
      <c r="BT27" s="71" t="s">
        <v>150</v>
      </c>
      <c r="BU27" s="71" t="s">
        <v>160</v>
      </c>
      <c r="BV27" s="71" t="s">
        <v>151</v>
      </c>
      <c r="BW27" s="71" t="s">
        <v>152</v>
      </c>
      <c r="BX27" s="71" t="s">
        <v>153</v>
      </c>
      <c r="BY27" s="71" t="s">
        <v>154</v>
      </c>
      <c r="BZ27" s="71" t="s">
        <v>159</v>
      </c>
      <c r="CA27" s="71" t="s">
        <v>223</v>
      </c>
      <c r="CB27" s="71" t="s">
        <v>162</v>
      </c>
      <c r="CC27" s="71" t="s">
        <v>348</v>
      </c>
      <c r="CD27" s="71"/>
      <c r="CE27" s="71"/>
      <c r="CF27" s="71"/>
      <c r="CG27" s="71"/>
      <c r="CH27" s="71"/>
      <c r="CI27" s="71"/>
      <c r="CJ27" s="71"/>
      <c r="CK27" s="71"/>
      <c r="CL27" s="71"/>
      <c r="CM27" s="71"/>
      <c r="CN27" s="71"/>
      <c r="CO27" s="71"/>
      <c r="CP27" s="71"/>
      <c r="CQ27" s="71"/>
      <c r="CR27" s="71"/>
      <c r="CS27" s="71"/>
      <c r="CT27" s="71"/>
      <c r="CU27" s="71"/>
      <c r="CV27" s="71"/>
      <c r="CW27" s="71"/>
      <c r="CX27" s="71"/>
      <c r="CY27" s="71"/>
      <c r="CZ27" s="71"/>
      <c r="DA27" s="71"/>
      <c r="DB27" s="71"/>
      <c r="DC27" s="74">
        <f t="shared" si="2"/>
        <v>25</v>
      </c>
      <c r="DD27">
        <v>100</v>
      </c>
      <c r="DE27">
        <v>32</v>
      </c>
      <c r="DF27">
        <v>16</v>
      </c>
      <c r="DG27">
        <v>11.2</v>
      </c>
      <c r="DH27">
        <v>8</v>
      </c>
      <c r="DI27">
        <v>5.6</v>
      </c>
      <c r="DJ27">
        <v>4</v>
      </c>
      <c r="DK27">
        <v>2.8</v>
      </c>
      <c r="DL27">
        <v>2</v>
      </c>
      <c r="DM27">
        <v>1.4</v>
      </c>
      <c r="DN27">
        <v>1</v>
      </c>
      <c r="DO27">
        <v>120</v>
      </c>
      <c r="DP27">
        <v>10</v>
      </c>
      <c r="DQ27">
        <v>15</v>
      </c>
      <c r="DR27">
        <v>13</v>
      </c>
      <c r="EC27">
        <f>DQ27-DP27</f>
        <v>5</v>
      </c>
      <c r="ED27">
        <f>DQ27-DR27</f>
        <v>2</v>
      </c>
      <c r="EE27">
        <f>DR27-DP27</f>
        <v>3</v>
      </c>
      <c r="EF27">
        <f>(ED27/EC27)*100</f>
        <v>40</v>
      </c>
      <c r="EW27" s="78">
        <f t="shared" ref="EW27:FF27" si="23">IF(       AND($A$14="TARE",$A$15="TARE"),IF(DE27&gt;0,DE27-VLOOKUP($C27,$B$14:$N$15,COLUMN()-31),0),    IF(UPPER($A$14)="TARE",IF(DE27&gt;0,DE27-DE$14,0),DE27)        )</f>
        <v>32</v>
      </c>
      <c r="EX27" s="78">
        <f t="shared" si="23"/>
        <v>16</v>
      </c>
      <c r="EY27" s="78">
        <f t="shared" si="23"/>
        <v>11.2</v>
      </c>
      <c r="EZ27" s="78">
        <f t="shared" si="23"/>
        <v>8</v>
      </c>
      <c r="FA27" s="78">
        <f t="shared" si="23"/>
        <v>5.6</v>
      </c>
      <c r="FB27" s="78">
        <f t="shared" si="23"/>
        <v>4</v>
      </c>
      <c r="FC27" s="78">
        <f t="shared" si="23"/>
        <v>2.8</v>
      </c>
      <c r="FD27" s="78">
        <f t="shared" si="23"/>
        <v>2</v>
      </c>
      <c r="FE27" s="78">
        <f t="shared" si="23"/>
        <v>1.4</v>
      </c>
      <c r="FF27" s="78">
        <f t="shared" si="23"/>
        <v>1</v>
      </c>
      <c r="FG27" s="78">
        <f>DO27-DD27</f>
        <v>20</v>
      </c>
    </row>
    <row r="28" spans="1:190" ht="15.6" thickTop="1" thickBot="1" x14ac:dyDescent="0.35">
      <c r="A28" s="62">
        <f t="shared" si="3"/>
        <v>26</v>
      </c>
      <c r="B28" s="99" t="s">
        <v>650</v>
      </c>
      <c r="C28" s="62" t="str">
        <f t="shared" si="0"/>
        <v xml:space="preserve">26: PSA dry sieve 128mm - 1mm @ 1/2 phi intervals (for laser difffraction)                     </v>
      </c>
      <c r="D28" s="63">
        <f t="shared" si="4"/>
        <v>1</v>
      </c>
      <c r="E28" s="62">
        <v>1</v>
      </c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4">
        <f t="shared" si="20"/>
        <v>16</v>
      </c>
      <c r="Z28" s="66" t="s">
        <v>244</v>
      </c>
      <c r="AA28" s="66" t="s">
        <v>245</v>
      </c>
      <c r="AB28" s="66" t="s">
        <v>246</v>
      </c>
      <c r="AC28" s="66" t="s">
        <v>247</v>
      </c>
      <c r="AD28" s="66" t="s">
        <v>149</v>
      </c>
      <c r="AE28" s="66" t="s">
        <v>248</v>
      </c>
      <c r="AF28" s="66" t="s">
        <v>150</v>
      </c>
      <c r="AG28" s="66" t="s">
        <v>249</v>
      </c>
      <c r="AH28" s="66" t="s">
        <v>151</v>
      </c>
      <c r="AI28" s="66" t="s">
        <v>152</v>
      </c>
      <c r="AJ28" s="66" t="s">
        <v>153</v>
      </c>
      <c r="AK28" s="66" t="s">
        <v>154</v>
      </c>
      <c r="AL28" s="66" t="s">
        <v>236</v>
      </c>
      <c r="AM28" s="66" t="s">
        <v>223</v>
      </c>
      <c r="AN28" s="66" t="s">
        <v>225</v>
      </c>
      <c r="AO28" s="66" t="s">
        <v>155</v>
      </c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71"/>
      <c r="BE28" s="71"/>
      <c r="BF28" s="71"/>
      <c r="BG28" s="71"/>
      <c r="BH28" s="71"/>
      <c r="BI28" s="71"/>
      <c r="BJ28" s="71"/>
      <c r="BK28" s="71"/>
      <c r="BL28" s="71"/>
      <c r="BN28" s="71" t="s">
        <v>244</v>
      </c>
      <c r="BO28" s="71" t="s">
        <v>245</v>
      </c>
      <c r="BP28" s="71" t="s">
        <v>246</v>
      </c>
      <c r="BQ28" s="71" t="s">
        <v>247</v>
      </c>
      <c r="BR28" s="71" t="s">
        <v>149</v>
      </c>
      <c r="BS28" s="71" t="s">
        <v>248</v>
      </c>
      <c r="BT28" s="71" t="s">
        <v>150</v>
      </c>
      <c r="BU28" s="71" t="s">
        <v>249</v>
      </c>
      <c r="BV28" s="71" t="s">
        <v>151</v>
      </c>
      <c r="BW28" s="71" t="s">
        <v>152</v>
      </c>
      <c r="BX28" s="71" t="s">
        <v>153</v>
      </c>
      <c r="BY28" s="71" t="s">
        <v>154</v>
      </c>
      <c r="BZ28" s="71" t="s">
        <v>236</v>
      </c>
      <c r="CA28" s="71" t="s">
        <v>223</v>
      </c>
      <c r="CB28" s="71" t="s">
        <v>225</v>
      </c>
      <c r="CC28" s="71" t="s">
        <v>155</v>
      </c>
      <c r="CD28" s="71"/>
      <c r="CE28" s="71"/>
      <c r="CF28" s="71"/>
      <c r="CG28" s="71"/>
      <c r="CH28" s="71"/>
      <c r="CI28" s="71"/>
      <c r="CJ28" s="71" t="s">
        <v>370</v>
      </c>
      <c r="CK28" s="71" t="s">
        <v>371</v>
      </c>
      <c r="CL28" s="71" t="s">
        <v>372</v>
      </c>
      <c r="CM28" s="71" t="s">
        <v>373</v>
      </c>
      <c r="CN28" s="71" t="s">
        <v>374</v>
      </c>
      <c r="CO28" s="71" t="s">
        <v>375</v>
      </c>
      <c r="CP28" s="71" t="s">
        <v>376</v>
      </c>
      <c r="CQ28" s="71" t="s">
        <v>377</v>
      </c>
      <c r="CR28" s="71" t="s">
        <v>378</v>
      </c>
      <c r="CS28" s="71" t="s">
        <v>379</v>
      </c>
      <c r="CT28" s="71" t="s">
        <v>380</v>
      </c>
      <c r="CU28" s="71" t="s">
        <v>381</v>
      </c>
      <c r="CV28" s="71" t="s">
        <v>382</v>
      </c>
      <c r="CW28" s="71" t="s">
        <v>383</v>
      </c>
      <c r="CX28" s="71" t="s">
        <v>384</v>
      </c>
      <c r="CY28" s="71" t="s">
        <v>385</v>
      </c>
      <c r="CZ28" s="71"/>
      <c r="DA28" s="71"/>
      <c r="DB28" s="71"/>
      <c r="DC28" s="74">
        <f t="shared" si="2"/>
        <v>26</v>
      </c>
      <c r="DD28">
        <v>110</v>
      </c>
      <c r="DE28">
        <v>105</v>
      </c>
      <c r="DF28">
        <v>100</v>
      </c>
      <c r="DG28">
        <v>95</v>
      </c>
      <c r="DH28">
        <v>80</v>
      </c>
      <c r="DI28">
        <v>85</v>
      </c>
      <c r="DJ28">
        <v>75</v>
      </c>
      <c r="DK28">
        <v>70</v>
      </c>
      <c r="DL28">
        <v>75</v>
      </c>
      <c r="DM28">
        <v>80</v>
      </c>
      <c r="DN28">
        <v>85</v>
      </c>
      <c r="DO28">
        <v>90</v>
      </c>
      <c r="DP28">
        <v>95</v>
      </c>
      <c r="DQ28">
        <v>100</v>
      </c>
      <c r="DR28">
        <v>105</v>
      </c>
      <c r="DS28">
        <v>110</v>
      </c>
      <c r="ER28" s="78">
        <f t="shared" ref="ER28:FG28" si="24">IF(       AND($A$14="TARE",$A$15="TARE"),IF(DD28&gt;0,DD28-VLOOKUP($C28,$B$14:$K$15,COLUMN()-31),0),    IF(UPPER($A$14)="TARE",IF(DD28&gt;0,DD28-DD$14,0),DD28)        )</f>
        <v>110</v>
      </c>
      <c r="ES28" s="78">
        <f t="shared" si="24"/>
        <v>105</v>
      </c>
      <c r="ET28" s="78">
        <f t="shared" si="24"/>
        <v>100</v>
      </c>
      <c r="EU28" s="78">
        <f t="shared" si="24"/>
        <v>95</v>
      </c>
      <c r="EV28" s="78">
        <f t="shared" si="24"/>
        <v>80</v>
      </c>
      <c r="EW28" s="78">
        <f t="shared" si="24"/>
        <v>85</v>
      </c>
      <c r="EX28" s="78">
        <f t="shared" si="24"/>
        <v>75</v>
      </c>
      <c r="EY28" s="78">
        <f t="shared" si="24"/>
        <v>70</v>
      </c>
      <c r="EZ28" s="78">
        <f t="shared" si="24"/>
        <v>75</v>
      </c>
      <c r="FA28" s="78">
        <f t="shared" si="24"/>
        <v>80</v>
      </c>
      <c r="FB28" s="78">
        <f t="shared" si="24"/>
        <v>85</v>
      </c>
      <c r="FC28" s="78">
        <f t="shared" si="24"/>
        <v>90</v>
      </c>
      <c r="FD28" s="78">
        <f t="shared" si="24"/>
        <v>95</v>
      </c>
      <c r="FE28" s="78">
        <f t="shared" si="24"/>
        <v>100</v>
      </c>
      <c r="FF28" s="78">
        <f t="shared" si="24"/>
        <v>105</v>
      </c>
      <c r="FG28" s="78">
        <f t="shared" si="24"/>
        <v>110</v>
      </c>
      <c r="FH28" s="78"/>
      <c r="FI28" s="78"/>
      <c r="FJ28" s="78"/>
      <c r="FK28" s="78"/>
      <c r="FL28" s="78"/>
      <c r="FN28" s="80">
        <f>ER28/SUM(ER28:FL28)*100</f>
        <v>7.5342465753424657</v>
      </c>
      <c r="FO28" s="80">
        <f>ES28/SUM(ER28:FL28)*100</f>
        <v>7.1917808219178081</v>
      </c>
      <c r="FP28" s="80">
        <f>ET28/SUM(ER28:FL28)*100</f>
        <v>6.8493150684931505</v>
      </c>
      <c r="FQ28" s="80">
        <f>EU28/SUM(ER28:FL28)*100</f>
        <v>6.506849315068493</v>
      </c>
      <c r="FR28" s="80">
        <f>EV28/SUM(ER28:FL28)*100</f>
        <v>5.4794520547945202</v>
      </c>
      <c r="FS28" s="80">
        <f>EW28/SUM(ER28:FL28)*100</f>
        <v>5.8219178082191778</v>
      </c>
      <c r="FT28" s="80">
        <f>EX28/SUM(ER28:FL28)*100</f>
        <v>5.1369863013698627</v>
      </c>
      <c r="FU28" s="80">
        <f>EY28/SUM(ER28:FL28)*100</f>
        <v>4.7945205479452051</v>
      </c>
      <c r="FV28" s="80">
        <f>EZ28/SUM(ER28:FL28)*100</f>
        <v>5.1369863013698627</v>
      </c>
      <c r="FW28" s="80">
        <f>FA28/SUM(ER28:FL28)*100</f>
        <v>5.4794520547945202</v>
      </c>
      <c r="FX28" s="80">
        <f>FB28/SUM(ER28:FL28)*100</f>
        <v>5.8219178082191778</v>
      </c>
      <c r="FY28" s="80">
        <f>FC28/SUM(ER28:FL28)*100</f>
        <v>6.1643835616438354</v>
      </c>
      <c r="FZ28" s="80">
        <f>FD28/SUM(ER28:FL28)*100</f>
        <v>6.506849315068493</v>
      </c>
      <c r="GA28" s="80">
        <f>FE28/SUM(ER28:FL28)*100</f>
        <v>6.8493150684931505</v>
      </c>
      <c r="GB28" s="80">
        <f>FF28/SUM(ER28:FL28)*100</f>
        <v>7.1917808219178081</v>
      </c>
      <c r="GC28" s="80">
        <f>FG28/SUM(ER28:FL28)*100</f>
        <v>7.5342465753424657</v>
      </c>
      <c r="GD28" s="80">
        <f>FH28/SUM(ER28:FL28)*100</f>
        <v>0</v>
      </c>
      <c r="GE28" s="80">
        <f>FI28/SUM(ER28:FL28)*100</f>
        <v>0</v>
      </c>
      <c r="GF28" s="80">
        <f>FJ28/SUM(ER28:FL28)*100</f>
        <v>0</v>
      </c>
      <c r="GG28" s="80">
        <f>FK28/SUM(ER28:FL28)*100</f>
        <v>0</v>
      </c>
      <c r="GH28" s="80">
        <f>FL28/SUM(ER28:FL28)*100</f>
        <v>0</v>
      </c>
    </row>
    <row r="29" spans="1:190" ht="15.6" thickTop="1" thickBot="1" x14ac:dyDescent="0.35">
      <c r="A29" s="62">
        <f t="shared" si="3"/>
        <v>27</v>
      </c>
      <c r="B29" s="99" t="s">
        <v>114</v>
      </c>
      <c r="C29" s="62" t="str">
        <f t="shared" si="0"/>
        <v xml:space="preserve">27: PSA dry sieve 128mm - 1.4mm @ 1/2 phi intervals                            </v>
      </c>
      <c r="D29" s="63">
        <f t="shared" si="4"/>
        <v>1</v>
      </c>
      <c r="E29" s="62">
        <v>1</v>
      </c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4">
        <f t="shared" si="20"/>
        <v>15</v>
      </c>
      <c r="Z29" s="66" t="s">
        <v>244</v>
      </c>
      <c r="AA29" s="66" t="s">
        <v>245</v>
      </c>
      <c r="AB29" s="66" t="s">
        <v>246</v>
      </c>
      <c r="AC29" s="66" t="s">
        <v>247</v>
      </c>
      <c r="AD29" s="66" t="s">
        <v>149</v>
      </c>
      <c r="AE29" s="66" t="s">
        <v>248</v>
      </c>
      <c r="AF29" s="66" t="s">
        <v>150</v>
      </c>
      <c r="AG29" s="66" t="s">
        <v>249</v>
      </c>
      <c r="AH29" s="66" t="s">
        <v>151</v>
      </c>
      <c r="AI29" s="66" t="s">
        <v>152</v>
      </c>
      <c r="AJ29" s="66" t="s">
        <v>153</v>
      </c>
      <c r="AK29" s="66" t="s">
        <v>154</v>
      </c>
      <c r="AL29" s="66" t="s">
        <v>236</v>
      </c>
      <c r="AM29" s="66" t="s">
        <v>223</v>
      </c>
      <c r="AN29" s="66" t="s">
        <v>155</v>
      </c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71" t="s">
        <v>244</v>
      </c>
      <c r="BE29" s="71" t="s">
        <v>245</v>
      </c>
      <c r="BF29" s="71" t="s">
        <v>246</v>
      </c>
      <c r="BG29" s="71" t="s">
        <v>247</v>
      </c>
      <c r="BH29" s="71" t="s">
        <v>149</v>
      </c>
      <c r="BI29" s="71" t="s">
        <v>248</v>
      </c>
      <c r="BJ29" s="71" t="s">
        <v>150</v>
      </c>
      <c r="BK29" s="71" t="s">
        <v>249</v>
      </c>
      <c r="BL29" s="71" t="s">
        <v>151</v>
      </c>
      <c r="BM29" s="71" t="s">
        <v>152</v>
      </c>
      <c r="BN29" s="71" t="s">
        <v>153</v>
      </c>
      <c r="BO29" s="71" t="s">
        <v>154</v>
      </c>
      <c r="BP29" s="71" t="s">
        <v>236</v>
      </c>
      <c r="BQ29" s="71" t="s">
        <v>223</v>
      </c>
      <c r="BR29" s="71" t="s">
        <v>155</v>
      </c>
      <c r="BS29" s="71"/>
      <c r="BT29" s="71"/>
      <c r="BU29" s="71"/>
      <c r="BV29" s="71"/>
      <c r="BW29" s="71"/>
      <c r="BX29" s="71"/>
      <c r="BY29" s="71"/>
      <c r="BZ29" s="71" t="s">
        <v>370</v>
      </c>
      <c r="CA29" s="71" t="s">
        <v>371</v>
      </c>
      <c r="CB29" s="71" t="s">
        <v>372</v>
      </c>
      <c r="CC29" s="71" t="s">
        <v>373</v>
      </c>
      <c r="CD29" s="71" t="s">
        <v>374</v>
      </c>
      <c r="CE29" s="71" t="s">
        <v>375</v>
      </c>
      <c r="CF29" s="71" t="s">
        <v>376</v>
      </c>
      <c r="CG29" s="71" t="s">
        <v>377</v>
      </c>
      <c r="CH29" s="71" t="s">
        <v>378</v>
      </c>
      <c r="CI29" s="71" t="s">
        <v>379</v>
      </c>
      <c r="CJ29" s="71" t="s">
        <v>380</v>
      </c>
      <c r="CK29" s="71" t="s">
        <v>381</v>
      </c>
      <c r="CL29" s="71" t="s">
        <v>382</v>
      </c>
      <c r="CM29" s="71" t="s">
        <v>383</v>
      </c>
      <c r="CN29" s="71" t="s">
        <v>385</v>
      </c>
      <c r="CO29" s="71"/>
      <c r="CP29" s="71"/>
      <c r="CQ29" s="71"/>
      <c r="CR29" s="71"/>
      <c r="CS29" s="71"/>
      <c r="CT29" s="71"/>
      <c r="CU29" s="71"/>
      <c r="CV29" s="71"/>
      <c r="CW29" s="71"/>
      <c r="CX29" s="71"/>
      <c r="CY29" s="71"/>
      <c r="CZ29" s="71"/>
      <c r="DA29" s="71"/>
      <c r="DB29" s="71"/>
      <c r="DC29" s="74">
        <f t="shared" si="2"/>
        <v>27</v>
      </c>
      <c r="DD29">
        <v>110</v>
      </c>
      <c r="DE29">
        <v>105</v>
      </c>
      <c r="DF29">
        <v>100</v>
      </c>
      <c r="DG29">
        <v>95</v>
      </c>
      <c r="DH29">
        <v>80</v>
      </c>
      <c r="DI29">
        <v>85</v>
      </c>
      <c r="DJ29">
        <v>75</v>
      </c>
      <c r="DK29">
        <v>70</v>
      </c>
      <c r="DL29">
        <v>75</v>
      </c>
      <c r="DM29">
        <v>80</v>
      </c>
      <c r="DN29">
        <v>85</v>
      </c>
      <c r="DO29">
        <v>90</v>
      </c>
      <c r="DP29">
        <v>95</v>
      </c>
      <c r="DQ29">
        <v>100</v>
      </c>
      <c r="DR29">
        <v>105</v>
      </c>
      <c r="EH29" s="78">
        <f t="shared" ref="EH29:EI41" si="25">IF(       AND($A$14="TARE",$A$15="TARE"),IF(DD29&gt;0,DD29-VLOOKUP($C29,$B$14:$K$15,COLUMN()-31),0),    IF(UPPER($A$14)="TARE",IF(DD29&gt;0,DD29-DD$14,0),DD29)        )</f>
        <v>110</v>
      </c>
      <c r="EI29" s="78">
        <f t="shared" si="25"/>
        <v>105</v>
      </c>
      <c r="EJ29" s="78">
        <f t="shared" ref="EJ29" si="26">IF(       AND($A$14="TARE",$A$15="TARE"),IF(DF29&gt;0,DF29-VLOOKUP($C29,$B$14:$K$15,COLUMN()-31),0),    IF(UPPER($A$14)="TARE",IF(DF29&gt;0,DF29-DF$14,0),DF29)        )</f>
        <v>100</v>
      </c>
      <c r="EK29" s="78">
        <f t="shared" ref="EK29" si="27">IF(       AND($A$14="TARE",$A$15="TARE"),IF(DG29&gt;0,DG29-VLOOKUP($C29,$B$14:$K$15,COLUMN()-31),0),    IF(UPPER($A$14)="TARE",IF(DG29&gt;0,DG29-DG$14,0),DG29)        )</f>
        <v>95</v>
      </c>
      <c r="EL29" s="78">
        <f t="shared" ref="EL29" si="28">IF(       AND($A$14="TARE",$A$15="TARE"),IF(DH29&gt;0,DH29-VLOOKUP($C29,$B$14:$K$15,COLUMN()-31),0),    IF(UPPER($A$14)="TARE",IF(DH29&gt;0,DH29-DH$14,0),DH29)        )</f>
        <v>80</v>
      </c>
      <c r="EM29" s="78">
        <f t="shared" ref="EM29" si="29">IF(       AND($A$14="TARE",$A$15="TARE"),IF(DI29&gt;0,DI29-VLOOKUP($C29,$B$14:$K$15,COLUMN()-31),0),    IF(UPPER($A$14)="TARE",IF(DI29&gt;0,DI29-DI$14,0),DI29)        )</f>
        <v>85</v>
      </c>
      <c r="EN29" s="78">
        <f t="shared" ref="EN29" si="30">IF(       AND($A$14="TARE",$A$15="TARE"),IF(DJ29&gt;0,DJ29-VLOOKUP($C29,$B$14:$K$15,COLUMN()-31),0),    IF(UPPER($A$14)="TARE",IF(DJ29&gt;0,DJ29-DJ$14,0),DJ29)        )</f>
        <v>75</v>
      </c>
      <c r="EO29" s="78">
        <f t="shared" ref="EO29" si="31">IF(       AND($A$14="TARE",$A$15="TARE"),IF(DK29&gt;0,DK29-VLOOKUP($C29,$B$14:$K$15,COLUMN()-31),0),    IF(UPPER($A$14)="TARE",IF(DK29&gt;0,DK29-DK$14,0),DK29)        )</f>
        <v>70</v>
      </c>
      <c r="EP29" s="78">
        <f t="shared" ref="EP29" si="32">IF(       AND($A$14="TARE",$A$15="TARE"),IF(DL29&gt;0,DL29-VLOOKUP($C29,$B$14:$K$15,COLUMN()-31),0),    IF(UPPER($A$14)="TARE",IF(DL29&gt;0,DL29-DL$14,0),DL29)        )</f>
        <v>75</v>
      </c>
      <c r="EQ29" s="78">
        <f t="shared" ref="EQ29" si="33">IF(       AND($A$14="TARE",$A$15="TARE"),IF(DM29&gt;0,DM29-VLOOKUP($C29,$B$14:$K$15,COLUMN()-31),0),    IF(UPPER($A$14)="TARE",IF(DM29&gt;0,DM29-DM$14,0),DM29)        )</f>
        <v>80</v>
      </c>
      <c r="ER29" s="78">
        <f t="shared" ref="ER29" si="34">IF(       AND($A$14="TARE",$A$15="TARE"),IF(DN29&gt;0,DN29-VLOOKUP($C29,$B$14:$K$15,COLUMN()-31),0),    IF(UPPER($A$14)="TARE",IF(DN29&gt;0,DN29-DN$14,0),DN29)        )</f>
        <v>85</v>
      </c>
      <c r="ES29" s="78">
        <f t="shared" ref="ES29" si="35">IF(       AND($A$14="TARE",$A$15="TARE"),IF(DO29&gt;0,DO29-VLOOKUP($C29,$B$14:$K$15,COLUMN()-31),0),    IF(UPPER($A$14)="TARE",IF(DO29&gt;0,DO29-DO$14,0),DO29)        )</f>
        <v>90</v>
      </c>
      <c r="ET29" s="78">
        <f t="shared" ref="ET29" si="36">IF(       AND($A$14="TARE",$A$15="TARE"),IF(DP29&gt;0,DP29-VLOOKUP($C29,$B$14:$K$15,COLUMN()-31),0),    IF(UPPER($A$14)="TARE",IF(DP29&gt;0,DP29-DP$14,0),DP29)        )</f>
        <v>95</v>
      </c>
      <c r="EU29" s="78">
        <f t="shared" ref="EU29" si="37">IF(       AND($A$14="TARE",$A$15="TARE"),IF(DQ29&gt;0,DQ29-VLOOKUP($C29,$B$14:$K$15,COLUMN()-31),0),    IF(UPPER($A$14)="TARE",IF(DQ29&gt;0,DQ29-DQ$14,0),DQ29)        )</f>
        <v>100</v>
      </c>
      <c r="EV29" s="78">
        <f t="shared" ref="EV29" si="38">IF(       AND($A$14="TARE",$A$15="TARE"),IF(DR29&gt;0,DR29-VLOOKUP($C29,$B$14:$K$15,COLUMN()-31),0),    IF(UPPER($A$14)="TARE",IF(DR29&gt;0,DR29-DR$14,0),DR29)        )</f>
        <v>105</v>
      </c>
      <c r="EW29" s="78"/>
      <c r="EX29" s="78"/>
      <c r="EY29" s="78"/>
      <c r="EZ29" s="78"/>
      <c r="FA29" s="78"/>
      <c r="FB29" s="78"/>
      <c r="FD29" s="80">
        <f t="shared" ref="FD29:FD40" si="39">EH29/SUM(EH29:FB29)*100</f>
        <v>8.1481481481481488</v>
      </c>
      <c r="FE29" s="80">
        <f t="shared" ref="FE29:FE40" si="40">EI29/SUM(EH29:FB29)*100</f>
        <v>7.7777777777777777</v>
      </c>
      <c r="FF29" s="80">
        <f t="shared" ref="FF29:FF40" si="41">EJ29/SUM(EH29:FB29)*100</f>
        <v>7.4074074074074066</v>
      </c>
      <c r="FG29" s="80">
        <f t="shared" ref="FG29:FG40" si="42">EK29/SUM(EH29:FB29)*100</f>
        <v>7.0370370370370372</v>
      </c>
      <c r="FH29" s="80">
        <f t="shared" ref="FH29:FH40" si="43">EL29/SUM(EH29:FB29)*100</f>
        <v>5.9259259259259265</v>
      </c>
      <c r="FI29" s="80">
        <f t="shared" ref="FI29:FI40" si="44">EM29/SUM(EH29:FB29)*100</f>
        <v>6.2962962962962958</v>
      </c>
      <c r="FJ29" s="80">
        <f t="shared" ref="FJ29:FJ40" si="45">EN29/SUM(EH29:FB29)*100</f>
        <v>5.5555555555555554</v>
      </c>
      <c r="FK29" s="80">
        <f t="shared" ref="FK29:FK40" si="46">EO29/SUM(EH29:FB29)*100</f>
        <v>5.1851851851851851</v>
      </c>
      <c r="FL29" s="80">
        <f t="shared" ref="FL29:FL40" si="47">EP29/SUM(EH29:FB29)*100</f>
        <v>5.5555555555555554</v>
      </c>
      <c r="FM29" s="80">
        <f t="shared" ref="FM29:FM40" si="48">EQ29/SUM(EH29:FB29)*100</f>
        <v>5.9259259259259265</v>
      </c>
      <c r="FN29" s="80">
        <f t="shared" ref="FN29:FN40" si="49">ER29/SUM(EH29:FB29)*100</f>
        <v>6.2962962962962958</v>
      </c>
      <c r="FO29" s="80">
        <f t="shared" ref="FO29:FO40" si="50">ES29/SUM(EH29:FB29)*100</f>
        <v>6.666666666666667</v>
      </c>
      <c r="FP29" s="80">
        <f t="shared" ref="FP29:FP40" si="51">ET29/SUM(EH29:FB29)*100</f>
        <v>7.0370370370370372</v>
      </c>
      <c r="FQ29" s="80">
        <f t="shared" ref="FQ29:FQ40" si="52">EU29/SUM(EH29:FB29)*100</f>
        <v>7.4074074074074066</v>
      </c>
      <c r="FR29" s="80">
        <f t="shared" ref="FR29:FR40" si="53">EV29/SUM(EH29:FB29)*100</f>
        <v>7.7777777777777777</v>
      </c>
      <c r="FS29" s="80">
        <f t="shared" ref="FS29:FS40" si="54">EW29/SUM(EH29:FB29)*100</f>
        <v>0</v>
      </c>
      <c r="FT29" s="80">
        <f t="shared" ref="FT29:FT40" si="55">EX29/SUM(EH29:FB29)*100</f>
        <v>0</v>
      </c>
      <c r="FU29" s="80">
        <f t="shared" ref="FU29:FU40" si="56">EY29/SUM(EH29:FB29)*100</f>
        <v>0</v>
      </c>
      <c r="FV29" s="80">
        <f t="shared" ref="FV29:FV40" si="57">EZ29/SUM(EH29:FB29)*100</f>
        <v>0</v>
      </c>
      <c r="FW29" s="80">
        <f t="shared" ref="FW29:FW40" si="58">FA29/SUM(EH29:FB29)*100</f>
        <v>0</v>
      </c>
      <c r="FX29" s="80">
        <f t="shared" ref="FX29:FX40" si="59">FB29/SUM(EH29:FB29)*100</f>
        <v>0</v>
      </c>
    </row>
    <row r="30" spans="1:190" ht="15.6" thickTop="1" thickBot="1" x14ac:dyDescent="0.35">
      <c r="A30" s="62">
        <f t="shared" si="3"/>
        <v>28</v>
      </c>
      <c r="B30" s="99" t="s">
        <v>287</v>
      </c>
      <c r="C30" s="62" t="str">
        <f t="shared" si="0"/>
        <v xml:space="preserve">28: PSA dry sieve 32mm - 1mm @ 1/2 phi intervals                               </v>
      </c>
      <c r="D30" s="63">
        <f t="shared" si="4"/>
        <v>1</v>
      </c>
      <c r="E30" s="62">
        <v>1</v>
      </c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4">
        <f t="shared" si="20"/>
        <v>12</v>
      </c>
      <c r="Z30" s="66" t="s">
        <v>149</v>
      </c>
      <c r="AA30" s="66" t="s">
        <v>288</v>
      </c>
      <c r="AB30" s="66" t="s">
        <v>150</v>
      </c>
      <c r="AC30" s="66" t="s">
        <v>160</v>
      </c>
      <c r="AD30" s="66" t="s">
        <v>151</v>
      </c>
      <c r="AE30" s="66" t="s">
        <v>152</v>
      </c>
      <c r="AF30" s="66" t="s">
        <v>153</v>
      </c>
      <c r="AG30" s="66" t="s">
        <v>154</v>
      </c>
      <c r="AH30" s="66" t="s">
        <v>236</v>
      </c>
      <c r="AI30" s="66" t="s">
        <v>223</v>
      </c>
      <c r="AJ30" s="66" t="s">
        <v>162</v>
      </c>
      <c r="AK30" s="66" t="s">
        <v>155</v>
      </c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71" t="s">
        <v>149</v>
      </c>
      <c r="BE30" s="71" t="s">
        <v>288</v>
      </c>
      <c r="BF30" s="71" t="s">
        <v>150</v>
      </c>
      <c r="BG30" s="71" t="s">
        <v>160</v>
      </c>
      <c r="BH30" s="71" t="s">
        <v>151</v>
      </c>
      <c r="BI30" s="71" t="s">
        <v>152</v>
      </c>
      <c r="BJ30" s="71" t="s">
        <v>153</v>
      </c>
      <c r="BK30" s="71" t="s">
        <v>154</v>
      </c>
      <c r="BL30" s="71" t="s">
        <v>236</v>
      </c>
      <c r="BM30" s="71" t="s">
        <v>223</v>
      </c>
      <c r="BN30" s="71" t="s">
        <v>162</v>
      </c>
      <c r="BO30" s="71" t="s">
        <v>155</v>
      </c>
      <c r="BP30" s="71"/>
      <c r="BQ30" s="71"/>
      <c r="BR30" s="71"/>
      <c r="BS30" s="71"/>
      <c r="BT30" s="71"/>
      <c r="BU30" s="71"/>
      <c r="BV30" s="71"/>
      <c r="BW30" s="71"/>
      <c r="BX30" s="71"/>
      <c r="BY30" s="71"/>
      <c r="BZ30" s="71" t="s">
        <v>374</v>
      </c>
      <c r="CA30" s="71" t="s">
        <v>386</v>
      </c>
      <c r="CB30" s="71" t="s">
        <v>376</v>
      </c>
      <c r="CC30" s="71" t="s">
        <v>387</v>
      </c>
      <c r="CD30" s="71" t="s">
        <v>378</v>
      </c>
      <c r="CE30" s="71" t="s">
        <v>379</v>
      </c>
      <c r="CF30" s="71" t="s">
        <v>380</v>
      </c>
      <c r="CG30" s="71" t="s">
        <v>381</v>
      </c>
      <c r="CH30" s="71" t="s">
        <v>382</v>
      </c>
      <c r="CI30" s="71" t="s">
        <v>383</v>
      </c>
      <c r="CJ30" s="71" t="s">
        <v>365</v>
      </c>
      <c r="CK30" s="71" t="s">
        <v>385</v>
      </c>
      <c r="CL30" s="71"/>
      <c r="CM30" s="71"/>
      <c r="CN30" s="71"/>
      <c r="CO30" s="71"/>
      <c r="CP30" s="71"/>
      <c r="CQ30" s="71"/>
      <c r="CR30" s="71"/>
      <c r="CS30" s="71"/>
      <c r="CT30" s="71"/>
      <c r="CU30" s="71"/>
      <c r="CV30" s="71"/>
      <c r="CW30" s="71"/>
      <c r="CX30" s="71"/>
      <c r="CY30" s="71"/>
      <c r="CZ30" s="71"/>
      <c r="DA30" s="71"/>
      <c r="DB30" s="71"/>
      <c r="DC30" s="74">
        <f t="shared" si="2"/>
        <v>28</v>
      </c>
      <c r="DD30">
        <v>110</v>
      </c>
      <c r="DE30">
        <v>105</v>
      </c>
      <c r="DF30">
        <v>100</v>
      </c>
      <c r="DG30">
        <v>95</v>
      </c>
      <c r="DH30">
        <v>80</v>
      </c>
      <c r="DI30">
        <v>85</v>
      </c>
      <c r="DJ30">
        <v>75</v>
      </c>
      <c r="DK30">
        <v>70</v>
      </c>
      <c r="DL30">
        <v>75</v>
      </c>
      <c r="DM30">
        <v>80</v>
      </c>
      <c r="DN30">
        <v>85</v>
      </c>
      <c r="DO30">
        <v>90</v>
      </c>
      <c r="EH30" s="78">
        <f t="shared" si="25"/>
        <v>110</v>
      </c>
      <c r="EI30" s="78">
        <f t="shared" si="25"/>
        <v>105</v>
      </c>
      <c r="EJ30" s="78">
        <f t="shared" ref="EJ30" si="60">IF(       AND($A$14="TARE",$A$15="TARE"),IF(DF30&gt;0,DF30-VLOOKUP($C30,$B$14:$K$15,COLUMN()-31),0),    IF(UPPER($A$14)="TARE",IF(DF30&gt;0,DF30-DF$14,0),DF30)        )</f>
        <v>100</v>
      </c>
      <c r="EK30" s="78">
        <f t="shared" ref="EK30" si="61">IF(       AND($A$14="TARE",$A$15="TARE"),IF(DG30&gt;0,DG30-VLOOKUP($C30,$B$14:$K$15,COLUMN()-31),0),    IF(UPPER($A$14)="TARE",IF(DG30&gt;0,DG30-DG$14,0),DG30)        )</f>
        <v>95</v>
      </c>
      <c r="EL30" s="78">
        <f t="shared" ref="EL30" si="62">IF(       AND($A$14="TARE",$A$15="TARE"),IF(DH30&gt;0,DH30-VLOOKUP($C30,$B$14:$K$15,COLUMN()-31),0),    IF(UPPER($A$14)="TARE",IF(DH30&gt;0,DH30-DH$14,0),DH30)        )</f>
        <v>80</v>
      </c>
      <c r="EM30" s="78">
        <f t="shared" ref="EM30" si="63">IF(       AND($A$14="TARE",$A$15="TARE"),IF(DI30&gt;0,DI30-VLOOKUP($C30,$B$14:$K$15,COLUMN()-31),0),    IF(UPPER($A$14)="TARE",IF(DI30&gt;0,DI30-DI$14,0),DI30)        )</f>
        <v>85</v>
      </c>
      <c r="EN30" s="78">
        <f t="shared" ref="EN30" si="64">IF(       AND($A$14="TARE",$A$15="TARE"),IF(DJ30&gt;0,DJ30-VLOOKUP($C30,$B$14:$K$15,COLUMN()-31),0),    IF(UPPER($A$14)="TARE",IF(DJ30&gt;0,DJ30-DJ$14,0),DJ30)        )</f>
        <v>75</v>
      </c>
      <c r="EO30" s="78">
        <f t="shared" ref="EO30" si="65">IF(       AND($A$14="TARE",$A$15="TARE"),IF(DK30&gt;0,DK30-VLOOKUP($C30,$B$14:$K$15,COLUMN()-31),0),    IF(UPPER($A$14)="TARE",IF(DK30&gt;0,DK30-DK$14,0),DK30)        )</f>
        <v>70</v>
      </c>
      <c r="EP30" s="78">
        <f t="shared" ref="EP30" si="66">IF(       AND($A$14="TARE",$A$15="TARE"),IF(DL30&gt;0,DL30-VLOOKUP($C30,$B$14:$K$15,COLUMN()-31),0),    IF(UPPER($A$14)="TARE",IF(DL30&gt;0,DL30-DL$14,0),DL30)        )</f>
        <v>75</v>
      </c>
      <c r="EQ30" s="78">
        <f t="shared" ref="EQ30" si="67">IF(       AND($A$14="TARE",$A$15="TARE"),IF(DM30&gt;0,DM30-VLOOKUP($C30,$B$14:$K$15,COLUMN()-31),0),    IF(UPPER($A$14)="TARE",IF(DM30&gt;0,DM30-DM$14,0),DM30)        )</f>
        <v>80</v>
      </c>
      <c r="ER30" s="78">
        <f t="shared" ref="ER30" si="68">IF(       AND($A$14="TARE",$A$15="TARE"),IF(DN30&gt;0,DN30-VLOOKUP($C30,$B$14:$K$15,COLUMN()-31),0),    IF(UPPER($A$14)="TARE",IF(DN30&gt;0,DN30-DN$14,0),DN30)        )</f>
        <v>85</v>
      </c>
      <c r="ES30" s="78">
        <f t="shared" ref="ES30" si="69">IF(       AND($A$14="TARE",$A$15="TARE"),IF(DO30&gt;0,DO30-VLOOKUP($C30,$B$14:$K$15,COLUMN()-31),0),    IF(UPPER($A$14)="TARE",IF(DO30&gt;0,DO30-DO$14,0),DO30)        )</f>
        <v>90</v>
      </c>
      <c r="ET30" s="78"/>
      <c r="EU30" s="78"/>
      <c r="EV30" s="78"/>
      <c r="EW30" s="78"/>
      <c r="EX30" s="78"/>
      <c r="EY30" s="78"/>
      <c r="EZ30" s="78"/>
      <c r="FA30" s="78"/>
      <c r="FB30" s="78"/>
      <c r="FD30" s="80">
        <f t="shared" si="39"/>
        <v>10.476190476190476</v>
      </c>
      <c r="FE30" s="80">
        <f t="shared" si="40"/>
        <v>10</v>
      </c>
      <c r="FF30" s="80">
        <f t="shared" si="41"/>
        <v>9.5238095238095237</v>
      </c>
      <c r="FG30" s="80">
        <f t="shared" si="42"/>
        <v>9.0476190476190474</v>
      </c>
      <c r="FH30" s="80">
        <f t="shared" si="43"/>
        <v>7.6190476190476195</v>
      </c>
      <c r="FI30" s="80">
        <f t="shared" si="44"/>
        <v>8.0952380952380949</v>
      </c>
      <c r="FJ30" s="80">
        <f t="shared" si="45"/>
        <v>7.1428571428571423</v>
      </c>
      <c r="FK30" s="80">
        <f t="shared" si="46"/>
        <v>6.666666666666667</v>
      </c>
      <c r="FL30" s="80">
        <f t="shared" si="47"/>
        <v>7.1428571428571423</v>
      </c>
      <c r="FM30" s="80">
        <f t="shared" si="48"/>
        <v>7.6190476190476195</v>
      </c>
      <c r="FN30" s="80">
        <f t="shared" si="49"/>
        <v>8.0952380952380949</v>
      </c>
      <c r="FO30" s="80">
        <f t="shared" si="50"/>
        <v>8.5714285714285712</v>
      </c>
      <c r="FP30" s="80">
        <f t="shared" si="51"/>
        <v>0</v>
      </c>
      <c r="FQ30" s="80">
        <f t="shared" si="52"/>
        <v>0</v>
      </c>
      <c r="FR30" s="80">
        <f t="shared" si="53"/>
        <v>0</v>
      </c>
      <c r="FS30" s="80">
        <f t="shared" si="54"/>
        <v>0</v>
      </c>
      <c r="FT30" s="80">
        <f t="shared" si="55"/>
        <v>0</v>
      </c>
      <c r="FU30" s="80">
        <f t="shared" si="56"/>
        <v>0</v>
      </c>
      <c r="FV30" s="80">
        <f t="shared" si="57"/>
        <v>0</v>
      </c>
      <c r="FW30" s="80">
        <f t="shared" si="58"/>
        <v>0</v>
      </c>
      <c r="FX30" s="80">
        <f t="shared" si="59"/>
        <v>0</v>
      </c>
    </row>
    <row r="31" spans="1:190" ht="15.6" thickTop="1" thickBot="1" x14ac:dyDescent="0.35">
      <c r="A31" s="62">
        <f t="shared" si="3"/>
        <v>29</v>
      </c>
      <c r="B31" s="99" t="s">
        <v>113</v>
      </c>
      <c r="C31" s="62" t="str">
        <f t="shared" si="0"/>
        <v xml:space="preserve">29: PSA dry sieve 32mm - 1mm @ 1/4 phi intervals                               </v>
      </c>
      <c r="D31" s="63">
        <f t="shared" si="4"/>
        <v>1</v>
      </c>
      <c r="E31" s="62">
        <v>1</v>
      </c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4">
        <f t="shared" si="20"/>
        <v>19</v>
      </c>
      <c r="Z31" s="66" t="s">
        <v>149</v>
      </c>
      <c r="AA31" s="66" t="s">
        <v>150</v>
      </c>
      <c r="AB31" s="66" t="s">
        <v>238</v>
      </c>
      <c r="AC31" s="66" t="s">
        <v>160</v>
      </c>
      <c r="AD31" s="66" t="s">
        <v>239</v>
      </c>
      <c r="AE31" s="66" t="s">
        <v>151</v>
      </c>
      <c r="AF31" s="66" t="s">
        <v>240</v>
      </c>
      <c r="AG31" s="66" t="s">
        <v>152</v>
      </c>
      <c r="AH31" s="66" t="s">
        <v>234</v>
      </c>
      <c r="AI31" s="66" t="s">
        <v>153</v>
      </c>
      <c r="AJ31" s="66" t="s">
        <v>241</v>
      </c>
      <c r="AK31" s="66" t="s">
        <v>154</v>
      </c>
      <c r="AL31" s="66" t="s">
        <v>235</v>
      </c>
      <c r="AM31" s="66" t="s">
        <v>236</v>
      </c>
      <c r="AN31" s="66" t="s">
        <v>242</v>
      </c>
      <c r="AO31" s="66" t="s">
        <v>223</v>
      </c>
      <c r="AP31" s="66" t="s">
        <v>243</v>
      </c>
      <c r="AQ31" s="66" t="s">
        <v>162</v>
      </c>
      <c r="AR31" s="66" t="s">
        <v>155</v>
      </c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71" t="s">
        <v>149</v>
      </c>
      <c r="BE31" s="71" t="s">
        <v>150</v>
      </c>
      <c r="BF31" s="71" t="s">
        <v>238</v>
      </c>
      <c r="BG31" s="71" t="s">
        <v>160</v>
      </c>
      <c r="BH31" s="71" t="s">
        <v>239</v>
      </c>
      <c r="BI31" s="71" t="s">
        <v>151</v>
      </c>
      <c r="BJ31" s="71" t="s">
        <v>240</v>
      </c>
      <c r="BK31" s="71" t="s">
        <v>152</v>
      </c>
      <c r="BL31" s="71" t="s">
        <v>234</v>
      </c>
      <c r="BM31" s="71" t="s">
        <v>153</v>
      </c>
      <c r="BN31" s="71" t="s">
        <v>241</v>
      </c>
      <c r="BO31" s="71" t="s">
        <v>154</v>
      </c>
      <c r="BP31" s="71" t="s">
        <v>235</v>
      </c>
      <c r="BQ31" s="71" t="s">
        <v>236</v>
      </c>
      <c r="BR31" s="71" t="s">
        <v>242</v>
      </c>
      <c r="BS31" s="71" t="s">
        <v>223</v>
      </c>
      <c r="BT31" s="71" t="s">
        <v>243</v>
      </c>
      <c r="BU31" s="71" t="s">
        <v>162</v>
      </c>
      <c r="BV31" s="71" t="s">
        <v>155</v>
      </c>
      <c r="BW31" s="71"/>
      <c r="BX31" s="71"/>
      <c r="BY31" s="71"/>
      <c r="BZ31" s="71" t="s">
        <v>374</v>
      </c>
      <c r="CA31" s="71" t="s">
        <v>376</v>
      </c>
      <c r="CB31" s="71" t="s">
        <v>388</v>
      </c>
      <c r="CC31" s="71" t="s">
        <v>387</v>
      </c>
      <c r="CD31" s="71" t="s">
        <v>389</v>
      </c>
      <c r="CE31" s="71" t="s">
        <v>378</v>
      </c>
      <c r="CF31" s="71" t="s">
        <v>390</v>
      </c>
      <c r="CG31" s="71" t="s">
        <v>379</v>
      </c>
      <c r="CH31" s="71" t="s">
        <v>391</v>
      </c>
      <c r="CI31" s="71" t="s">
        <v>380</v>
      </c>
      <c r="CJ31" s="71" t="s">
        <v>392</v>
      </c>
      <c r="CK31" s="71" t="s">
        <v>381</v>
      </c>
      <c r="CL31" s="71" t="s">
        <v>393</v>
      </c>
      <c r="CM31" s="71" t="s">
        <v>382</v>
      </c>
      <c r="CN31" s="71" t="s">
        <v>394</v>
      </c>
      <c r="CO31" s="71" t="s">
        <v>383</v>
      </c>
      <c r="CP31" s="71" t="s">
        <v>395</v>
      </c>
      <c r="CQ31" s="71" t="s">
        <v>365</v>
      </c>
      <c r="CR31" s="71" t="s">
        <v>385</v>
      </c>
      <c r="CS31" s="71"/>
      <c r="CT31" s="71"/>
      <c r="CU31" s="71"/>
      <c r="CV31" s="71"/>
      <c r="CW31" s="71"/>
      <c r="CX31" s="71"/>
      <c r="CY31" s="71"/>
      <c r="CZ31" s="71"/>
      <c r="DA31" s="71"/>
      <c r="DB31" s="71"/>
      <c r="DC31" s="74">
        <f t="shared" si="2"/>
        <v>29</v>
      </c>
      <c r="DD31">
        <v>110</v>
      </c>
      <c r="DE31">
        <v>105</v>
      </c>
      <c r="DF31">
        <v>100</v>
      </c>
      <c r="DG31">
        <v>95</v>
      </c>
      <c r="DH31">
        <v>80</v>
      </c>
      <c r="DI31">
        <v>85</v>
      </c>
      <c r="DJ31">
        <v>75</v>
      </c>
      <c r="DK31">
        <v>70</v>
      </c>
      <c r="DL31">
        <v>75</v>
      </c>
      <c r="DM31">
        <v>80</v>
      </c>
      <c r="DN31">
        <v>85</v>
      </c>
      <c r="DO31">
        <v>90</v>
      </c>
      <c r="DP31">
        <v>95</v>
      </c>
      <c r="DQ31">
        <v>100</v>
      </c>
      <c r="DR31">
        <v>105</v>
      </c>
      <c r="DS31">
        <v>110</v>
      </c>
      <c r="DT31">
        <v>115</v>
      </c>
      <c r="DU31">
        <v>120</v>
      </c>
      <c r="DV31">
        <v>125</v>
      </c>
      <c r="EH31" s="78">
        <f t="shared" si="25"/>
        <v>110</v>
      </c>
      <c r="EI31" s="78">
        <f t="shared" si="25"/>
        <v>105</v>
      </c>
      <c r="EJ31" s="78">
        <f t="shared" ref="EJ31:EJ32" si="70">IF(       AND($A$14="TARE",$A$15="TARE"),IF(DF31&gt;0,DF31-VLOOKUP($C31,$B$14:$K$15,COLUMN()-31),0),    IF(UPPER($A$14)="TARE",IF(DF31&gt;0,DF31-DF$14,0),DF31)        )</f>
        <v>100</v>
      </c>
      <c r="EK31" s="78">
        <f t="shared" ref="EK31:EK32" si="71">IF(       AND($A$14="TARE",$A$15="TARE"),IF(DG31&gt;0,DG31-VLOOKUP($C31,$B$14:$K$15,COLUMN()-31),0),    IF(UPPER($A$14)="TARE",IF(DG31&gt;0,DG31-DG$14,0),DG31)        )</f>
        <v>95</v>
      </c>
      <c r="EL31" s="78">
        <f t="shared" ref="EL31:EL32" si="72">IF(       AND($A$14="TARE",$A$15="TARE"),IF(DH31&gt;0,DH31-VLOOKUP($C31,$B$14:$K$15,COLUMN()-31),0),    IF(UPPER($A$14)="TARE",IF(DH31&gt;0,DH31-DH$14,0),DH31)        )</f>
        <v>80</v>
      </c>
      <c r="EM31" s="78">
        <f t="shared" ref="EM31:EM32" si="73">IF(       AND($A$14="TARE",$A$15="TARE"),IF(DI31&gt;0,DI31-VLOOKUP($C31,$B$14:$K$15,COLUMN()-31),0),    IF(UPPER($A$14)="TARE",IF(DI31&gt;0,DI31-DI$14,0),DI31)        )</f>
        <v>85</v>
      </c>
      <c r="EN31" s="78">
        <f t="shared" ref="EN31:EN32" si="74">IF(       AND($A$14="TARE",$A$15="TARE"),IF(DJ31&gt;0,DJ31-VLOOKUP($C31,$B$14:$K$15,COLUMN()-31),0),    IF(UPPER($A$14)="TARE",IF(DJ31&gt;0,DJ31-DJ$14,0),DJ31)        )</f>
        <v>75</v>
      </c>
      <c r="EO31" s="78">
        <f t="shared" ref="EO31:EO32" si="75">IF(       AND($A$14="TARE",$A$15="TARE"),IF(DK31&gt;0,DK31-VLOOKUP($C31,$B$14:$K$15,COLUMN()-31),0),    IF(UPPER($A$14)="TARE",IF(DK31&gt;0,DK31-DK$14,0),DK31)        )</f>
        <v>70</v>
      </c>
      <c r="EP31" s="78">
        <f t="shared" ref="EP31:EP32" si="76">IF(       AND($A$14="TARE",$A$15="TARE"),IF(DL31&gt;0,DL31-VLOOKUP($C31,$B$14:$K$15,COLUMN()-31),0),    IF(UPPER($A$14)="TARE",IF(DL31&gt;0,DL31-DL$14,0),DL31)        )</f>
        <v>75</v>
      </c>
      <c r="EQ31" s="78">
        <f t="shared" ref="EQ31:EQ32" si="77">IF(       AND($A$14="TARE",$A$15="TARE"),IF(DM31&gt;0,DM31-VLOOKUP($C31,$B$14:$K$15,COLUMN()-31),0),    IF(UPPER($A$14)="TARE",IF(DM31&gt;0,DM31-DM$14,0),DM31)        )</f>
        <v>80</v>
      </c>
      <c r="ER31" s="78">
        <f t="shared" ref="ER31:ER32" si="78">IF(       AND($A$14="TARE",$A$15="TARE"),IF(DN31&gt;0,DN31-VLOOKUP($C31,$B$14:$K$15,COLUMN()-31),0),    IF(UPPER($A$14)="TARE",IF(DN31&gt;0,DN31-DN$14,0),DN31)        )</f>
        <v>85</v>
      </c>
      <c r="ES31" s="78">
        <f t="shared" ref="ES31:ES32" si="79">IF(       AND($A$14="TARE",$A$15="TARE"),IF(DO31&gt;0,DO31-VLOOKUP($C31,$B$14:$K$15,COLUMN()-31),0),    IF(UPPER($A$14)="TARE",IF(DO31&gt;0,DO31-DO$14,0),DO31)        )</f>
        <v>90</v>
      </c>
      <c r="ET31" s="78">
        <f t="shared" ref="ET31:ET32" si="80">IF(       AND($A$14="TARE",$A$15="TARE"),IF(DP31&gt;0,DP31-VLOOKUP($C31,$B$14:$K$15,COLUMN()-31),0),    IF(UPPER($A$14)="TARE",IF(DP31&gt;0,DP31-DP$14,0),DP31)        )</f>
        <v>95</v>
      </c>
      <c r="EU31" s="78">
        <f t="shared" ref="EU31:EU32" si="81">IF(       AND($A$14="TARE",$A$15="TARE"),IF(DQ31&gt;0,DQ31-VLOOKUP($C31,$B$14:$K$15,COLUMN()-31),0),    IF(UPPER($A$14)="TARE",IF(DQ31&gt;0,DQ31-DQ$14,0),DQ31)        )</f>
        <v>100</v>
      </c>
      <c r="EV31" s="78">
        <f t="shared" ref="EV31:EV32" si="82">IF(       AND($A$14="TARE",$A$15="TARE"),IF(DR31&gt;0,DR31-VLOOKUP($C31,$B$14:$K$15,COLUMN()-31),0),    IF(UPPER($A$14)="TARE",IF(DR31&gt;0,DR31-DR$14,0),DR31)        )</f>
        <v>105</v>
      </c>
      <c r="EW31" s="78">
        <f t="shared" ref="EW31" si="83">IF(       AND($A$14="TARE",$A$15="TARE"),IF(DS31&gt;0,DS31-VLOOKUP($C31,$B$14:$K$15,COLUMN()-31),0),    IF(UPPER($A$14)="TARE",IF(DS31&gt;0,DS31-DS$14,0),DS31)        )</f>
        <v>110</v>
      </c>
      <c r="EX31" s="78">
        <f t="shared" ref="EX31" si="84">IF(       AND($A$14="TARE",$A$15="TARE"),IF(DT31&gt;0,DT31-VLOOKUP($C31,$B$14:$K$15,COLUMN()-31),0),    IF(UPPER($A$14)="TARE",IF(DT31&gt;0,DT31-DT$14,0),DT31)        )</f>
        <v>115</v>
      </c>
      <c r="EY31" s="78">
        <f t="shared" ref="EY31" si="85">IF(       AND($A$14="TARE",$A$15="TARE"),IF(DU31&gt;0,DU31-VLOOKUP($C31,$B$14:$K$15,COLUMN()-31),0),    IF(UPPER($A$14)="TARE",IF(DU31&gt;0,DU31-DU$14,0),DU31)        )</f>
        <v>120</v>
      </c>
      <c r="EZ31" s="78">
        <f t="shared" ref="EZ31" si="86">IF(       AND($A$14="TARE",$A$15="TARE"),IF(DV31&gt;0,DV31-VLOOKUP($C31,$B$14:$K$15,COLUMN()-31),0),    IF(UPPER($A$14)="TARE",IF(DV31&gt;0,DV31-DV$14,0),DV31)        )</f>
        <v>125</v>
      </c>
      <c r="FA31" s="78"/>
      <c r="FB31" s="78"/>
      <c r="FD31" s="80">
        <f t="shared" si="39"/>
        <v>6.0439560439560438</v>
      </c>
      <c r="FE31" s="80">
        <f t="shared" si="40"/>
        <v>5.7692307692307692</v>
      </c>
      <c r="FF31" s="80">
        <f t="shared" si="41"/>
        <v>5.4945054945054945</v>
      </c>
      <c r="FG31" s="80">
        <f t="shared" si="42"/>
        <v>5.2197802197802199</v>
      </c>
      <c r="FH31" s="80">
        <f t="shared" si="43"/>
        <v>4.395604395604396</v>
      </c>
      <c r="FI31" s="80">
        <f t="shared" si="44"/>
        <v>4.6703296703296706</v>
      </c>
      <c r="FJ31" s="80">
        <f t="shared" si="45"/>
        <v>4.1208791208791204</v>
      </c>
      <c r="FK31" s="80">
        <f t="shared" si="46"/>
        <v>3.8461538461538463</v>
      </c>
      <c r="FL31" s="80">
        <f t="shared" si="47"/>
        <v>4.1208791208791204</v>
      </c>
      <c r="FM31" s="80">
        <f t="shared" si="48"/>
        <v>4.395604395604396</v>
      </c>
      <c r="FN31" s="80">
        <f t="shared" si="49"/>
        <v>4.6703296703296706</v>
      </c>
      <c r="FO31" s="80">
        <f t="shared" si="50"/>
        <v>4.9450549450549453</v>
      </c>
      <c r="FP31" s="80">
        <f t="shared" si="51"/>
        <v>5.2197802197802199</v>
      </c>
      <c r="FQ31" s="80">
        <f t="shared" si="52"/>
        <v>5.4945054945054945</v>
      </c>
      <c r="FR31" s="80">
        <f t="shared" si="53"/>
        <v>5.7692307692307692</v>
      </c>
      <c r="FS31" s="80">
        <f t="shared" si="54"/>
        <v>6.0439560439560438</v>
      </c>
      <c r="FT31" s="80">
        <f t="shared" si="55"/>
        <v>6.3186813186813184</v>
      </c>
      <c r="FU31" s="80">
        <f t="shared" si="56"/>
        <v>6.593406593406594</v>
      </c>
      <c r="FV31" s="80">
        <f t="shared" si="57"/>
        <v>6.8681318681318686</v>
      </c>
      <c r="FW31" s="80">
        <f t="shared" si="58"/>
        <v>0</v>
      </c>
      <c r="FX31" s="80">
        <f t="shared" si="59"/>
        <v>0</v>
      </c>
    </row>
    <row r="32" spans="1:190" ht="15.6" thickTop="1" thickBot="1" x14ac:dyDescent="0.35">
      <c r="A32" s="62">
        <f t="shared" si="3"/>
        <v>30</v>
      </c>
      <c r="B32" s="99" t="s">
        <v>112</v>
      </c>
      <c r="C32" s="62" t="str">
        <f t="shared" si="0"/>
        <v xml:space="preserve">30: PSA dry sieve 32mm - 0.71mm @ 1/4 phi intervals                            </v>
      </c>
      <c r="D32" s="63">
        <f t="shared" si="4"/>
        <v>1</v>
      </c>
      <c r="E32" s="62">
        <v>1</v>
      </c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4">
        <f t="shared" si="20"/>
        <v>14</v>
      </c>
      <c r="Z32" s="66" t="s">
        <v>149</v>
      </c>
      <c r="AA32" s="66" t="s">
        <v>150</v>
      </c>
      <c r="AB32" s="66" t="s">
        <v>160</v>
      </c>
      <c r="AC32" s="66" t="s">
        <v>151</v>
      </c>
      <c r="AD32" s="66" t="s">
        <v>152</v>
      </c>
      <c r="AE32" s="66" t="s">
        <v>234</v>
      </c>
      <c r="AF32" s="66" t="s">
        <v>153</v>
      </c>
      <c r="AG32" s="66" t="s">
        <v>154</v>
      </c>
      <c r="AH32" s="66" t="s">
        <v>235</v>
      </c>
      <c r="AI32" s="66" t="s">
        <v>236</v>
      </c>
      <c r="AJ32" s="66" t="s">
        <v>223</v>
      </c>
      <c r="AK32" s="66" t="s">
        <v>162</v>
      </c>
      <c r="AL32" s="66" t="s">
        <v>237</v>
      </c>
      <c r="AM32" s="66" t="s">
        <v>155</v>
      </c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71" t="s">
        <v>149</v>
      </c>
      <c r="BE32" s="71" t="s">
        <v>150</v>
      </c>
      <c r="BF32" s="71" t="s">
        <v>160</v>
      </c>
      <c r="BG32" s="71" t="s">
        <v>151</v>
      </c>
      <c r="BH32" s="71" t="s">
        <v>152</v>
      </c>
      <c r="BI32" s="71" t="s">
        <v>234</v>
      </c>
      <c r="BJ32" s="71" t="s">
        <v>153</v>
      </c>
      <c r="BK32" s="71" t="s">
        <v>154</v>
      </c>
      <c r="BL32" s="71" t="s">
        <v>235</v>
      </c>
      <c r="BM32" s="71" t="s">
        <v>236</v>
      </c>
      <c r="BN32" s="71" t="s">
        <v>223</v>
      </c>
      <c r="BO32" s="71" t="s">
        <v>162</v>
      </c>
      <c r="BP32" s="71" t="s">
        <v>237</v>
      </c>
      <c r="BQ32" s="71" t="s">
        <v>155</v>
      </c>
      <c r="BR32" s="71"/>
      <c r="BS32" s="71"/>
      <c r="BT32" s="71"/>
      <c r="BU32" s="71"/>
      <c r="BV32" s="71"/>
      <c r="BW32" s="71"/>
      <c r="BX32" s="71"/>
      <c r="BY32" s="71"/>
      <c r="BZ32" s="71" t="s">
        <v>374</v>
      </c>
      <c r="CA32" s="71" t="s">
        <v>376</v>
      </c>
      <c r="CB32" s="71" t="s">
        <v>387</v>
      </c>
      <c r="CC32" s="71" t="s">
        <v>378</v>
      </c>
      <c r="CD32" s="71" t="s">
        <v>379</v>
      </c>
      <c r="CE32" s="71" t="s">
        <v>391</v>
      </c>
      <c r="CF32" s="71" t="s">
        <v>380</v>
      </c>
      <c r="CG32" s="71" t="s">
        <v>381</v>
      </c>
      <c r="CH32" s="71" t="s">
        <v>393</v>
      </c>
      <c r="CI32" s="71" t="s">
        <v>382</v>
      </c>
      <c r="CJ32" s="71" t="s">
        <v>383</v>
      </c>
      <c r="CK32" s="71" t="s">
        <v>365</v>
      </c>
      <c r="CL32" s="71" t="s">
        <v>396</v>
      </c>
      <c r="CM32" s="71" t="s">
        <v>385</v>
      </c>
      <c r="CN32" s="71"/>
      <c r="CO32" s="71"/>
      <c r="CP32" s="71"/>
      <c r="CQ32" s="71"/>
      <c r="CR32" s="71"/>
      <c r="CS32" s="71"/>
      <c r="CT32" s="71"/>
      <c r="CU32" s="71"/>
      <c r="CV32" s="71"/>
      <c r="CW32" s="71"/>
      <c r="CX32" s="71"/>
      <c r="CY32" s="71"/>
      <c r="CZ32" s="71"/>
      <c r="DA32" s="71"/>
      <c r="DB32" s="71"/>
      <c r="DC32" s="74">
        <f t="shared" si="2"/>
        <v>30</v>
      </c>
      <c r="DD32">
        <v>110</v>
      </c>
      <c r="DE32">
        <v>105</v>
      </c>
      <c r="DF32">
        <v>100</v>
      </c>
      <c r="DG32">
        <v>95</v>
      </c>
      <c r="DH32">
        <v>80</v>
      </c>
      <c r="DI32">
        <v>85</v>
      </c>
      <c r="DJ32">
        <v>75</v>
      </c>
      <c r="DK32">
        <v>70</v>
      </c>
      <c r="DL32">
        <v>75</v>
      </c>
      <c r="DM32">
        <v>80</v>
      </c>
      <c r="DN32">
        <v>85</v>
      </c>
      <c r="DO32">
        <v>90</v>
      </c>
      <c r="DP32">
        <v>95</v>
      </c>
      <c r="DQ32">
        <v>100</v>
      </c>
      <c r="DR32">
        <v>105</v>
      </c>
      <c r="EH32" s="78">
        <f t="shared" si="25"/>
        <v>110</v>
      </c>
      <c r="EI32" s="78">
        <f t="shared" si="25"/>
        <v>105</v>
      </c>
      <c r="EJ32" s="78">
        <f t="shared" si="70"/>
        <v>100</v>
      </c>
      <c r="EK32" s="78">
        <f t="shared" si="71"/>
        <v>95</v>
      </c>
      <c r="EL32" s="78">
        <f t="shared" si="72"/>
        <v>80</v>
      </c>
      <c r="EM32" s="78">
        <f t="shared" si="73"/>
        <v>85</v>
      </c>
      <c r="EN32" s="78">
        <f t="shared" si="74"/>
        <v>75</v>
      </c>
      <c r="EO32" s="78">
        <f t="shared" si="75"/>
        <v>70</v>
      </c>
      <c r="EP32" s="78">
        <f t="shared" si="76"/>
        <v>75</v>
      </c>
      <c r="EQ32" s="78">
        <f t="shared" si="77"/>
        <v>80</v>
      </c>
      <c r="ER32" s="78">
        <f t="shared" si="78"/>
        <v>85</v>
      </c>
      <c r="ES32" s="78">
        <f t="shared" si="79"/>
        <v>90</v>
      </c>
      <c r="ET32" s="78">
        <f t="shared" si="80"/>
        <v>95</v>
      </c>
      <c r="EU32" s="78">
        <f t="shared" si="81"/>
        <v>100</v>
      </c>
      <c r="EV32" s="78">
        <f t="shared" si="82"/>
        <v>105</v>
      </c>
      <c r="EW32" s="78"/>
      <c r="EX32" s="78"/>
      <c r="EY32" s="78"/>
      <c r="EZ32" s="78"/>
      <c r="FA32" s="78"/>
      <c r="FB32" s="78"/>
      <c r="FD32" s="80">
        <f t="shared" si="39"/>
        <v>8.1481481481481488</v>
      </c>
      <c r="FE32" s="80">
        <f t="shared" si="40"/>
        <v>7.7777777777777777</v>
      </c>
      <c r="FF32" s="80">
        <f t="shared" si="41"/>
        <v>7.4074074074074066</v>
      </c>
      <c r="FG32" s="80">
        <f t="shared" si="42"/>
        <v>7.0370370370370372</v>
      </c>
      <c r="FH32" s="80">
        <f t="shared" si="43"/>
        <v>5.9259259259259265</v>
      </c>
      <c r="FI32" s="80">
        <f t="shared" si="44"/>
        <v>6.2962962962962958</v>
      </c>
      <c r="FJ32" s="80">
        <f t="shared" si="45"/>
        <v>5.5555555555555554</v>
      </c>
      <c r="FK32" s="80">
        <f t="shared" si="46"/>
        <v>5.1851851851851851</v>
      </c>
      <c r="FL32" s="80">
        <f t="shared" si="47"/>
        <v>5.5555555555555554</v>
      </c>
      <c r="FM32" s="80">
        <f t="shared" si="48"/>
        <v>5.9259259259259265</v>
      </c>
      <c r="FN32" s="80">
        <f t="shared" si="49"/>
        <v>6.2962962962962958</v>
      </c>
      <c r="FO32" s="80">
        <f t="shared" si="50"/>
        <v>6.666666666666667</v>
      </c>
      <c r="FP32" s="80">
        <f t="shared" si="51"/>
        <v>7.0370370370370372</v>
      </c>
      <c r="FQ32" s="80">
        <f t="shared" si="52"/>
        <v>7.4074074074074066</v>
      </c>
      <c r="FR32" s="80">
        <f t="shared" si="53"/>
        <v>7.7777777777777777</v>
      </c>
      <c r="FS32" s="80">
        <f t="shared" si="54"/>
        <v>0</v>
      </c>
      <c r="FT32" s="80">
        <f t="shared" si="55"/>
        <v>0</v>
      </c>
      <c r="FU32" s="80">
        <f t="shared" si="56"/>
        <v>0</v>
      </c>
      <c r="FV32" s="80">
        <f t="shared" si="57"/>
        <v>0</v>
      </c>
      <c r="FW32" s="80">
        <f t="shared" si="58"/>
        <v>0</v>
      </c>
      <c r="FX32" s="80">
        <f t="shared" si="59"/>
        <v>0</v>
      </c>
    </row>
    <row r="33" spans="1:180" ht="15.6" thickTop="1" thickBot="1" x14ac:dyDescent="0.35">
      <c r="A33" s="62">
        <f t="shared" si="3"/>
        <v>31</v>
      </c>
      <c r="B33" s="99" t="s">
        <v>289</v>
      </c>
      <c r="C33" s="62" t="str">
        <f t="shared" si="0"/>
        <v>31: PSA dry sieve 32-8@ 1-phi then 1/2-phi below 8mm 32 - 2mm + pan</v>
      </c>
      <c r="D33" s="63">
        <f t="shared" si="4"/>
        <v>1</v>
      </c>
      <c r="E33" s="62">
        <v>1</v>
      </c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4">
        <f t="shared" si="20"/>
        <v>8</v>
      </c>
      <c r="Z33" s="66" t="s">
        <v>149</v>
      </c>
      <c r="AA33" s="66" t="s">
        <v>156</v>
      </c>
      <c r="AB33" s="66" t="s">
        <v>157</v>
      </c>
      <c r="AC33" s="66" t="s">
        <v>152</v>
      </c>
      <c r="AD33" s="66" t="s">
        <v>158</v>
      </c>
      <c r="AE33" s="66" t="s">
        <v>154</v>
      </c>
      <c r="AF33" s="66" t="s">
        <v>159</v>
      </c>
      <c r="AG33" s="66" t="s">
        <v>155</v>
      </c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71" t="s">
        <v>149</v>
      </c>
      <c r="BE33" s="71" t="s">
        <v>156</v>
      </c>
      <c r="BF33" s="71" t="s">
        <v>157</v>
      </c>
      <c r="BG33" s="71" t="s">
        <v>152</v>
      </c>
      <c r="BH33" s="71" t="s">
        <v>158</v>
      </c>
      <c r="BI33" s="71" t="s">
        <v>154</v>
      </c>
      <c r="BJ33" s="71" t="s">
        <v>159</v>
      </c>
      <c r="BK33" s="71" t="s">
        <v>155</v>
      </c>
      <c r="BL33" s="71"/>
      <c r="BM33" s="71"/>
      <c r="BN33" s="71"/>
      <c r="BO33" s="71"/>
      <c r="BP33" s="71"/>
      <c r="BQ33" s="71"/>
      <c r="BR33" s="71"/>
      <c r="BS33" s="71"/>
      <c r="BT33" s="71"/>
      <c r="BU33" s="71"/>
      <c r="BV33" s="71"/>
      <c r="BW33" s="71"/>
      <c r="BX33" s="71"/>
      <c r="BY33" s="71"/>
      <c r="BZ33" s="71" t="s">
        <v>374</v>
      </c>
      <c r="CA33" s="71" t="s">
        <v>361</v>
      </c>
      <c r="CB33" s="71" t="s">
        <v>362</v>
      </c>
      <c r="CC33" s="71" t="s">
        <v>379</v>
      </c>
      <c r="CD33" s="71" t="s">
        <v>363</v>
      </c>
      <c r="CE33" s="71" t="s">
        <v>381</v>
      </c>
      <c r="CF33" s="71" t="s">
        <v>364</v>
      </c>
      <c r="CG33" s="71" t="s">
        <v>385</v>
      </c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1"/>
      <c r="CW33" s="71"/>
      <c r="CX33" s="71"/>
      <c r="CY33" s="71"/>
      <c r="CZ33" s="71"/>
      <c r="DA33" s="71"/>
      <c r="DB33" s="71"/>
      <c r="DC33" s="74">
        <f t="shared" si="2"/>
        <v>31</v>
      </c>
      <c r="DD33">
        <v>110</v>
      </c>
      <c r="DE33">
        <v>105</v>
      </c>
      <c r="DF33">
        <v>100</v>
      </c>
      <c r="DG33">
        <v>95</v>
      </c>
      <c r="DH33">
        <v>80</v>
      </c>
      <c r="DI33">
        <v>85</v>
      </c>
      <c r="DJ33">
        <v>75</v>
      </c>
      <c r="DK33">
        <v>70</v>
      </c>
      <c r="EH33" s="78">
        <f t="shared" si="25"/>
        <v>110</v>
      </c>
      <c r="EI33" s="78">
        <f t="shared" si="25"/>
        <v>105</v>
      </c>
      <c r="EJ33" s="78">
        <f t="shared" ref="EJ33:EJ34" si="87">IF(       AND($A$14="TARE",$A$15="TARE"),IF(DF33&gt;0,DF33-VLOOKUP($C33,$B$14:$K$15,COLUMN()-31),0),    IF(UPPER($A$14)="TARE",IF(DF33&gt;0,DF33-DF$14,0),DF33)        )</f>
        <v>100</v>
      </c>
      <c r="EK33" s="78">
        <f t="shared" ref="EK33:EK34" si="88">IF(       AND($A$14="TARE",$A$15="TARE"),IF(DG33&gt;0,DG33-VLOOKUP($C33,$B$14:$K$15,COLUMN()-31),0),    IF(UPPER($A$14)="TARE",IF(DG33&gt;0,DG33-DG$14,0),DG33)        )</f>
        <v>95</v>
      </c>
      <c r="EL33" s="78">
        <f t="shared" ref="EL33:EL34" si="89">IF(       AND($A$14="TARE",$A$15="TARE"),IF(DH33&gt;0,DH33-VLOOKUP($C33,$B$14:$K$15,COLUMN()-31),0),    IF(UPPER($A$14)="TARE",IF(DH33&gt;0,DH33-DH$14,0),DH33)        )</f>
        <v>80</v>
      </c>
      <c r="EM33" s="78">
        <f t="shared" ref="EM33:EM34" si="90">IF(       AND($A$14="TARE",$A$15="TARE"),IF(DI33&gt;0,DI33-VLOOKUP($C33,$B$14:$K$15,COLUMN()-31),0),    IF(UPPER($A$14)="TARE",IF(DI33&gt;0,DI33-DI$14,0),DI33)        )</f>
        <v>85</v>
      </c>
      <c r="EN33" s="78">
        <f t="shared" ref="EN33:EN34" si="91">IF(       AND($A$14="TARE",$A$15="TARE"),IF(DJ33&gt;0,DJ33-VLOOKUP($C33,$B$14:$K$15,COLUMN()-31),0),    IF(UPPER($A$14)="TARE",IF(DJ33&gt;0,DJ33-DJ$14,0),DJ33)        )</f>
        <v>75</v>
      </c>
      <c r="EO33" s="78">
        <f t="shared" ref="EO33:EO34" si="92">IF(       AND($A$14="TARE",$A$15="TARE"),IF(DK33&gt;0,DK33-VLOOKUP($C33,$B$14:$K$15,COLUMN()-31),0),    IF(UPPER($A$14)="TARE",IF(DK33&gt;0,DK33-DK$14,0),DK33)        )</f>
        <v>70</v>
      </c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D33" s="80">
        <f t="shared" si="39"/>
        <v>15.277777777777779</v>
      </c>
      <c r="FE33" s="80">
        <f t="shared" si="40"/>
        <v>14.583333333333334</v>
      </c>
      <c r="FF33" s="80">
        <f t="shared" si="41"/>
        <v>13.888888888888889</v>
      </c>
      <c r="FG33" s="80">
        <f t="shared" si="42"/>
        <v>13.194444444444445</v>
      </c>
      <c r="FH33" s="80">
        <f t="shared" si="43"/>
        <v>11.111111111111111</v>
      </c>
      <c r="FI33" s="80">
        <f t="shared" si="44"/>
        <v>11.805555555555555</v>
      </c>
      <c r="FJ33" s="80">
        <f t="shared" si="45"/>
        <v>10.416666666666668</v>
      </c>
      <c r="FK33" s="80">
        <f t="shared" si="46"/>
        <v>9.7222222222222232</v>
      </c>
      <c r="FL33" s="80">
        <f t="shared" si="47"/>
        <v>0</v>
      </c>
      <c r="FM33" s="80">
        <f t="shared" si="48"/>
        <v>0</v>
      </c>
      <c r="FN33" s="80">
        <f t="shared" si="49"/>
        <v>0</v>
      </c>
      <c r="FO33" s="80">
        <f t="shared" si="50"/>
        <v>0</v>
      </c>
      <c r="FP33" s="80">
        <f t="shared" si="51"/>
        <v>0</v>
      </c>
      <c r="FQ33" s="80">
        <f t="shared" si="52"/>
        <v>0</v>
      </c>
      <c r="FR33" s="80">
        <f t="shared" si="53"/>
        <v>0</v>
      </c>
      <c r="FS33" s="80">
        <f t="shared" si="54"/>
        <v>0</v>
      </c>
      <c r="FT33" s="80">
        <f t="shared" si="55"/>
        <v>0</v>
      </c>
      <c r="FU33" s="80">
        <f t="shared" si="56"/>
        <v>0</v>
      </c>
      <c r="FV33" s="80">
        <f t="shared" si="57"/>
        <v>0</v>
      </c>
      <c r="FW33" s="80">
        <f t="shared" si="58"/>
        <v>0</v>
      </c>
      <c r="FX33" s="80">
        <f t="shared" si="59"/>
        <v>0</v>
      </c>
    </row>
    <row r="34" spans="1:180" ht="15.6" thickTop="1" thickBot="1" x14ac:dyDescent="0.35">
      <c r="A34" s="62">
        <f t="shared" si="3"/>
        <v>32</v>
      </c>
      <c r="B34" s="99" t="s">
        <v>290</v>
      </c>
      <c r="C34" s="62" t="str">
        <f t="shared" si="0"/>
        <v xml:space="preserve">32: PSA dry sieve 16mm-2mm @ 1/2-phi + pan    </v>
      </c>
      <c r="D34" s="63">
        <f t="shared" si="4"/>
        <v>1</v>
      </c>
      <c r="E34" s="62">
        <v>1</v>
      </c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4">
        <f t="shared" si="20"/>
        <v>8</v>
      </c>
      <c r="Z34" s="66" t="s">
        <v>156</v>
      </c>
      <c r="AA34" s="66" t="s">
        <v>160</v>
      </c>
      <c r="AB34" s="66" t="s">
        <v>157</v>
      </c>
      <c r="AC34" s="66" t="s">
        <v>152</v>
      </c>
      <c r="AD34" s="66" t="s">
        <v>158</v>
      </c>
      <c r="AE34" s="66" t="s">
        <v>154</v>
      </c>
      <c r="AF34" s="66" t="s">
        <v>159</v>
      </c>
      <c r="AG34" s="66" t="s">
        <v>155</v>
      </c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71" t="s">
        <v>156</v>
      </c>
      <c r="BE34" s="71" t="s">
        <v>160</v>
      </c>
      <c r="BF34" s="71" t="s">
        <v>157</v>
      </c>
      <c r="BG34" s="71" t="s">
        <v>152</v>
      </c>
      <c r="BH34" s="71" t="s">
        <v>158</v>
      </c>
      <c r="BI34" s="71" t="s">
        <v>154</v>
      </c>
      <c r="BJ34" s="71" t="s">
        <v>159</v>
      </c>
      <c r="BK34" s="71" t="s">
        <v>155</v>
      </c>
      <c r="BL34" s="71"/>
      <c r="BM34" s="71"/>
      <c r="BN34" s="71"/>
      <c r="BO34" s="71"/>
      <c r="BP34" s="71"/>
      <c r="BQ34" s="71"/>
      <c r="BR34" s="71"/>
      <c r="BS34" s="71"/>
      <c r="BT34" s="71"/>
      <c r="BU34" s="71"/>
      <c r="BV34" s="71"/>
      <c r="BW34" s="71"/>
      <c r="BX34" s="71"/>
      <c r="BY34" s="71"/>
      <c r="BZ34" s="71" t="s">
        <v>361</v>
      </c>
      <c r="CA34" s="71" t="s">
        <v>387</v>
      </c>
      <c r="CB34" s="71" t="s">
        <v>362</v>
      </c>
      <c r="CC34" s="71" t="s">
        <v>379</v>
      </c>
      <c r="CD34" s="71" t="s">
        <v>363</v>
      </c>
      <c r="CE34" s="71" t="s">
        <v>381</v>
      </c>
      <c r="CF34" s="71" t="s">
        <v>364</v>
      </c>
      <c r="CG34" s="71" t="s">
        <v>385</v>
      </c>
      <c r="CH34" s="71"/>
      <c r="CI34" s="71"/>
      <c r="CJ34" s="71"/>
      <c r="CK34" s="71"/>
      <c r="CL34" s="71"/>
      <c r="CM34" s="71"/>
      <c r="CN34" s="71"/>
      <c r="CO34" s="71"/>
      <c r="CP34" s="71"/>
      <c r="CQ34" s="71"/>
      <c r="CR34" s="71"/>
      <c r="CS34" s="71"/>
      <c r="CT34" s="71"/>
      <c r="CU34" s="71"/>
      <c r="CV34" s="71"/>
      <c r="CW34" s="71"/>
      <c r="CX34" s="71"/>
      <c r="CY34" s="71"/>
      <c r="CZ34" s="71"/>
      <c r="DA34" s="71"/>
      <c r="DB34" s="71"/>
      <c r="DC34" s="74">
        <f t="shared" si="2"/>
        <v>32</v>
      </c>
      <c r="DD34">
        <v>110</v>
      </c>
      <c r="DE34">
        <v>105</v>
      </c>
      <c r="DF34">
        <v>100</v>
      </c>
      <c r="DG34">
        <v>95</v>
      </c>
      <c r="DH34">
        <v>80</v>
      </c>
      <c r="DI34">
        <v>85</v>
      </c>
      <c r="DJ34">
        <v>75</v>
      </c>
      <c r="DK34">
        <v>70</v>
      </c>
      <c r="EH34" s="78">
        <f t="shared" si="25"/>
        <v>110</v>
      </c>
      <c r="EI34" s="78">
        <f t="shared" si="25"/>
        <v>105</v>
      </c>
      <c r="EJ34" s="78">
        <f t="shared" si="87"/>
        <v>100</v>
      </c>
      <c r="EK34" s="78">
        <f t="shared" si="88"/>
        <v>95</v>
      </c>
      <c r="EL34" s="78">
        <f t="shared" si="89"/>
        <v>80</v>
      </c>
      <c r="EM34" s="78">
        <f t="shared" si="90"/>
        <v>85</v>
      </c>
      <c r="EN34" s="78">
        <f t="shared" si="91"/>
        <v>75</v>
      </c>
      <c r="EO34" s="78">
        <f t="shared" si="92"/>
        <v>70</v>
      </c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D34" s="80">
        <f t="shared" si="39"/>
        <v>15.277777777777779</v>
      </c>
      <c r="FE34" s="80">
        <f t="shared" si="40"/>
        <v>14.583333333333334</v>
      </c>
      <c r="FF34" s="80">
        <f t="shared" si="41"/>
        <v>13.888888888888889</v>
      </c>
      <c r="FG34" s="80">
        <f t="shared" si="42"/>
        <v>13.194444444444445</v>
      </c>
      <c r="FH34" s="80">
        <f t="shared" si="43"/>
        <v>11.111111111111111</v>
      </c>
      <c r="FI34" s="80">
        <f t="shared" si="44"/>
        <v>11.805555555555555</v>
      </c>
      <c r="FJ34" s="80">
        <f t="shared" si="45"/>
        <v>10.416666666666668</v>
      </c>
      <c r="FK34" s="80">
        <f t="shared" si="46"/>
        <v>9.7222222222222232</v>
      </c>
      <c r="FL34" s="80">
        <f t="shared" si="47"/>
        <v>0</v>
      </c>
      <c r="FM34" s="80">
        <f t="shared" si="48"/>
        <v>0</v>
      </c>
      <c r="FN34" s="80">
        <f t="shared" si="49"/>
        <v>0</v>
      </c>
      <c r="FO34" s="80">
        <f t="shared" si="50"/>
        <v>0</v>
      </c>
      <c r="FP34" s="80">
        <f t="shared" si="51"/>
        <v>0</v>
      </c>
      <c r="FQ34" s="80">
        <f t="shared" si="52"/>
        <v>0</v>
      </c>
      <c r="FR34" s="80">
        <f t="shared" si="53"/>
        <v>0</v>
      </c>
      <c r="FS34" s="80">
        <f t="shared" si="54"/>
        <v>0</v>
      </c>
      <c r="FT34" s="80">
        <f t="shared" si="55"/>
        <v>0</v>
      </c>
      <c r="FU34" s="80">
        <f t="shared" si="56"/>
        <v>0</v>
      </c>
      <c r="FV34" s="80">
        <f t="shared" si="57"/>
        <v>0</v>
      </c>
      <c r="FW34" s="80">
        <f t="shared" si="58"/>
        <v>0</v>
      </c>
      <c r="FX34" s="80">
        <f t="shared" si="59"/>
        <v>0</v>
      </c>
    </row>
    <row r="35" spans="1:180" ht="15.6" thickTop="1" thickBot="1" x14ac:dyDescent="0.35">
      <c r="A35" s="62">
        <f t="shared" si="3"/>
        <v>33</v>
      </c>
      <c r="B35" s="99" t="s">
        <v>90</v>
      </c>
      <c r="C35" s="62" t="str">
        <f t="shared" si="0"/>
        <v xml:space="preserve">33: PSA dry sieve (whole-phi): 32 - 0.125mm + pan general                      </v>
      </c>
      <c r="D35" s="63">
        <f t="shared" si="4"/>
        <v>1</v>
      </c>
      <c r="E35" s="62">
        <v>1</v>
      </c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4">
        <f t="shared" si="20"/>
        <v>10</v>
      </c>
      <c r="Z35" s="66" t="s">
        <v>161</v>
      </c>
      <c r="AA35" s="66" t="s">
        <v>156</v>
      </c>
      <c r="AB35" s="66" t="s">
        <v>157</v>
      </c>
      <c r="AC35" s="66" t="s">
        <v>158</v>
      </c>
      <c r="AD35" s="66" t="s">
        <v>159</v>
      </c>
      <c r="AE35" s="66" t="s">
        <v>162</v>
      </c>
      <c r="AF35" s="66" t="s">
        <v>163</v>
      </c>
      <c r="AG35" s="66" t="s">
        <v>164</v>
      </c>
      <c r="AH35" s="66" t="s">
        <v>165</v>
      </c>
      <c r="AI35" s="66" t="s">
        <v>155</v>
      </c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71" t="s">
        <v>161</v>
      </c>
      <c r="BE35" s="71" t="s">
        <v>156</v>
      </c>
      <c r="BF35" s="71" t="s">
        <v>157</v>
      </c>
      <c r="BG35" s="71" t="s">
        <v>158</v>
      </c>
      <c r="BH35" s="71" t="s">
        <v>159</v>
      </c>
      <c r="BI35" s="71" t="s">
        <v>162</v>
      </c>
      <c r="BJ35" s="71" t="s">
        <v>163</v>
      </c>
      <c r="BK35" s="71" t="s">
        <v>164</v>
      </c>
      <c r="BL35" s="71" t="s">
        <v>165</v>
      </c>
      <c r="BM35" s="71" t="s">
        <v>155</v>
      </c>
      <c r="BN35" s="71"/>
      <c r="BO35" s="71"/>
      <c r="BP35" s="71"/>
      <c r="BQ35" s="71"/>
      <c r="BR35" s="71"/>
      <c r="BS35" s="71"/>
      <c r="BT35" s="71"/>
      <c r="BU35" s="71"/>
      <c r="BV35" s="71"/>
      <c r="BW35" s="71"/>
      <c r="BX35" s="71"/>
      <c r="BY35" s="71"/>
      <c r="BZ35" s="71" t="s">
        <v>360</v>
      </c>
      <c r="CA35" s="71" t="s">
        <v>361</v>
      </c>
      <c r="CB35" s="71" t="s">
        <v>362</v>
      </c>
      <c r="CC35" s="71" t="s">
        <v>363</v>
      </c>
      <c r="CD35" s="71" t="s">
        <v>364</v>
      </c>
      <c r="CE35" s="71" t="s">
        <v>365</v>
      </c>
      <c r="CF35" s="71" t="s">
        <v>366</v>
      </c>
      <c r="CG35" s="71" t="s">
        <v>367</v>
      </c>
      <c r="CH35" s="71" t="s">
        <v>368</v>
      </c>
      <c r="CI35" s="71" t="s">
        <v>385</v>
      </c>
      <c r="CJ35" s="71"/>
      <c r="CK35" s="71"/>
      <c r="CL35" s="71"/>
      <c r="CM35" s="71"/>
      <c r="CN35" s="71"/>
      <c r="CO35" s="71"/>
      <c r="CP35" s="71"/>
      <c r="CQ35" s="71"/>
      <c r="CR35" s="71"/>
      <c r="CS35" s="71"/>
      <c r="CT35" s="71"/>
      <c r="CU35" s="71"/>
      <c r="CV35" s="71"/>
      <c r="CW35" s="71"/>
      <c r="CX35" s="71"/>
      <c r="CY35" s="71"/>
      <c r="CZ35" s="71"/>
      <c r="DA35" s="71"/>
      <c r="DB35" s="71"/>
      <c r="DC35" s="74">
        <f t="shared" si="2"/>
        <v>33</v>
      </c>
      <c r="DD35">
        <v>110</v>
      </c>
      <c r="DE35">
        <v>105</v>
      </c>
      <c r="DF35">
        <v>100</v>
      </c>
      <c r="DG35">
        <v>95</v>
      </c>
      <c r="DH35">
        <v>80</v>
      </c>
      <c r="DI35">
        <v>85</v>
      </c>
      <c r="DJ35">
        <v>75</v>
      </c>
      <c r="DK35">
        <v>70</v>
      </c>
      <c r="DL35">
        <v>75</v>
      </c>
      <c r="DM35">
        <v>80</v>
      </c>
      <c r="EH35" s="78">
        <f t="shared" si="25"/>
        <v>110</v>
      </c>
      <c r="EI35" s="78">
        <f t="shared" si="25"/>
        <v>105</v>
      </c>
      <c r="EJ35" s="78">
        <f t="shared" ref="EJ35" si="93">IF(       AND($A$14="TARE",$A$15="TARE"),IF(DF35&gt;0,DF35-VLOOKUP($C35,$B$14:$K$15,COLUMN()-31),0),    IF(UPPER($A$14)="TARE",IF(DF35&gt;0,DF35-DF$14,0),DF35)        )</f>
        <v>100</v>
      </c>
      <c r="EK35" s="78">
        <f t="shared" ref="EK35" si="94">IF(       AND($A$14="TARE",$A$15="TARE"),IF(DG35&gt;0,DG35-VLOOKUP($C35,$B$14:$K$15,COLUMN()-31),0),    IF(UPPER($A$14)="TARE",IF(DG35&gt;0,DG35-DG$14,0),DG35)        )</f>
        <v>95</v>
      </c>
      <c r="EL35" s="78">
        <f t="shared" ref="EL35" si="95">IF(       AND($A$14="TARE",$A$15="TARE"),IF(DH35&gt;0,DH35-VLOOKUP($C35,$B$14:$K$15,COLUMN()-31),0),    IF(UPPER($A$14)="TARE",IF(DH35&gt;0,DH35-DH$14,0),DH35)        )</f>
        <v>80</v>
      </c>
      <c r="EM35" s="78">
        <f t="shared" ref="EM35" si="96">IF(       AND($A$14="TARE",$A$15="TARE"),IF(DI35&gt;0,DI35-VLOOKUP($C35,$B$14:$K$15,COLUMN()-31),0),    IF(UPPER($A$14)="TARE",IF(DI35&gt;0,DI35-DI$14,0),DI35)        )</f>
        <v>85</v>
      </c>
      <c r="EN35" s="78">
        <f t="shared" ref="EN35" si="97">IF(       AND($A$14="TARE",$A$15="TARE"),IF(DJ35&gt;0,DJ35-VLOOKUP($C35,$B$14:$K$15,COLUMN()-31),0),    IF(UPPER($A$14)="TARE",IF(DJ35&gt;0,DJ35-DJ$14,0),DJ35)        )</f>
        <v>75</v>
      </c>
      <c r="EO35" s="78">
        <f t="shared" ref="EO35" si="98">IF(       AND($A$14="TARE",$A$15="TARE"),IF(DK35&gt;0,DK35-VLOOKUP($C35,$B$14:$K$15,COLUMN()-31),0),    IF(UPPER($A$14)="TARE",IF(DK35&gt;0,DK35-DK$14,0),DK35)        )</f>
        <v>70</v>
      </c>
      <c r="EP35" s="78">
        <f t="shared" ref="EP35" si="99">IF(       AND($A$14="TARE",$A$15="TARE"),IF(DL35&gt;0,DL35-VLOOKUP($C35,$B$14:$K$15,COLUMN()-31),0),    IF(UPPER($A$14)="TARE",IF(DL35&gt;0,DL35-DL$14,0),DL35)        )</f>
        <v>75</v>
      </c>
      <c r="EQ35" s="78">
        <f t="shared" ref="EQ35" si="100">IF(       AND($A$14="TARE",$A$15="TARE"),IF(DM35&gt;0,DM35-VLOOKUP($C35,$B$14:$K$15,COLUMN()-31),0),    IF(UPPER($A$14)="TARE",IF(DM35&gt;0,DM35-DM$14,0),DM35)        )</f>
        <v>80</v>
      </c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D35" s="80">
        <f t="shared" si="39"/>
        <v>12.571428571428573</v>
      </c>
      <c r="FE35" s="80">
        <f t="shared" si="40"/>
        <v>12</v>
      </c>
      <c r="FF35" s="80">
        <f t="shared" si="41"/>
        <v>11.428571428571429</v>
      </c>
      <c r="FG35" s="80">
        <f t="shared" si="42"/>
        <v>10.857142857142858</v>
      </c>
      <c r="FH35" s="80">
        <f t="shared" si="43"/>
        <v>9.1428571428571423</v>
      </c>
      <c r="FI35" s="80">
        <f t="shared" si="44"/>
        <v>9.7142857142857135</v>
      </c>
      <c r="FJ35" s="80">
        <f t="shared" si="45"/>
        <v>8.5714285714285712</v>
      </c>
      <c r="FK35" s="80">
        <f t="shared" si="46"/>
        <v>8</v>
      </c>
      <c r="FL35" s="80">
        <f t="shared" si="47"/>
        <v>8.5714285714285712</v>
      </c>
      <c r="FM35" s="80">
        <f t="shared" si="48"/>
        <v>9.1428571428571423</v>
      </c>
      <c r="FN35" s="80">
        <f t="shared" si="49"/>
        <v>0</v>
      </c>
      <c r="FO35" s="80">
        <f t="shared" si="50"/>
        <v>0</v>
      </c>
      <c r="FP35" s="80">
        <f t="shared" si="51"/>
        <v>0</v>
      </c>
      <c r="FQ35" s="80">
        <f t="shared" si="52"/>
        <v>0</v>
      </c>
      <c r="FR35" s="80">
        <f t="shared" si="53"/>
        <v>0</v>
      </c>
      <c r="FS35" s="80">
        <f t="shared" si="54"/>
        <v>0</v>
      </c>
      <c r="FT35" s="80">
        <f t="shared" si="55"/>
        <v>0</v>
      </c>
      <c r="FU35" s="80">
        <f t="shared" si="56"/>
        <v>0</v>
      </c>
      <c r="FV35" s="80">
        <f t="shared" si="57"/>
        <v>0</v>
      </c>
      <c r="FW35" s="80">
        <f t="shared" si="58"/>
        <v>0</v>
      </c>
      <c r="FX35" s="80">
        <f t="shared" si="59"/>
        <v>0</v>
      </c>
    </row>
    <row r="36" spans="1:180" ht="15.6" thickTop="1" thickBot="1" x14ac:dyDescent="0.35">
      <c r="A36" s="62">
        <f t="shared" si="3"/>
        <v>34</v>
      </c>
      <c r="B36" s="99" t="s">
        <v>120</v>
      </c>
      <c r="C36" s="62" t="str">
        <f t="shared" si="0"/>
        <v xml:space="preserve">34: PSA dry sieve 16-1mm @ whole phi                                            </v>
      </c>
      <c r="D36" s="63">
        <f t="shared" si="4"/>
        <v>1</v>
      </c>
      <c r="E36" s="62">
        <v>1</v>
      </c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4">
        <f t="shared" si="20"/>
        <v>6</v>
      </c>
      <c r="Z36" s="66" t="s">
        <v>150</v>
      </c>
      <c r="AA36" s="66" t="s">
        <v>151</v>
      </c>
      <c r="AB36" s="66" t="s">
        <v>153</v>
      </c>
      <c r="AC36" s="66" t="s">
        <v>236</v>
      </c>
      <c r="AD36" s="66" t="s">
        <v>225</v>
      </c>
      <c r="AE36" s="66" t="s">
        <v>155</v>
      </c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71" t="s">
        <v>150</v>
      </c>
      <c r="BE36" s="71" t="s">
        <v>151</v>
      </c>
      <c r="BF36" s="71" t="s">
        <v>153</v>
      </c>
      <c r="BG36" s="71" t="s">
        <v>236</v>
      </c>
      <c r="BH36" s="71" t="s">
        <v>225</v>
      </c>
      <c r="BI36" s="71" t="s">
        <v>155</v>
      </c>
      <c r="BJ36" s="71"/>
      <c r="BK36" s="71"/>
      <c r="BL36" s="71"/>
      <c r="BM36" s="71"/>
      <c r="BN36" s="71"/>
      <c r="BO36" s="71"/>
      <c r="BP36" s="71"/>
      <c r="BQ36" s="71"/>
      <c r="BR36" s="71"/>
      <c r="BS36" s="71"/>
      <c r="BT36" s="71"/>
      <c r="BU36" s="71"/>
      <c r="BV36" s="71"/>
      <c r="BW36" s="71"/>
      <c r="BX36" s="71"/>
      <c r="BY36" s="71"/>
      <c r="BZ36" s="71" t="s">
        <v>376</v>
      </c>
      <c r="CA36" s="71" t="s">
        <v>378</v>
      </c>
      <c r="CB36" s="71" t="s">
        <v>380</v>
      </c>
      <c r="CC36" s="71" t="s">
        <v>382</v>
      </c>
      <c r="CD36" s="71" t="s">
        <v>384</v>
      </c>
      <c r="CE36" s="71" t="s">
        <v>385</v>
      </c>
      <c r="CF36" s="71"/>
      <c r="CG36" s="71"/>
      <c r="CH36" s="71"/>
      <c r="CI36" s="71"/>
      <c r="CJ36" s="71"/>
      <c r="CK36" s="71"/>
      <c r="CL36" s="71"/>
      <c r="CM36" s="71"/>
      <c r="CN36" s="71"/>
      <c r="CO36" s="71"/>
      <c r="CP36" s="71"/>
      <c r="CQ36" s="71"/>
      <c r="CR36" s="71"/>
      <c r="CS36" s="71"/>
      <c r="CT36" s="71"/>
      <c r="CU36" s="71"/>
      <c r="CV36" s="71"/>
      <c r="CW36" s="71"/>
      <c r="CX36" s="71"/>
      <c r="CY36" s="71"/>
      <c r="CZ36" s="71"/>
      <c r="DA36" s="71"/>
      <c r="DB36" s="71"/>
      <c r="DC36" s="74">
        <f t="shared" si="2"/>
        <v>34</v>
      </c>
      <c r="DD36">
        <v>110</v>
      </c>
      <c r="DE36">
        <v>105</v>
      </c>
      <c r="DF36">
        <v>100</v>
      </c>
      <c r="DG36">
        <v>95</v>
      </c>
      <c r="DH36">
        <v>80</v>
      </c>
      <c r="DI36">
        <v>85</v>
      </c>
      <c r="DJ36">
        <v>75</v>
      </c>
      <c r="DK36">
        <v>70</v>
      </c>
      <c r="DL36">
        <v>75</v>
      </c>
      <c r="DM36">
        <v>80</v>
      </c>
      <c r="DN36">
        <v>85</v>
      </c>
      <c r="DO36">
        <v>90</v>
      </c>
      <c r="DP36">
        <v>95</v>
      </c>
      <c r="DQ36">
        <v>100</v>
      </c>
      <c r="DR36">
        <v>105</v>
      </c>
      <c r="DS36">
        <v>110</v>
      </c>
      <c r="EH36" s="78">
        <f t="shared" si="25"/>
        <v>110</v>
      </c>
      <c r="EI36" s="78">
        <f t="shared" si="25"/>
        <v>105</v>
      </c>
      <c r="EJ36" s="78">
        <f t="shared" ref="EJ36" si="101">IF(       AND($A$14="TARE",$A$15="TARE"),IF(DF36&gt;0,DF36-VLOOKUP($C36,$B$14:$K$15,COLUMN()-31),0),    IF(UPPER($A$14)="TARE",IF(DF36&gt;0,DF36-DF$14,0),DF36)        )</f>
        <v>100</v>
      </c>
      <c r="EK36" s="78">
        <f t="shared" ref="EK36" si="102">IF(       AND($A$14="TARE",$A$15="TARE"),IF(DG36&gt;0,DG36-VLOOKUP($C36,$B$14:$K$15,COLUMN()-31),0),    IF(UPPER($A$14)="TARE",IF(DG36&gt;0,DG36-DG$14,0),DG36)        )</f>
        <v>95</v>
      </c>
      <c r="EL36" s="78">
        <f t="shared" ref="EL36" si="103">IF(       AND($A$14="TARE",$A$15="TARE"),IF(DH36&gt;0,DH36-VLOOKUP($C36,$B$14:$K$15,COLUMN()-31),0),    IF(UPPER($A$14)="TARE",IF(DH36&gt;0,DH36-DH$14,0),DH36)        )</f>
        <v>80</v>
      </c>
      <c r="EM36" s="78">
        <f t="shared" ref="EM36" si="104">IF(       AND($A$14="TARE",$A$15="TARE"),IF(DI36&gt;0,DI36-VLOOKUP($C36,$B$14:$K$15,COLUMN()-31),0),    IF(UPPER($A$14)="TARE",IF(DI36&gt;0,DI36-DI$14,0),DI36)        )</f>
        <v>85</v>
      </c>
      <c r="EN36" s="78">
        <f t="shared" ref="EN36" si="105">IF(       AND($A$14="TARE",$A$15="TARE"),IF(DJ36&gt;0,DJ36-VLOOKUP($C36,$B$14:$K$15,COLUMN()-31),0),    IF(UPPER($A$14)="TARE",IF(DJ36&gt;0,DJ36-DJ$14,0),DJ36)        )</f>
        <v>75</v>
      </c>
      <c r="EO36" s="78">
        <f t="shared" ref="EO36" si="106">IF(       AND($A$14="TARE",$A$15="TARE"),IF(DK36&gt;0,DK36-VLOOKUP($C36,$B$14:$K$15,COLUMN()-31),0),    IF(UPPER($A$14)="TARE",IF(DK36&gt;0,DK36-DK$14,0),DK36)        )</f>
        <v>70</v>
      </c>
      <c r="EP36" s="78">
        <f t="shared" ref="EP36" si="107">IF(       AND($A$14="TARE",$A$15="TARE"),IF(DL36&gt;0,DL36-VLOOKUP($C36,$B$14:$K$15,COLUMN()-31),0),    IF(UPPER($A$14)="TARE",IF(DL36&gt;0,DL36-DL$14,0),DL36)        )</f>
        <v>75</v>
      </c>
      <c r="EQ36" s="78">
        <f t="shared" ref="EQ36" si="108">IF(       AND($A$14="TARE",$A$15="TARE"),IF(DM36&gt;0,DM36-VLOOKUP($C36,$B$14:$K$15,COLUMN()-31),0),    IF(UPPER($A$14)="TARE",IF(DM36&gt;0,DM36-DM$14,0),DM36)        )</f>
        <v>80</v>
      </c>
      <c r="ER36" s="78">
        <f t="shared" ref="ER36" si="109">IF(       AND($A$14="TARE",$A$15="TARE"),IF(DN36&gt;0,DN36-VLOOKUP($C36,$B$14:$K$15,COLUMN()-31),0),    IF(UPPER($A$14)="TARE",IF(DN36&gt;0,DN36-DN$14,0),DN36)        )</f>
        <v>85</v>
      </c>
      <c r="ES36" s="78">
        <f t="shared" ref="ES36" si="110">IF(       AND($A$14="TARE",$A$15="TARE"),IF(DO36&gt;0,DO36-VLOOKUP($C36,$B$14:$K$15,COLUMN()-31),0),    IF(UPPER($A$14)="TARE",IF(DO36&gt;0,DO36-DO$14,0),DO36)        )</f>
        <v>90</v>
      </c>
      <c r="ET36" s="78">
        <f t="shared" ref="ET36" si="111">IF(       AND($A$14="TARE",$A$15="TARE"),IF(DP36&gt;0,DP36-VLOOKUP($C36,$B$14:$K$15,COLUMN()-31),0),    IF(UPPER($A$14)="TARE",IF(DP36&gt;0,DP36-DP$14,0),DP36)        )</f>
        <v>95</v>
      </c>
      <c r="EU36" s="78">
        <f t="shared" ref="EU36" si="112">IF(       AND($A$14="TARE",$A$15="TARE"),IF(DQ36&gt;0,DQ36-VLOOKUP($C36,$B$14:$K$15,COLUMN()-31),0),    IF(UPPER($A$14)="TARE",IF(DQ36&gt;0,DQ36-DQ$14,0),DQ36)        )</f>
        <v>100</v>
      </c>
      <c r="EV36" s="78">
        <f t="shared" ref="EV36" si="113">IF(       AND($A$14="TARE",$A$15="TARE"),IF(DR36&gt;0,DR36-VLOOKUP($C36,$B$14:$K$15,COLUMN()-31),0),    IF(UPPER($A$14)="TARE",IF(DR36&gt;0,DR36-DR$14,0),DR36)        )</f>
        <v>105</v>
      </c>
      <c r="EW36" s="78">
        <f t="shared" ref="EW36" si="114">IF(       AND($A$14="TARE",$A$15="TARE"),IF(DS36&gt;0,DS36-VLOOKUP($C36,$B$14:$K$15,COLUMN()-31),0),    IF(UPPER($A$14)="TARE",IF(DS36&gt;0,DS36-DS$14,0),DS36)        )</f>
        <v>110</v>
      </c>
      <c r="EX36" s="78"/>
      <c r="EY36" s="78"/>
      <c r="EZ36" s="78"/>
      <c r="FA36" s="78"/>
      <c r="FB36" s="78"/>
      <c r="FD36" s="80">
        <f t="shared" si="39"/>
        <v>7.5342465753424657</v>
      </c>
      <c r="FE36" s="80">
        <f t="shared" si="40"/>
        <v>7.1917808219178081</v>
      </c>
      <c r="FF36" s="80">
        <f t="shared" si="41"/>
        <v>6.8493150684931505</v>
      </c>
      <c r="FG36" s="80">
        <f t="shared" si="42"/>
        <v>6.506849315068493</v>
      </c>
      <c r="FH36" s="80">
        <f t="shared" si="43"/>
        <v>5.4794520547945202</v>
      </c>
      <c r="FI36" s="80">
        <f t="shared" si="44"/>
        <v>5.8219178082191778</v>
      </c>
      <c r="FJ36" s="80">
        <f t="shared" si="45"/>
        <v>5.1369863013698627</v>
      </c>
      <c r="FK36" s="80">
        <f t="shared" si="46"/>
        <v>4.7945205479452051</v>
      </c>
      <c r="FL36" s="80">
        <f t="shared" si="47"/>
        <v>5.1369863013698627</v>
      </c>
      <c r="FM36" s="80">
        <f t="shared" si="48"/>
        <v>5.4794520547945202</v>
      </c>
      <c r="FN36" s="80">
        <f t="shared" si="49"/>
        <v>5.8219178082191778</v>
      </c>
      <c r="FO36" s="80">
        <f t="shared" si="50"/>
        <v>6.1643835616438354</v>
      </c>
      <c r="FP36" s="80">
        <f t="shared" si="51"/>
        <v>6.506849315068493</v>
      </c>
      <c r="FQ36" s="80">
        <f t="shared" si="52"/>
        <v>6.8493150684931505</v>
      </c>
      <c r="FR36" s="80">
        <f t="shared" si="53"/>
        <v>7.1917808219178081</v>
      </c>
      <c r="FS36" s="80">
        <f t="shared" si="54"/>
        <v>7.5342465753424657</v>
      </c>
      <c r="FT36" s="80">
        <f t="shared" si="55"/>
        <v>0</v>
      </c>
      <c r="FU36" s="80">
        <f t="shared" si="56"/>
        <v>0</v>
      </c>
      <c r="FV36" s="80">
        <f t="shared" si="57"/>
        <v>0</v>
      </c>
      <c r="FW36" s="80">
        <f t="shared" si="58"/>
        <v>0</v>
      </c>
      <c r="FX36" s="80">
        <f t="shared" si="59"/>
        <v>0</v>
      </c>
    </row>
    <row r="37" spans="1:180" ht="15.6" thickTop="1" thickBot="1" x14ac:dyDescent="0.35">
      <c r="A37" s="62">
        <f t="shared" si="3"/>
        <v>35</v>
      </c>
      <c r="B37" s="99" t="s">
        <v>115</v>
      </c>
      <c r="C37" s="62" t="str">
        <f t="shared" si="0"/>
        <v xml:space="preserve">35: PSA dry sieve 16-1mm @ 1/2 phi                                             </v>
      </c>
      <c r="D37" s="63">
        <f t="shared" si="4"/>
        <v>1</v>
      </c>
      <c r="E37" s="62">
        <v>1</v>
      </c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4">
        <f t="shared" si="20"/>
        <v>10</v>
      </c>
      <c r="Z37" s="66" t="s">
        <v>150</v>
      </c>
      <c r="AA37" s="66" t="s">
        <v>160</v>
      </c>
      <c r="AB37" s="66" t="s">
        <v>151</v>
      </c>
      <c r="AC37" s="66" t="s">
        <v>152</v>
      </c>
      <c r="AD37" s="66" t="s">
        <v>153</v>
      </c>
      <c r="AE37" s="66" t="s">
        <v>154</v>
      </c>
      <c r="AF37" s="66" t="s">
        <v>236</v>
      </c>
      <c r="AG37" s="66" t="s">
        <v>223</v>
      </c>
      <c r="AH37" s="66" t="s">
        <v>225</v>
      </c>
      <c r="AI37" s="66" t="s">
        <v>155</v>
      </c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71" t="s">
        <v>150</v>
      </c>
      <c r="BE37" s="71" t="s">
        <v>160</v>
      </c>
      <c r="BF37" s="71" t="s">
        <v>151</v>
      </c>
      <c r="BG37" s="71" t="s">
        <v>152</v>
      </c>
      <c r="BH37" s="71" t="s">
        <v>153</v>
      </c>
      <c r="BI37" s="71" t="s">
        <v>154</v>
      </c>
      <c r="BJ37" s="71" t="s">
        <v>236</v>
      </c>
      <c r="BK37" s="71" t="s">
        <v>223</v>
      </c>
      <c r="BL37" s="71" t="s">
        <v>225</v>
      </c>
      <c r="BM37" s="71" t="s">
        <v>155</v>
      </c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 t="s">
        <v>376</v>
      </c>
      <c r="CA37" s="71" t="s">
        <v>387</v>
      </c>
      <c r="CB37" s="71" t="s">
        <v>378</v>
      </c>
      <c r="CC37" s="71" t="s">
        <v>379</v>
      </c>
      <c r="CD37" s="71" t="s">
        <v>380</v>
      </c>
      <c r="CE37" s="71" t="s">
        <v>381</v>
      </c>
      <c r="CF37" s="71" t="s">
        <v>382</v>
      </c>
      <c r="CG37" s="71" t="s">
        <v>383</v>
      </c>
      <c r="CH37" s="71" t="s">
        <v>384</v>
      </c>
      <c r="CI37" s="71" t="s">
        <v>385</v>
      </c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71"/>
      <c r="CU37" s="71"/>
      <c r="CV37" s="71"/>
      <c r="CW37" s="71"/>
      <c r="CX37" s="71"/>
      <c r="CY37" s="71"/>
      <c r="CZ37" s="71"/>
      <c r="DA37" s="71"/>
      <c r="DB37" s="71"/>
      <c r="DC37" s="74">
        <f t="shared" si="2"/>
        <v>35</v>
      </c>
      <c r="DD37">
        <v>110</v>
      </c>
      <c r="DE37">
        <v>105</v>
      </c>
      <c r="DF37">
        <v>100</v>
      </c>
      <c r="DG37">
        <v>95</v>
      </c>
      <c r="DH37">
        <v>80</v>
      </c>
      <c r="DI37">
        <v>85</v>
      </c>
      <c r="EH37" s="78">
        <f t="shared" si="25"/>
        <v>110</v>
      </c>
      <c r="EI37" s="78">
        <f t="shared" si="25"/>
        <v>105</v>
      </c>
      <c r="EJ37" s="78">
        <f t="shared" ref="EJ37" si="115">IF(       AND($A$14="TARE",$A$15="TARE"),IF(DF37&gt;0,DF37-VLOOKUP($C37,$B$14:$K$15,COLUMN()-31),0),    IF(UPPER($A$14)="TARE",IF(DF37&gt;0,DF37-DF$14,0),DF37)        )</f>
        <v>100</v>
      </c>
      <c r="EK37" s="78">
        <f t="shared" ref="EK37" si="116">IF(       AND($A$14="TARE",$A$15="TARE"),IF(DG37&gt;0,DG37-VLOOKUP($C37,$B$14:$K$15,COLUMN()-31),0),    IF(UPPER($A$14)="TARE",IF(DG37&gt;0,DG37-DG$14,0),DG37)        )</f>
        <v>95</v>
      </c>
      <c r="EL37" s="78">
        <f t="shared" ref="EL37" si="117">IF(       AND($A$14="TARE",$A$15="TARE"),IF(DH37&gt;0,DH37-VLOOKUP($C37,$B$14:$K$15,COLUMN()-31),0),    IF(UPPER($A$14)="TARE",IF(DH37&gt;0,DH37-DH$14,0),DH37)        )</f>
        <v>80</v>
      </c>
      <c r="EM37" s="78">
        <f t="shared" ref="EM37" si="118">IF(       AND($A$14="TARE",$A$15="TARE"),IF(DI37&gt;0,DI37-VLOOKUP($C37,$B$14:$K$15,COLUMN()-31),0),    IF(UPPER($A$14)="TARE",IF(DI37&gt;0,DI37-DI$14,0),DI37)        )</f>
        <v>85</v>
      </c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D37" s="80">
        <f t="shared" si="39"/>
        <v>19.130434782608695</v>
      </c>
      <c r="FE37" s="80">
        <f t="shared" si="40"/>
        <v>18.260869565217391</v>
      </c>
      <c r="FF37" s="80">
        <f t="shared" si="41"/>
        <v>17.391304347826086</v>
      </c>
      <c r="FG37" s="80">
        <f t="shared" si="42"/>
        <v>16.521739130434781</v>
      </c>
      <c r="FH37" s="80">
        <f t="shared" si="43"/>
        <v>13.913043478260869</v>
      </c>
      <c r="FI37" s="80">
        <f t="shared" si="44"/>
        <v>14.782608695652174</v>
      </c>
      <c r="FJ37" s="80">
        <f t="shared" si="45"/>
        <v>0</v>
      </c>
      <c r="FK37" s="80">
        <f t="shared" si="46"/>
        <v>0</v>
      </c>
      <c r="FL37" s="80">
        <f t="shared" si="47"/>
        <v>0</v>
      </c>
      <c r="FM37" s="80">
        <f t="shared" si="48"/>
        <v>0</v>
      </c>
      <c r="FN37" s="80">
        <f t="shared" si="49"/>
        <v>0</v>
      </c>
      <c r="FO37" s="80">
        <f t="shared" si="50"/>
        <v>0</v>
      </c>
      <c r="FP37" s="80">
        <f t="shared" si="51"/>
        <v>0</v>
      </c>
      <c r="FQ37" s="80">
        <f t="shared" si="52"/>
        <v>0</v>
      </c>
      <c r="FR37" s="80">
        <f t="shared" si="53"/>
        <v>0</v>
      </c>
      <c r="FS37" s="80">
        <f t="shared" si="54"/>
        <v>0</v>
      </c>
      <c r="FT37" s="80">
        <f t="shared" si="55"/>
        <v>0</v>
      </c>
      <c r="FU37" s="80">
        <f t="shared" si="56"/>
        <v>0</v>
      </c>
      <c r="FV37" s="80">
        <f t="shared" si="57"/>
        <v>0</v>
      </c>
      <c r="FW37" s="80">
        <f t="shared" si="58"/>
        <v>0</v>
      </c>
      <c r="FX37" s="80">
        <f t="shared" si="59"/>
        <v>0</v>
      </c>
    </row>
    <row r="38" spans="1:180" ht="15.6" thickTop="1" thickBot="1" x14ac:dyDescent="0.35">
      <c r="A38" s="62">
        <f t="shared" si="3"/>
        <v>36</v>
      </c>
      <c r="B38" s="99" t="s">
        <v>116</v>
      </c>
      <c r="C38" s="62" t="str">
        <f t="shared" si="0"/>
        <v xml:space="preserve">36: PSA dry sieve 16mm - 1mm @ 1/4 phi intervals                               </v>
      </c>
      <c r="D38" s="63">
        <f t="shared" si="4"/>
        <v>1</v>
      </c>
      <c r="E38" s="62">
        <v>1</v>
      </c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4">
        <f t="shared" si="20"/>
        <v>18</v>
      </c>
      <c r="Z38" s="66" t="s">
        <v>150</v>
      </c>
      <c r="AA38" s="66" t="s">
        <v>238</v>
      </c>
      <c r="AB38" s="66" t="s">
        <v>160</v>
      </c>
      <c r="AC38" s="66" t="s">
        <v>239</v>
      </c>
      <c r="AD38" s="66" t="s">
        <v>151</v>
      </c>
      <c r="AE38" s="66" t="s">
        <v>240</v>
      </c>
      <c r="AF38" s="66" t="s">
        <v>152</v>
      </c>
      <c r="AG38" s="66" t="s">
        <v>234</v>
      </c>
      <c r="AH38" s="66" t="s">
        <v>153</v>
      </c>
      <c r="AI38" s="66" t="s">
        <v>241</v>
      </c>
      <c r="AJ38" s="66" t="s">
        <v>154</v>
      </c>
      <c r="AK38" s="66" t="s">
        <v>235</v>
      </c>
      <c r="AL38" s="66" t="s">
        <v>236</v>
      </c>
      <c r="AM38" s="66" t="s">
        <v>242</v>
      </c>
      <c r="AN38" s="66" t="s">
        <v>223</v>
      </c>
      <c r="AO38" s="66" t="s">
        <v>243</v>
      </c>
      <c r="AP38" s="66" t="s">
        <v>162</v>
      </c>
      <c r="AQ38" s="66" t="s">
        <v>155</v>
      </c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71" t="s">
        <v>150</v>
      </c>
      <c r="BE38" s="71" t="s">
        <v>238</v>
      </c>
      <c r="BF38" s="71" t="s">
        <v>160</v>
      </c>
      <c r="BG38" s="71" t="s">
        <v>239</v>
      </c>
      <c r="BH38" s="71" t="s">
        <v>151</v>
      </c>
      <c r="BI38" s="71" t="s">
        <v>240</v>
      </c>
      <c r="BJ38" s="71" t="s">
        <v>152</v>
      </c>
      <c r="BK38" s="71" t="s">
        <v>234</v>
      </c>
      <c r="BL38" s="71" t="s">
        <v>153</v>
      </c>
      <c r="BM38" s="71" t="s">
        <v>241</v>
      </c>
      <c r="BN38" s="71" t="s">
        <v>154</v>
      </c>
      <c r="BO38" s="71" t="s">
        <v>235</v>
      </c>
      <c r="BP38" s="71" t="s">
        <v>236</v>
      </c>
      <c r="BQ38" s="71" t="s">
        <v>242</v>
      </c>
      <c r="BR38" s="71" t="s">
        <v>223</v>
      </c>
      <c r="BS38" s="71" t="s">
        <v>243</v>
      </c>
      <c r="BT38" s="71" t="s">
        <v>162</v>
      </c>
      <c r="BU38" s="71" t="s">
        <v>155</v>
      </c>
      <c r="BV38" s="71"/>
      <c r="BW38" s="71"/>
      <c r="BX38" s="71"/>
      <c r="BY38" s="71"/>
      <c r="BZ38" s="71" t="s">
        <v>376</v>
      </c>
      <c r="CA38" s="71" t="s">
        <v>388</v>
      </c>
      <c r="CB38" s="71" t="s">
        <v>387</v>
      </c>
      <c r="CC38" s="71" t="s">
        <v>389</v>
      </c>
      <c r="CD38" s="71" t="s">
        <v>378</v>
      </c>
      <c r="CE38" s="71" t="s">
        <v>390</v>
      </c>
      <c r="CF38" s="71" t="s">
        <v>379</v>
      </c>
      <c r="CG38" s="71" t="s">
        <v>391</v>
      </c>
      <c r="CH38" s="71" t="s">
        <v>380</v>
      </c>
      <c r="CI38" s="71" t="s">
        <v>392</v>
      </c>
      <c r="CJ38" s="71" t="s">
        <v>381</v>
      </c>
      <c r="CK38" s="71" t="s">
        <v>393</v>
      </c>
      <c r="CL38" s="71" t="s">
        <v>382</v>
      </c>
      <c r="CM38" s="71" t="s">
        <v>394</v>
      </c>
      <c r="CN38" s="71" t="s">
        <v>383</v>
      </c>
      <c r="CO38" s="71" t="s">
        <v>395</v>
      </c>
      <c r="CP38" s="71" t="s">
        <v>365</v>
      </c>
      <c r="CQ38" s="71" t="s">
        <v>385</v>
      </c>
      <c r="CR38" s="71"/>
      <c r="CS38" s="71"/>
      <c r="CT38" s="71"/>
      <c r="CU38" s="71"/>
      <c r="CV38" s="71"/>
      <c r="CW38" s="71"/>
      <c r="CX38" s="71"/>
      <c r="CY38" s="71"/>
      <c r="CZ38" s="71"/>
      <c r="DA38" s="71"/>
      <c r="DB38" s="71"/>
      <c r="DC38" s="74">
        <f t="shared" si="2"/>
        <v>36</v>
      </c>
      <c r="DD38">
        <v>110</v>
      </c>
      <c r="DE38">
        <v>105</v>
      </c>
      <c r="DF38">
        <v>100</v>
      </c>
      <c r="DG38">
        <v>95</v>
      </c>
      <c r="DH38">
        <v>80</v>
      </c>
      <c r="DI38">
        <v>85</v>
      </c>
      <c r="DJ38">
        <v>75</v>
      </c>
      <c r="DK38">
        <v>70</v>
      </c>
      <c r="DL38">
        <v>75</v>
      </c>
      <c r="DM38">
        <v>80</v>
      </c>
      <c r="DN38">
        <v>85</v>
      </c>
      <c r="DO38">
        <v>90</v>
      </c>
      <c r="DP38">
        <v>95</v>
      </c>
      <c r="DQ38">
        <v>100</v>
      </c>
      <c r="DR38">
        <v>105</v>
      </c>
      <c r="DS38">
        <v>110</v>
      </c>
      <c r="DT38">
        <v>115</v>
      </c>
      <c r="DU38">
        <v>120</v>
      </c>
      <c r="EH38" s="78">
        <f t="shared" si="25"/>
        <v>110</v>
      </c>
      <c r="EI38" s="78">
        <f t="shared" si="25"/>
        <v>105</v>
      </c>
      <c r="EJ38" s="78">
        <f t="shared" ref="EJ38" si="119">IF(       AND($A$14="TARE",$A$15="TARE"),IF(DF38&gt;0,DF38-VLOOKUP($C38,$B$14:$K$15,COLUMN()-31),0),    IF(UPPER($A$14)="TARE",IF(DF38&gt;0,DF38-DF$14,0),DF38)        )</f>
        <v>100</v>
      </c>
      <c r="EK38" s="78">
        <f t="shared" ref="EK38" si="120">IF(       AND($A$14="TARE",$A$15="TARE"),IF(DG38&gt;0,DG38-VLOOKUP($C38,$B$14:$K$15,COLUMN()-31),0),    IF(UPPER($A$14)="TARE",IF(DG38&gt;0,DG38-DG$14,0),DG38)        )</f>
        <v>95</v>
      </c>
      <c r="EL38" s="78">
        <f t="shared" ref="EL38" si="121">IF(       AND($A$14="TARE",$A$15="TARE"),IF(DH38&gt;0,DH38-VLOOKUP($C38,$B$14:$K$15,COLUMN()-31),0),    IF(UPPER($A$14)="TARE",IF(DH38&gt;0,DH38-DH$14,0),DH38)        )</f>
        <v>80</v>
      </c>
      <c r="EM38" s="78">
        <f t="shared" ref="EM38" si="122">IF(       AND($A$14="TARE",$A$15="TARE"),IF(DI38&gt;0,DI38-VLOOKUP($C38,$B$14:$K$15,COLUMN()-31),0),    IF(UPPER($A$14)="TARE",IF(DI38&gt;0,DI38-DI$14,0),DI38)        )</f>
        <v>85</v>
      </c>
      <c r="EN38" s="78">
        <f t="shared" ref="EN38" si="123">IF(       AND($A$14="TARE",$A$15="TARE"),IF(DJ38&gt;0,DJ38-VLOOKUP($C38,$B$14:$K$15,COLUMN()-31),0),    IF(UPPER($A$14)="TARE",IF(DJ38&gt;0,DJ38-DJ$14,0),DJ38)        )</f>
        <v>75</v>
      </c>
      <c r="EO38" s="78">
        <f t="shared" ref="EO38" si="124">IF(       AND($A$14="TARE",$A$15="TARE"),IF(DK38&gt;0,DK38-VLOOKUP($C38,$B$14:$K$15,COLUMN()-31),0),    IF(UPPER($A$14)="TARE",IF(DK38&gt;0,DK38-DK$14,0),DK38)        )</f>
        <v>70</v>
      </c>
      <c r="EP38" s="78">
        <f t="shared" ref="EP38" si="125">IF(       AND($A$14="TARE",$A$15="TARE"),IF(DL38&gt;0,DL38-VLOOKUP($C38,$B$14:$K$15,COLUMN()-31),0),    IF(UPPER($A$14)="TARE",IF(DL38&gt;0,DL38-DL$14,0),DL38)        )</f>
        <v>75</v>
      </c>
      <c r="EQ38" s="78">
        <f t="shared" ref="EQ38" si="126">IF(       AND($A$14="TARE",$A$15="TARE"),IF(DM38&gt;0,DM38-VLOOKUP($C38,$B$14:$K$15,COLUMN()-31),0),    IF(UPPER($A$14)="TARE",IF(DM38&gt;0,DM38-DM$14,0),DM38)        )</f>
        <v>80</v>
      </c>
      <c r="ER38" s="78">
        <f t="shared" ref="ER38" si="127">IF(       AND($A$14="TARE",$A$15="TARE"),IF(DN38&gt;0,DN38-VLOOKUP($C38,$B$14:$K$15,COLUMN()-31),0),    IF(UPPER($A$14)="TARE",IF(DN38&gt;0,DN38-DN$14,0),DN38)        )</f>
        <v>85</v>
      </c>
      <c r="ES38" s="78">
        <f t="shared" ref="ES38" si="128">IF(       AND($A$14="TARE",$A$15="TARE"),IF(DO38&gt;0,DO38-VLOOKUP($C38,$B$14:$K$15,COLUMN()-31),0),    IF(UPPER($A$14)="TARE",IF(DO38&gt;0,DO38-DO$14,0),DO38)        )</f>
        <v>90</v>
      </c>
      <c r="ET38" s="78">
        <f t="shared" ref="ET38" si="129">IF(       AND($A$14="TARE",$A$15="TARE"),IF(DP38&gt;0,DP38-VLOOKUP($C38,$B$14:$K$15,COLUMN()-31),0),    IF(UPPER($A$14)="TARE",IF(DP38&gt;0,DP38-DP$14,0),DP38)        )</f>
        <v>95</v>
      </c>
      <c r="EU38" s="78">
        <f t="shared" ref="EU38" si="130">IF(       AND($A$14="TARE",$A$15="TARE"),IF(DQ38&gt;0,DQ38-VLOOKUP($C38,$B$14:$K$15,COLUMN()-31),0),    IF(UPPER($A$14)="TARE",IF(DQ38&gt;0,DQ38-DQ$14,0),DQ38)        )</f>
        <v>100</v>
      </c>
      <c r="EV38" s="78">
        <f t="shared" ref="EV38" si="131">IF(       AND($A$14="TARE",$A$15="TARE"),IF(DR38&gt;0,DR38-VLOOKUP($C38,$B$14:$K$15,COLUMN()-31),0),    IF(UPPER($A$14)="TARE",IF(DR38&gt;0,DR38-DR$14,0),DR38)        )</f>
        <v>105</v>
      </c>
      <c r="EW38" s="78">
        <f t="shared" ref="EW38" si="132">IF(       AND($A$14="TARE",$A$15="TARE"),IF(DS38&gt;0,DS38-VLOOKUP($C38,$B$14:$K$15,COLUMN()-31),0),    IF(UPPER($A$14)="TARE",IF(DS38&gt;0,DS38-DS$14,0),DS38)        )</f>
        <v>110</v>
      </c>
      <c r="EX38" s="78">
        <f t="shared" ref="EX38" si="133">IF(       AND($A$14="TARE",$A$15="TARE"),IF(DT38&gt;0,DT38-VLOOKUP($C38,$B$14:$K$15,COLUMN()-31),0),    IF(UPPER($A$14)="TARE",IF(DT38&gt;0,DT38-DT$14,0),DT38)        )</f>
        <v>115</v>
      </c>
      <c r="EY38" s="78">
        <f t="shared" ref="EY38" si="134">IF(       AND($A$14="TARE",$A$15="TARE"),IF(DU38&gt;0,DU38-VLOOKUP($C38,$B$14:$K$15,COLUMN()-31),0),    IF(UPPER($A$14)="TARE",IF(DU38&gt;0,DU38-DU$14,0),DU38)        )</f>
        <v>120</v>
      </c>
      <c r="EZ38" s="78"/>
      <c r="FA38" s="78"/>
      <c r="FB38" s="78"/>
      <c r="FD38" s="80">
        <f t="shared" si="39"/>
        <v>6.4896755162241888</v>
      </c>
      <c r="FE38" s="80">
        <f t="shared" si="40"/>
        <v>6.1946902654867255</v>
      </c>
      <c r="FF38" s="80">
        <f t="shared" si="41"/>
        <v>5.8997050147492622</v>
      </c>
      <c r="FG38" s="80">
        <f t="shared" si="42"/>
        <v>5.6047197640117989</v>
      </c>
      <c r="FH38" s="80">
        <f t="shared" si="43"/>
        <v>4.71976401179941</v>
      </c>
      <c r="FI38" s="80">
        <f t="shared" si="44"/>
        <v>5.0147492625368733</v>
      </c>
      <c r="FJ38" s="80">
        <f t="shared" si="45"/>
        <v>4.4247787610619467</v>
      </c>
      <c r="FK38" s="80">
        <f t="shared" si="46"/>
        <v>4.1297935103244834</v>
      </c>
      <c r="FL38" s="80">
        <f t="shared" si="47"/>
        <v>4.4247787610619467</v>
      </c>
      <c r="FM38" s="80">
        <f t="shared" si="48"/>
        <v>4.71976401179941</v>
      </c>
      <c r="FN38" s="80">
        <f t="shared" si="49"/>
        <v>5.0147492625368733</v>
      </c>
      <c r="FO38" s="80">
        <f t="shared" si="50"/>
        <v>5.3097345132743365</v>
      </c>
      <c r="FP38" s="80">
        <f t="shared" si="51"/>
        <v>5.6047197640117989</v>
      </c>
      <c r="FQ38" s="80">
        <f t="shared" si="52"/>
        <v>5.8997050147492622</v>
      </c>
      <c r="FR38" s="80">
        <f t="shared" si="53"/>
        <v>6.1946902654867255</v>
      </c>
      <c r="FS38" s="80">
        <f t="shared" si="54"/>
        <v>6.4896755162241888</v>
      </c>
      <c r="FT38" s="80">
        <f t="shared" si="55"/>
        <v>6.7846607669616521</v>
      </c>
      <c r="FU38" s="80">
        <f t="shared" si="56"/>
        <v>7.0796460176991154</v>
      </c>
      <c r="FV38" s="80">
        <f t="shared" si="57"/>
        <v>0</v>
      </c>
      <c r="FW38" s="80">
        <f t="shared" si="58"/>
        <v>0</v>
      </c>
      <c r="FX38" s="80">
        <f t="shared" si="59"/>
        <v>0</v>
      </c>
    </row>
    <row r="39" spans="1:180" ht="15.6" thickTop="1" thickBot="1" x14ac:dyDescent="0.35">
      <c r="A39" s="62">
        <f t="shared" si="3"/>
        <v>37</v>
      </c>
      <c r="B39" s="99" t="s">
        <v>117</v>
      </c>
      <c r="C39" s="62" t="str">
        <f t="shared" si="0"/>
        <v xml:space="preserve">37: PSA dry sieve 16-1.4mm +pan @ 1/2 phi                                      </v>
      </c>
      <c r="D39" s="63">
        <f t="shared" si="4"/>
        <v>1</v>
      </c>
      <c r="E39" s="62">
        <v>1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4">
        <f t="shared" si="20"/>
        <v>9</v>
      </c>
      <c r="Z39" s="66" t="s">
        <v>150</v>
      </c>
      <c r="AA39" s="66" t="s">
        <v>160</v>
      </c>
      <c r="AB39" s="66" t="s">
        <v>151</v>
      </c>
      <c r="AC39" s="66" t="s">
        <v>152</v>
      </c>
      <c r="AD39" s="66" t="s">
        <v>153</v>
      </c>
      <c r="AE39" s="66" t="s">
        <v>154</v>
      </c>
      <c r="AF39" s="66" t="s">
        <v>236</v>
      </c>
      <c r="AG39" s="66" t="s">
        <v>223</v>
      </c>
      <c r="AH39" s="66" t="s">
        <v>155</v>
      </c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71" t="s">
        <v>150</v>
      </c>
      <c r="BE39" s="71" t="s">
        <v>160</v>
      </c>
      <c r="BF39" s="71" t="s">
        <v>151</v>
      </c>
      <c r="BG39" s="71" t="s">
        <v>152</v>
      </c>
      <c r="BH39" s="71" t="s">
        <v>153</v>
      </c>
      <c r="BI39" s="71" t="s">
        <v>154</v>
      </c>
      <c r="BJ39" s="71" t="s">
        <v>236</v>
      </c>
      <c r="BK39" s="71" t="s">
        <v>223</v>
      </c>
      <c r="BL39" s="71" t="s">
        <v>155</v>
      </c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 t="s">
        <v>376</v>
      </c>
      <c r="CA39" s="71" t="s">
        <v>387</v>
      </c>
      <c r="CB39" s="71" t="s">
        <v>378</v>
      </c>
      <c r="CC39" s="71" t="s">
        <v>379</v>
      </c>
      <c r="CD39" s="71" t="s">
        <v>380</v>
      </c>
      <c r="CE39" s="71" t="s">
        <v>381</v>
      </c>
      <c r="CF39" s="71" t="s">
        <v>382</v>
      </c>
      <c r="CG39" s="71" t="s">
        <v>383</v>
      </c>
      <c r="CH39" s="71" t="s">
        <v>385</v>
      </c>
      <c r="CI39" s="71"/>
      <c r="CJ39" s="71"/>
      <c r="CK39" s="71"/>
      <c r="CL39" s="71"/>
      <c r="CM39" s="71"/>
      <c r="CN39" s="71"/>
      <c r="CO39" s="71"/>
      <c r="CP39" s="71"/>
      <c r="CQ39" s="71"/>
      <c r="CR39" s="71"/>
      <c r="CS39" s="71"/>
      <c r="CT39" s="71"/>
      <c r="CU39" s="71"/>
      <c r="CV39" s="71"/>
      <c r="CW39" s="71"/>
      <c r="CX39" s="71"/>
      <c r="CY39" s="71"/>
      <c r="CZ39" s="71"/>
      <c r="DA39" s="71"/>
      <c r="DB39" s="71"/>
      <c r="DC39" s="74">
        <f t="shared" si="2"/>
        <v>37</v>
      </c>
      <c r="DD39">
        <v>110</v>
      </c>
      <c r="DE39">
        <v>105</v>
      </c>
      <c r="DF39">
        <v>100</v>
      </c>
      <c r="DG39">
        <v>95</v>
      </c>
      <c r="DH39">
        <v>80</v>
      </c>
      <c r="DI39">
        <v>85</v>
      </c>
      <c r="DJ39">
        <v>75</v>
      </c>
      <c r="DK39">
        <v>70</v>
      </c>
      <c r="DL39">
        <v>75</v>
      </c>
      <c r="EH39" s="78">
        <f t="shared" si="25"/>
        <v>110</v>
      </c>
      <c r="EI39" s="78">
        <f t="shared" si="25"/>
        <v>105</v>
      </c>
      <c r="EJ39" s="78">
        <f t="shared" ref="EJ39" si="135">IF(       AND($A$14="TARE",$A$15="TARE"),IF(DF39&gt;0,DF39-VLOOKUP($C39,$B$14:$K$15,COLUMN()-31),0),    IF(UPPER($A$14)="TARE",IF(DF39&gt;0,DF39-DF$14,0),DF39)        )</f>
        <v>100</v>
      </c>
      <c r="EK39" s="78">
        <f t="shared" ref="EK39" si="136">IF(       AND($A$14="TARE",$A$15="TARE"),IF(DG39&gt;0,DG39-VLOOKUP($C39,$B$14:$K$15,COLUMN()-31),0),    IF(UPPER($A$14)="TARE",IF(DG39&gt;0,DG39-DG$14,0),DG39)        )</f>
        <v>95</v>
      </c>
      <c r="EL39" s="78">
        <f t="shared" ref="EL39" si="137">IF(       AND($A$14="TARE",$A$15="TARE"),IF(DH39&gt;0,DH39-VLOOKUP($C39,$B$14:$K$15,COLUMN()-31),0),    IF(UPPER($A$14)="TARE",IF(DH39&gt;0,DH39-DH$14,0),DH39)        )</f>
        <v>80</v>
      </c>
      <c r="EM39" s="78">
        <f t="shared" ref="EM39" si="138">IF(       AND($A$14="TARE",$A$15="TARE"),IF(DI39&gt;0,DI39-VLOOKUP($C39,$B$14:$K$15,COLUMN()-31),0),    IF(UPPER($A$14)="TARE",IF(DI39&gt;0,DI39-DI$14,0),DI39)        )</f>
        <v>85</v>
      </c>
      <c r="EN39" s="78">
        <f t="shared" ref="EN39" si="139">IF(       AND($A$14="TARE",$A$15="TARE"),IF(DJ39&gt;0,DJ39-VLOOKUP($C39,$B$14:$K$15,COLUMN()-31),0),    IF(UPPER($A$14)="TARE",IF(DJ39&gt;0,DJ39-DJ$14,0),DJ39)        )</f>
        <v>75</v>
      </c>
      <c r="EO39" s="78">
        <f t="shared" ref="EO39" si="140">IF(       AND($A$14="TARE",$A$15="TARE"),IF(DK39&gt;0,DK39-VLOOKUP($C39,$B$14:$K$15,COLUMN()-31),0),    IF(UPPER($A$14)="TARE",IF(DK39&gt;0,DK39-DK$14,0),DK39)        )</f>
        <v>70</v>
      </c>
      <c r="EP39" s="78">
        <f t="shared" ref="EP39" si="141">IF(       AND($A$14="TARE",$A$15="TARE"),IF(DL39&gt;0,DL39-VLOOKUP($C39,$B$14:$K$15,COLUMN()-31),0),    IF(UPPER($A$14)="TARE",IF(DL39&gt;0,DL39-DL$14,0),DL39)        )</f>
        <v>75</v>
      </c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D39" s="80">
        <f t="shared" si="39"/>
        <v>13.836477987421384</v>
      </c>
      <c r="FE39" s="80">
        <f t="shared" si="40"/>
        <v>13.20754716981132</v>
      </c>
      <c r="FF39" s="80">
        <f t="shared" si="41"/>
        <v>12.578616352201259</v>
      </c>
      <c r="FG39" s="80">
        <f t="shared" si="42"/>
        <v>11.949685534591195</v>
      </c>
      <c r="FH39" s="80">
        <f t="shared" si="43"/>
        <v>10.062893081761008</v>
      </c>
      <c r="FI39" s="80">
        <f t="shared" si="44"/>
        <v>10.691823899371069</v>
      </c>
      <c r="FJ39" s="80">
        <f t="shared" si="45"/>
        <v>9.433962264150944</v>
      </c>
      <c r="FK39" s="80">
        <f t="shared" si="46"/>
        <v>8.8050314465408803</v>
      </c>
      <c r="FL39" s="80">
        <f t="shared" si="47"/>
        <v>9.433962264150944</v>
      </c>
      <c r="FM39" s="80">
        <f t="shared" si="48"/>
        <v>0</v>
      </c>
      <c r="FN39" s="80">
        <f t="shared" si="49"/>
        <v>0</v>
      </c>
      <c r="FO39" s="80">
        <f t="shared" si="50"/>
        <v>0</v>
      </c>
      <c r="FP39" s="80">
        <f t="shared" si="51"/>
        <v>0</v>
      </c>
      <c r="FQ39" s="80">
        <f t="shared" si="52"/>
        <v>0</v>
      </c>
      <c r="FR39" s="80">
        <f t="shared" si="53"/>
        <v>0</v>
      </c>
      <c r="FS39" s="80">
        <f t="shared" si="54"/>
        <v>0</v>
      </c>
      <c r="FT39" s="80">
        <f t="shared" si="55"/>
        <v>0</v>
      </c>
      <c r="FU39" s="80">
        <f t="shared" si="56"/>
        <v>0</v>
      </c>
      <c r="FV39" s="80">
        <f t="shared" si="57"/>
        <v>0</v>
      </c>
      <c r="FW39" s="80">
        <f t="shared" si="58"/>
        <v>0</v>
      </c>
      <c r="FX39" s="80">
        <f t="shared" si="59"/>
        <v>0</v>
      </c>
    </row>
    <row r="40" spans="1:180" ht="15.6" thickTop="1" thickBot="1" x14ac:dyDescent="0.35">
      <c r="A40" s="62">
        <f t="shared" si="3"/>
        <v>38</v>
      </c>
      <c r="B40" s="99" t="s">
        <v>118</v>
      </c>
      <c r="C40" s="62" t="str">
        <f t="shared" si="0"/>
        <v xml:space="preserve">38: PSA dry sieve 8-1mm + pan @ 1/2 phi                                        </v>
      </c>
      <c r="D40" s="63">
        <f t="shared" si="4"/>
        <v>1</v>
      </c>
      <c r="E40" s="62">
        <v>1</v>
      </c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4">
        <f t="shared" si="20"/>
        <v>8</v>
      </c>
      <c r="Z40" s="66" t="s">
        <v>151</v>
      </c>
      <c r="AA40" s="66" t="s">
        <v>152</v>
      </c>
      <c r="AB40" s="66" t="s">
        <v>153</v>
      </c>
      <c r="AC40" s="66" t="s">
        <v>154</v>
      </c>
      <c r="AD40" s="66" t="s">
        <v>236</v>
      </c>
      <c r="AE40" s="66" t="s">
        <v>223</v>
      </c>
      <c r="AF40" s="66" t="s">
        <v>162</v>
      </c>
      <c r="AG40" s="66" t="s">
        <v>155</v>
      </c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71" t="s">
        <v>151</v>
      </c>
      <c r="BE40" s="71" t="s">
        <v>152</v>
      </c>
      <c r="BF40" s="71" t="s">
        <v>153</v>
      </c>
      <c r="BG40" s="71" t="s">
        <v>154</v>
      </c>
      <c r="BH40" s="71" t="s">
        <v>236</v>
      </c>
      <c r="BI40" s="71" t="s">
        <v>223</v>
      </c>
      <c r="BJ40" s="71" t="s">
        <v>162</v>
      </c>
      <c r="BK40" s="71" t="s">
        <v>155</v>
      </c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 t="s">
        <v>378</v>
      </c>
      <c r="CA40" s="71" t="s">
        <v>379</v>
      </c>
      <c r="CB40" s="71" t="s">
        <v>380</v>
      </c>
      <c r="CC40" s="71" t="s">
        <v>381</v>
      </c>
      <c r="CD40" s="71" t="s">
        <v>382</v>
      </c>
      <c r="CE40" s="71" t="s">
        <v>383</v>
      </c>
      <c r="CF40" s="71" t="s">
        <v>365</v>
      </c>
      <c r="CG40" s="71" t="s">
        <v>385</v>
      </c>
      <c r="CH40" s="71"/>
      <c r="CI40" s="71"/>
      <c r="CJ40" s="71"/>
      <c r="CK40" s="71"/>
      <c r="CL40" s="71"/>
      <c r="CM40" s="71"/>
      <c r="CN40" s="71"/>
      <c r="CO40" s="71"/>
      <c r="CP40" s="71"/>
      <c r="CQ40" s="71"/>
      <c r="CR40" s="71"/>
      <c r="CS40" s="71"/>
      <c r="CT40" s="71"/>
      <c r="CU40" s="71"/>
      <c r="CV40" s="71"/>
      <c r="CW40" s="71"/>
      <c r="CX40" s="71"/>
      <c r="CY40" s="71"/>
      <c r="CZ40" s="71"/>
      <c r="DA40" s="71"/>
      <c r="DB40" s="71"/>
      <c r="DC40" s="74">
        <f t="shared" si="2"/>
        <v>38</v>
      </c>
      <c r="DD40">
        <v>110</v>
      </c>
      <c r="DE40">
        <v>105</v>
      </c>
      <c r="DF40">
        <v>100</v>
      </c>
      <c r="DG40">
        <v>95</v>
      </c>
      <c r="DH40">
        <v>80</v>
      </c>
      <c r="DI40">
        <v>85</v>
      </c>
      <c r="DJ40">
        <v>75</v>
      </c>
      <c r="DK40">
        <v>70</v>
      </c>
      <c r="EH40" s="78">
        <f t="shared" si="25"/>
        <v>110</v>
      </c>
      <c r="EI40" s="78">
        <f t="shared" si="25"/>
        <v>105</v>
      </c>
      <c r="EJ40" s="78">
        <f t="shared" ref="EJ40" si="142">IF(       AND($A$14="TARE",$A$15="TARE"),IF(DF40&gt;0,DF40-VLOOKUP($C40,$B$14:$K$15,COLUMN()-31),0),    IF(UPPER($A$14)="TARE",IF(DF40&gt;0,DF40-DF$14,0),DF40)        )</f>
        <v>100</v>
      </c>
      <c r="EK40" s="78">
        <f t="shared" ref="EK40" si="143">IF(       AND($A$14="TARE",$A$15="TARE"),IF(DG40&gt;0,DG40-VLOOKUP($C40,$B$14:$K$15,COLUMN()-31),0),    IF(UPPER($A$14)="TARE",IF(DG40&gt;0,DG40-DG$14,0),DG40)        )</f>
        <v>95</v>
      </c>
      <c r="EL40" s="78">
        <f t="shared" ref="EL40" si="144">IF(       AND($A$14="TARE",$A$15="TARE"),IF(DH40&gt;0,DH40-VLOOKUP($C40,$B$14:$K$15,COLUMN()-31),0),    IF(UPPER($A$14)="TARE",IF(DH40&gt;0,DH40-DH$14,0),DH40)        )</f>
        <v>80</v>
      </c>
      <c r="EM40" s="78">
        <f t="shared" ref="EM40" si="145">IF(       AND($A$14="TARE",$A$15="TARE"),IF(DI40&gt;0,DI40-VLOOKUP($C40,$B$14:$K$15,COLUMN()-31),0),    IF(UPPER($A$14)="TARE",IF(DI40&gt;0,DI40-DI$14,0),DI40)        )</f>
        <v>85</v>
      </c>
      <c r="EN40" s="78">
        <f t="shared" ref="EN40" si="146">IF(       AND($A$14="TARE",$A$15="TARE"),IF(DJ40&gt;0,DJ40-VLOOKUP($C40,$B$14:$K$15,COLUMN()-31),0),    IF(UPPER($A$14)="TARE",IF(DJ40&gt;0,DJ40-DJ$14,0),DJ40)        )</f>
        <v>75</v>
      </c>
      <c r="EO40" s="78">
        <f t="shared" ref="EO40" si="147">IF(       AND($A$14="TARE",$A$15="TARE"),IF(DK40&gt;0,DK40-VLOOKUP($C40,$B$14:$K$15,COLUMN()-31),0),    IF(UPPER($A$14)="TARE",IF(DK40&gt;0,DK40-DK$14,0),DK40)        )</f>
        <v>70</v>
      </c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D40" s="80">
        <f t="shared" si="39"/>
        <v>15.277777777777779</v>
      </c>
      <c r="FE40" s="80">
        <f t="shared" si="40"/>
        <v>14.583333333333334</v>
      </c>
      <c r="FF40" s="80">
        <f t="shared" si="41"/>
        <v>13.888888888888889</v>
      </c>
      <c r="FG40" s="80">
        <f t="shared" si="42"/>
        <v>13.194444444444445</v>
      </c>
      <c r="FH40" s="80">
        <f t="shared" si="43"/>
        <v>11.111111111111111</v>
      </c>
      <c r="FI40" s="80">
        <f t="shared" si="44"/>
        <v>11.805555555555555</v>
      </c>
      <c r="FJ40" s="80">
        <f t="shared" si="45"/>
        <v>10.416666666666668</v>
      </c>
      <c r="FK40" s="80">
        <f t="shared" si="46"/>
        <v>9.7222222222222232</v>
      </c>
      <c r="FL40" s="80">
        <f t="shared" si="47"/>
        <v>0</v>
      </c>
      <c r="FM40" s="80">
        <f t="shared" si="48"/>
        <v>0</v>
      </c>
      <c r="FN40" s="80">
        <f t="shared" si="49"/>
        <v>0</v>
      </c>
      <c r="FO40" s="80">
        <f t="shared" si="50"/>
        <v>0</v>
      </c>
      <c r="FP40" s="80">
        <f t="shared" si="51"/>
        <v>0</v>
      </c>
      <c r="FQ40" s="80">
        <f t="shared" si="52"/>
        <v>0</v>
      </c>
      <c r="FR40" s="80">
        <f t="shared" si="53"/>
        <v>0</v>
      </c>
      <c r="FS40" s="80">
        <f t="shared" si="54"/>
        <v>0</v>
      </c>
      <c r="FT40" s="80">
        <f t="shared" si="55"/>
        <v>0</v>
      </c>
      <c r="FU40" s="80">
        <f t="shared" si="56"/>
        <v>0</v>
      </c>
      <c r="FV40" s="80">
        <f t="shared" si="57"/>
        <v>0</v>
      </c>
      <c r="FW40" s="80">
        <f t="shared" si="58"/>
        <v>0</v>
      </c>
      <c r="FX40" s="80">
        <f t="shared" si="59"/>
        <v>0</v>
      </c>
    </row>
    <row r="41" spans="1:180" ht="15.6" thickTop="1" thickBot="1" x14ac:dyDescent="0.35">
      <c r="A41" s="62">
        <f t="shared" si="3"/>
        <v>39</v>
      </c>
      <c r="B41" s="99" t="s">
        <v>267</v>
      </c>
      <c r="C41" s="62" t="str">
        <f t="shared" si="0"/>
        <v xml:space="preserve">39: Initial weights » then dry sieve 8-1mm + pan @ 1/2 phi                        </v>
      </c>
      <c r="D41" s="63">
        <f t="shared" si="4"/>
        <v>2</v>
      </c>
      <c r="E41" s="62">
        <v>1</v>
      </c>
      <c r="F41" s="62">
        <v>2</v>
      </c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4">
        <f t="shared" si="20"/>
        <v>8</v>
      </c>
      <c r="Z41" s="66" t="s">
        <v>250</v>
      </c>
      <c r="AA41" s="66" t="s">
        <v>151</v>
      </c>
      <c r="AB41" s="66" t="s">
        <v>152</v>
      </c>
      <c r="AC41" s="66" t="s">
        <v>153</v>
      </c>
      <c r="AD41" s="66" t="s">
        <v>154</v>
      </c>
      <c r="AE41" s="66" t="s">
        <v>236</v>
      </c>
      <c r="AF41" s="66" t="s">
        <v>223</v>
      </c>
      <c r="AG41" s="66" t="s">
        <v>155</v>
      </c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71" t="s">
        <v>250</v>
      </c>
      <c r="BE41" s="71" t="s">
        <v>151</v>
      </c>
      <c r="BF41" s="71" t="s">
        <v>152</v>
      </c>
      <c r="BG41" s="71" t="s">
        <v>153</v>
      </c>
      <c r="BH41" s="71" t="s">
        <v>154</v>
      </c>
      <c r="BI41" s="71" t="s">
        <v>236</v>
      </c>
      <c r="BJ41" s="71" t="s">
        <v>223</v>
      </c>
      <c r="BK41" s="71" t="s">
        <v>155</v>
      </c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 t="s">
        <v>378</v>
      </c>
      <c r="CA41" s="71" t="s">
        <v>379</v>
      </c>
      <c r="CB41" s="71" t="s">
        <v>380</v>
      </c>
      <c r="CC41" s="71" t="s">
        <v>381</v>
      </c>
      <c r="CD41" s="71" t="s">
        <v>382</v>
      </c>
      <c r="CE41" s="71" t="s">
        <v>383</v>
      </c>
      <c r="CF41" s="71" t="s">
        <v>385</v>
      </c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4">
        <f t="shared" si="2"/>
        <v>39</v>
      </c>
      <c r="DD41">
        <v>110</v>
      </c>
      <c r="DE41">
        <v>105</v>
      </c>
      <c r="DF41">
        <v>100</v>
      </c>
      <c r="DG41">
        <v>95</v>
      </c>
      <c r="DH41">
        <v>80</v>
      </c>
      <c r="DI41">
        <v>85</v>
      </c>
      <c r="DJ41">
        <v>75</v>
      </c>
      <c r="DK41">
        <v>70</v>
      </c>
      <c r="EH41" s="78">
        <v>611</v>
      </c>
      <c r="EI41" s="78">
        <f t="shared" si="25"/>
        <v>105</v>
      </c>
      <c r="EJ41" s="78">
        <f t="shared" ref="EJ41" si="148">IF(       AND($A$14="TARE",$A$15="TARE"),IF(DF41&gt;0,DF41-VLOOKUP($C41,$B$14:$K$15,COLUMN()-31),0),    IF(UPPER($A$14)="TARE",IF(DF41&gt;0,DF41-DF$14,0),DF41)        )</f>
        <v>100</v>
      </c>
      <c r="EK41" s="78">
        <f t="shared" ref="EK41" si="149">IF(       AND($A$14="TARE",$A$15="TARE"),IF(DG41&gt;0,DG41-VLOOKUP($C41,$B$14:$K$15,COLUMN()-31),0),    IF(UPPER($A$14)="TARE",IF(DG41&gt;0,DG41-DG$14,0),DG41)        )</f>
        <v>95</v>
      </c>
      <c r="EL41" s="78">
        <f t="shared" ref="EL41" si="150">IF(       AND($A$14="TARE",$A$15="TARE"),IF(DH41&gt;0,DH41-VLOOKUP($C41,$B$14:$K$15,COLUMN()-31),0),    IF(UPPER($A$14)="TARE",IF(DH41&gt;0,DH41-DH$14,0),DH41)        )</f>
        <v>80</v>
      </c>
      <c r="EM41" s="78">
        <f t="shared" ref="EM41" si="151">IF(       AND($A$14="TARE",$A$15="TARE"),IF(DI41&gt;0,DI41-VLOOKUP($C41,$B$14:$K$15,COLUMN()-31),0),    IF(UPPER($A$14)="TARE",IF(DI41&gt;0,DI41-DI$14,0),DI41)        )</f>
        <v>85</v>
      </c>
      <c r="EN41" s="78">
        <f t="shared" ref="EN41" si="152">IF(       AND($A$14="TARE",$A$15="TARE"),IF(DJ41&gt;0,DJ41-VLOOKUP($C41,$B$14:$K$15,COLUMN()-31),0),    IF(UPPER($A$14)="TARE",IF(DJ41&gt;0,DJ41-DJ$14,0),DJ41)        )</f>
        <v>75</v>
      </c>
      <c r="EO41" s="78">
        <f t="shared" ref="EO41" si="153">IF(       AND($A$14="TARE",$A$15="TARE"),IF(DK41&gt;0,DK41-VLOOKUP($C41,$B$14:$K$15,COLUMN()-31),0),    IF(UPPER($A$14)="TARE",IF(DK41&gt;0,DK41-DK$14,0),DK41)        )</f>
        <v>70</v>
      </c>
      <c r="FD41" s="80">
        <f>EI41/EH41*100</f>
        <v>17.184942716857609</v>
      </c>
      <c r="FE41" s="80">
        <f>EJ41/EH41*100</f>
        <v>16.366612111292962</v>
      </c>
      <c r="FF41" s="80">
        <f>EK41/EH41*100</f>
        <v>15.548281505728315</v>
      </c>
      <c r="FG41" s="80">
        <f>EL41/EH41*100</f>
        <v>13.093289689034371</v>
      </c>
      <c r="FH41" s="80">
        <f>EM41/EH41*100</f>
        <v>13.911620294599016</v>
      </c>
      <c r="FI41" s="80">
        <f>EN41/EH41*100</f>
        <v>12.274959083469723</v>
      </c>
      <c r="FJ41" s="80">
        <f>EO41/EH41*100</f>
        <v>11.456628477905074</v>
      </c>
      <c r="FK41" s="80">
        <f>EP41/EH41*100</f>
        <v>0</v>
      </c>
      <c r="FL41" s="80">
        <f>EQ41/EH41*100</f>
        <v>0</v>
      </c>
      <c r="FM41" s="80">
        <f>ER41/EH41*100</f>
        <v>0</v>
      </c>
      <c r="FN41" s="80">
        <f>ES41/EH41*100</f>
        <v>0</v>
      </c>
      <c r="FO41" s="80">
        <f>ET41/EH41*100</f>
        <v>0</v>
      </c>
      <c r="FP41" s="80">
        <f>EU41/EH41*100</f>
        <v>0</v>
      </c>
      <c r="FQ41" s="80">
        <f>EV41/EH41*100</f>
        <v>0</v>
      </c>
      <c r="FR41" s="80">
        <f>EW41/EH41*100</f>
        <v>0</v>
      </c>
      <c r="FS41" s="80">
        <f>EX41/EH41*100</f>
        <v>0</v>
      </c>
      <c r="FT41" s="80">
        <f>EY41/EH41*100</f>
        <v>0</v>
      </c>
      <c r="FU41" s="80">
        <f>EZ41/EH41*100</f>
        <v>0</v>
      </c>
      <c r="FV41" s="80">
        <f>FA41/EH41*100</f>
        <v>0</v>
      </c>
      <c r="FW41" s="80">
        <f>FB41/EH41*100</f>
        <v>0</v>
      </c>
      <c r="FX41" s="80">
        <f>FC41/EH41*100</f>
        <v>0</v>
      </c>
    </row>
    <row r="42" spans="1:180" ht="15.6" thickTop="1" thickBot="1" x14ac:dyDescent="0.35">
      <c r="A42" s="62">
        <f t="shared" si="3"/>
        <v>40</v>
      </c>
      <c r="B42" s="99" t="s">
        <v>119</v>
      </c>
      <c r="C42" s="62" t="str">
        <f t="shared" si="0"/>
        <v xml:space="preserve">40: psa DRY SIEVE 4-0.063MM + PAN SANDS @ WHOLE PHI                            </v>
      </c>
      <c r="D42" s="63">
        <f t="shared" si="4"/>
        <v>1</v>
      </c>
      <c r="E42" s="62">
        <v>1</v>
      </c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4">
        <f t="shared" si="20"/>
        <v>8</v>
      </c>
      <c r="Z42" s="66" t="s">
        <v>158</v>
      </c>
      <c r="AA42" s="66" t="s">
        <v>159</v>
      </c>
      <c r="AB42" s="66" t="s">
        <v>162</v>
      </c>
      <c r="AC42" s="66" t="s">
        <v>163</v>
      </c>
      <c r="AD42" s="66" t="s">
        <v>164</v>
      </c>
      <c r="AE42" s="66" t="s">
        <v>165</v>
      </c>
      <c r="AF42" s="66" t="s">
        <v>168</v>
      </c>
      <c r="AG42" s="66" t="s">
        <v>155</v>
      </c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71" t="s">
        <v>158</v>
      </c>
      <c r="BE42" s="71" t="s">
        <v>159</v>
      </c>
      <c r="BF42" s="71" t="s">
        <v>162</v>
      </c>
      <c r="BG42" s="71" t="s">
        <v>163</v>
      </c>
      <c r="BH42" s="71" t="s">
        <v>164</v>
      </c>
      <c r="BI42" s="71" t="s">
        <v>165</v>
      </c>
      <c r="BJ42" s="71" t="s">
        <v>168</v>
      </c>
      <c r="BK42" s="71" t="s">
        <v>155</v>
      </c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 t="s">
        <v>363</v>
      </c>
      <c r="CA42" s="71" t="s">
        <v>364</v>
      </c>
      <c r="CB42" s="71" t="s">
        <v>365</v>
      </c>
      <c r="CC42" s="71" t="s">
        <v>366</v>
      </c>
      <c r="CD42" s="71" t="s">
        <v>367</v>
      </c>
      <c r="CE42" s="71" t="s">
        <v>368</v>
      </c>
      <c r="CF42" s="71" t="s">
        <v>369</v>
      </c>
      <c r="CG42" s="71" t="s">
        <v>385</v>
      </c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71"/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4">
        <f t="shared" si="2"/>
        <v>40</v>
      </c>
      <c r="DD42">
        <v>110</v>
      </c>
      <c r="DE42">
        <v>105</v>
      </c>
      <c r="DF42">
        <v>100</v>
      </c>
      <c r="DG42">
        <v>95</v>
      </c>
      <c r="DH42">
        <v>80</v>
      </c>
      <c r="DI42">
        <v>85</v>
      </c>
      <c r="DJ42">
        <v>75</v>
      </c>
      <c r="DK42">
        <v>70</v>
      </c>
      <c r="EH42" s="78">
        <f>IF(       AND($A$14="TARE",$A$15="TARE"),IF(DD42&gt;0,DD42-VLOOKUP($C42,$B$14:$K$15,COLUMN()-31),0),    IF(UPPER($A$14)="TARE",IF(DD42&gt;0,DD42-DD$14,0),DD42)        )</f>
        <v>110</v>
      </c>
      <c r="EI42" s="78">
        <f t="shared" ref="EI42:EO43" si="154">IF(       AND($A$14="TARE",$A$15="TARE"),IF(DE42&gt;0,DE42-VLOOKUP($C42,$B$14:$K$15,COLUMN()-31),0),    IF(UPPER($A$14)="TARE",IF(DE42&gt;0,DE42-DE$14,0),DE42)        )</f>
        <v>105</v>
      </c>
      <c r="EJ42" s="78">
        <f t="shared" ref="EJ42" si="155">IF(       AND($A$14="TARE",$A$15="TARE"),IF(DF42&gt;0,DF42-VLOOKUP($C42,$B$14:$K$15,COLUMN()-31),0),    IF(UPPER($A$14)="TARE",IF(DF42&gt;0,DF42-DF$14,0),DF42)        )</f>
        <v>100</v>
      </c>
      <c r="EK42" s="78">
        <f t="shared" ref="EK42" si="156">IF(       AND($A$14="TARE",$A$15="TARE"),IF(DG42&gt;0,DG42-VLOOKUP($C42,$B$14:$K$15,COLUMN()-31),0),    IF(UPPER($A$14)="TARE",IF(DG42&gt;0,DG42-DG$14,0),DG42)        )</f>
        <v>95</v>
      </c>
      <c r="EL42" s="78">
        <f t="shared" ref="EL42" si="157">IF(       AND($A$14="TARE",$A$15="TARE"),IF(DH42&gt;0,DH42-VLOOKUP($C42,$B$14:$K$15,COLUMN()-31),0),    IF(UPPER($A$14)="TARE",IF(DH42&gt;0,DH42-DH$14,0),DH42)        )</f>
        <v>80</v>
      </c>
      <c r="EM42" s="78">
        <f t="shared" ref="EM42" si="158">IF(       AND($A$14="TARE",$A$15="TARE"),IF(DI42&gt;0,DI42-VLOOKUP($C42,$B$14:$K$15,COLUMN()-31),0),    IF(UPPER($A$14)="TARE",IF(DI42&gt;0,DI42-DI$14,0),DI42)        )</f>
        <v>85</v>
      </c>
      <c r="EN42" s="78">
        <f t="shared" ref="EN42" si="159">IF(       AND($A$14="TARE",$A$15="TARE"),IF(DJ42&gt;0,DJ42-VLOOKUP($C42,$B$14:$K$15,COLUMN()-31),0),    IF(UPPER($A$14)="TARE",IF(DJ42&gt;0,DJ42-DJ$14,0),DJ42)        )</f>
        <v>75</v>
      </c>
      <c r="EO42" s="78">
        <f t="shared" ref="EO42" si="160">IF(       AND($A$14="TARE",$A$15="TARE"),IF(DK42&gt;0,DK42-VLOOKUP($C42,$B$14:$K$15,COLUMN()-31),0),    IF(UPPER($A$14)="TARE",IF(DK42&gt;0,DK42-DK$14,0),DK42)        )</f>
        <v>70</v>
      </c>
      <c r="FD42" s="80">
        <f>EH42/SUM(EH42:FB42)*100</f>
        <v>15.277777777777779</v>
      </c>
      <c r="FE42" s="80">
        <f>EI42/SUM(EH42:FB42)*100</f>
        <v>14.583333333333334</v>
      </c>
      <c r="FF42" s="80">
        <f>EJ42/SUM(EH42:FB42)*100</f>
        <v>13.888888888888889</v>
      </c>
      <c r="FG42" s="80">
        <f>EK42/SUM(EH42:FB42)*100</f>
        <v>13.194444444444445</v>
      </c>
      <c r="FH42" s="80">
        <f>EL42/SUM(EH42:FB42)*100</f>
        <v>11.111111111111111</v>
      </c>
      <c r="FI42" s="80">
        <f>EM42/SUM(EH42:FB42)*100</f>
        <v>11.805555555555555</v>
      </c>
      <c r="FJ42" s="80">
        <f>EN42/SUM(EH42:FB42)*100</f>
        <v>10.416666666666668</v>
      </c>
      <c r="FK42" s="80">
        <f>EO42/SUM(EH42:FB42)*100</f>
        <v>9.7222222222222232</v>
      </c>
      <c r="FL42" s="80">
        <f>EP42/SUM(EH42:FB42)*100</f>
        <v>0</v>
      </c>
      <c r="FM42" s="80">
        <f>EQ42/SUM(EH42:FB42)*100</f>
        <v>0</v>
      </c>
      <c r="FN42" s="80">
        <f>ER42/SUM(EH42:FB42)*100</f>
        <v>0</v>
      </c>
      <c r="FO42" s="80">
        <f>ES42/SUM(EH42:FB42)*100</f>
        <v>0</v>
      </c>
      <c r="FP42" s="80">
        <f>ET42/SUM(EH42:FB42)*100</f>
        <v>0</v>
      </c>
      <c r="FQ42" s="80">
        <f>EU42/SUM(EH42:FB42)*100</f>
        <v>0</v>
      </c>
      <c r="FR42" s="80">
        <f>EV42/SUM(EH42:FB42)*100</f>
        <v>0</v>
      </c>
      <c r="FS42" s="80">
        <f>EW42/SUM(EH42:FB42)*100</f>
        <v>0</v>
      </c>
      <c r="FT42" s="80">
        <f>EX42/SUM(EH42:FB42)*100</f>
        <v>0</v>
      </c>
      <c r="FU42" s="80">
        <f>EY42/SUM(EH42:FB42)*100</f>
        <v>0</v>
      </c>
      <c r="FV42" s="80">
        <f>EZ42/SUM(EH42:FB42)*100</f>
        <v>0</v>
      </c>
      <c r="FW42" s="80">
        <f>FA42/SUM(EH42:FB42)*100</f>
        <v>0</v>
      </c>
      <c r="FX42" s="80">
        <f>FB42/SUM(EH42:FB42)*100</f>
        <v>0</v>
      </c>
    </row>
    <row r="43" spans="1:180" ht="15.6" thickTop="1" thickBot="1" x14ac:dyDescent="0.35">
      <c r="A43" s="62">
        <f t="shared" si="3"/>
        <v>41</v>
      </c>
      <c r="B43" s="99" t="s">
        <v>111</v>
      </c>
      <c r="C43" s="62" t="str">
        <f t="shared" si="0"/>
        <v xml:space="preserve">41: PSA dry sieve : 1.4-0.063mm + pan general @ half-phi                       </v>
      </c>
      <c r="D43" s="63">
        <f t="shared" si="4"/>
        <v>1</v>
      </c>
      <c r="E43" s="62">
        <v>1</v>
      </c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4">
        <f t="shared" si="20"/>
        <v>11</v>
      </c>
      <c r="Z43" s="66" t="s">
        <v>223</v>
      </c>
      <c r="AA43" s="66" t="s">
        <v>225</v>
      </c>
      <c r="AB43" s="66" t="s">
        <v>226</v>
      </c>
      <c r="AC43" s="66" t="s">
        <v>227</v>
      </c>
      <c r="AD43" s="66" t="s">
        <v>228</v>
      </c>
      <c r="AE43" s="66" t="s">
        <v>229</v>
      </c>
      <c r="AF43" s="66" t="s">
        <v>230</v>
      </c>
      <c r="AG43" s="66" t="s">
        <v>231</v>
      </c>
      <c r="AH43" s="66" t="s">
        <v>232</v>
      </c>
      <c r="AI43" s="66" t="s">
        <v>233</v>
      </c>
      <c r="AJ43" s="66" t="s">
        <v>155</v>
      </c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71" t="s">
        <v>223</v>
      </c>
      <c r="BE43" s="71" t="s">
        <v>225</v>
      </c>
      <c r="BF43" s="71" t="s">
        <v>226</v>
      </c>
      <c r="BG43" s="71" t="s">
        <v>227</v>
      </c>
      <c r="BH43" s="71" t="s">
        <v>228</v>
      </c>
      <c r="BI43" s="71" t="s">
        <v>229</v>
      </c>
      <c r="BJ43" s="71" t="s">
        <v>230</v>
      </c>
      <c r="BK43" s="71" t="s">
        <v>231</v>
      </c>
      <c r="BL43" s="71" t="s">
        <v>232</v>
      </c>
      <c r="BM43" s="71" t="s">
        <v>233</v>
      </c>
      <c r="BN43" s="71" t="s">
        <v>155</v>
      </c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 t="s">
        <v>383</v>
      </c>
      <c r="CA43" s="71" t="s">
        <v>384</v>
      </c>
      <c r="CB43" s="71" t="s">
        <v>397</v>
      </c>
      <c r="CC43" s="71" t="s">
        <v>398</v>
      </c>
      <c r="CD43" s="71" t="s">
        <v>399</v>
      </c>
      <c r="CE43" s="71" t="s">
        <v>400</v>
      </c>
      <c r="CF43" s="71" t="s">
        <v>401</v>
      </c>
      <c r="CG43" s="71" t="s">
        <v>402</v>
      </c>
      <c r="CH43" s="71" t="s">
        <v>403</v>
      </c>
      <c r="CI43" s="71" t="s">
        <v>404</v>
      </c>
      <c r="CJ43" s="71" t="s">
        <v>385</v>
      </c>
      <c r="CK43" s="71"/>
      <c r="CL43" s="71"/>
      <c r="CM43" s="71"/>
      <c r="CN43" s="71"/>
      <c r="CO43" s="71"/>
      <c r="CP43" s="71"/>
      <c r="CQ43" s="71"/>
      <c r="CR43" s="71"/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4">
        <f t="shared" si="2"/>
        <v>41</v>
      </c>
      <c r="DD43">
        <v>110</v>
      </c>
      <c r="DE43">
        <v>105</v>
      </c>
      <c r="DF43">
        <v>100</v>
      </c>
      <c r="DG43">
        <v>95</v>
      </c>
      <c r="DH43">
        <v>80</v>
      </c>
      <c r="DI43">
        <v>85</v>
      </c>
      <c r="DJ43">
        <v>75</v>
      </c>
      <c r="DK43">
        <v>70</v>
      </c>
      <c r="DL43">
        <v>75</v>
      </c>
      <c r="DM43">
        <v>80</v>
      </c>
      <c r="DN43">
        <v>85</v>
      </c>
      <c r="EH43" s="78">
        <f>IF(       AND($A$14="TARE",$A$15="TARE"),IF(DD43&gt;0,DD43-VLOOKUP($C43,$B$14:$K$15,COLUMN()-31),0),    IF(UPPER($A$14)="TARE",IF(DD43&gt;0,DD43-DD$14,0),DD43)        )</f>
        <v>110</v>
      </c>
      <c r="EI43" s="78">
        <f t="shared" si="154"/>
        <v>105</v>
      </c>
      <c r="EJ43" s="78">
        <f t="shared" si="154"/>
        <v>100</v>
      </c>
      <c r="EK43" s="78">
        <f t="shared" si="154"/>
        <v>95</v>
      </c>
      <c r="EL43" s="78">
        <f t="shared" si="154"/>
        <v>80</v>
      </c>
      <c r="EM43" s="78">
        <f t="shared" si="154"/>
        <v>85</v>
      </c>
      <c r="EN43" s="78">
        <f t="shared" si="154"/>
        <v>75</v>
      </c>
      <c r="EO43" s="78">
        <f t="shared" si="154"/>
        <v>70</v>
      </c>
      <c r="EP43" s="78">
        <f t="shared" ref="EP43:ER43" si="161">IF(       AND($A$14="TARE",$A$15="TARE"),IF(DL43&gt;0,DL43-VLOOKUP($C43,$B$14:$K$15,COLUMN()-31),0),    IF(UPPER($A$14)="TARE",IF(DL43&gt;0,DL43-DL$14,0),DL43)        )</f>
        <v>75</v>
      </c>
      <c r="EQ43" s="78">
        <f t="shared" si="161"/>
        <v>80</v>
      </c>
      <c r="ER43" s="78">
        <f t="shared" si="161"/>
        <v>85</v>
      </c>
      <c r="FD43" s="80">
        <f>EH43/SUM(EH43:FB43)*100</f>
        <v>11.458333333333332</v>
      </c>
      <c r="FE43" s="80">
        <f>EI43/SUM(EH43:FB43)*100</f>
        <v>10.9375</v>
      </c>
      <c r="FF43" s="80">
        <f>EJ43/SUM(EH43:FB43)*100</f>
        <v>10.416666666666668</v>
      </c>
      <c r="FG43" s="80">
        <f>EK43/SUM(EH43:FB43)*100</f>
        <v>9.8958333333333321</v>
      </c>
      <c r="FH43" s="80">
        <f>EL43/SUM(EH43:FB43)*100</f>
        <v>8.3333333333333321</v>
      </c>
      <c r="FI43" s="80">
        <f>EM43/SUM(EH43:FB43)*100</f>
        <v>8.8541666666666679</v>
      </c>
      <c r="FJ43" s="80">
        <f>EN43/SUM(EH43:FB43)*100</f>
        <v>7.8125</v>
      </c>
      <c r="FK43" s="80">
        <f>EO43/SUM(EH43:FB43)*100</f>
        <v>7.291666666666667</v>
      </c>
      <c r="FL43" s="80">
        <f>EP43/SUM(EH43:FB43)*100</f>
        <v>7.8125</v>
      </c>
      <c r="FM43" s="80">
        <f>EQ43/SUM(EH43:FB43)*100</f>
        <v>8.3333333333333321</v>
      </c>
      <c r="FN43" s="80">
        <f>ER43/SUM(EH43:FB43)*100</f>
        <v>8.8541666666666679</v>
      </c>
      <c r="FO43" s="80">
        <f>ES43/SUM(EH43:FB43)*100</f>
        <v>0</v>
      </c>
      <c r="FP43" s="80">
        <f>ET43/SUM(EH43:FB43)*100</f>
        <v>0</v>
      </c>
      <c r="FQ43" s="80">
        <f>EU43/SUM(EH43:FB43)*100</f>
        <v>0</v>
      </c>
      <c r="FR43" s="80">
        <f>EV43/SUM(EH43:FB43)*100</f>
        <v>0</v>
      </c>
      <c r="FS43" s="80">
        <f>EW43/SUM(EH43:FB43)*100</f>
        <v>0</v>
      </c>
      <c r="FT43" s="80">
        <f>EX43/SUM(EH43:FB43)*100</f>
        <v>0</v>
      </c>
      <c r="FU43" s="80">
        <f>EY43/SUM(EH43:FB43)*100</f>
        <v>0</v>
      </c>
      <c r="FV43" s="80">
        <f>EZ43/SUM(EH43:FB43)*100</f>
        <v>0</v>
      </c>
      <c r="FW43" s="80">
        <f>FA43/SUM(EH43:FB43)*100</f>
        <v>0</v>
      </c>
      <c r="FX43" s="80">
        <f>FB43/SUM(EH43:FB43)*100</f>
        <v>0</v>
      </c>
    </row>
    <row r="44" spans="1:180" ht="15.6" thickTop="1" thickBot="1" x14ac:dyDescent="0.35">
      <c r="A44" s="62">
        <f t="shared" si="3"/>
        <v>42</v>
      </c>
      <c r="B44" s="99" t="s">
        <v>91</v>
      </c>
      <c r="C44" s="62" t="str">
        <f t="shared" si="0"/>
        <v>42: PSA wet siv (phi): MT » MT+dry samp » MT_beakers 32 - 0.063mm &gt; dry beakers</v>
      </c>
      <c r="D44" s="63">
        <f t="shared" si="4"/>
        <v>2</v>
      </c>
      <c r="E44" s="62">
        <v>1</v>
      </c>
      <c r="F44" s="62">
        <v>13</v>
      </c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4">
        <f t="shared" si="20"/>
        <v>22</v>
      </c>
      <c r="Z44" s="66" t="s">
        <v>166</v>
      </c>
      <c r="AA44" s="66" t="s">
        <v>167</v>
      </c>
      <c r="AB44" s="66" t="s">
        <v>461</v>
      </c>
      <c r="AC44" s="66" t="s">
        <v>462</v>
      </c>
      <c r="AD44" s="66" t="s">
        <v>463</v>
      </c>
      <c r="AE44" s="66" t="s">
        <v>464</v>
      </c>
      <c r="AF44" s="66" t="s">
        <v>465</v>
      </c>
      <c r="AG44" s="66" t="s">
        <v>466</v>
      </c>
      <c r="AH44" s="66" t="s">
        <v>467</v>
      </c>
      <c r="AI44" s="66" t="s">
        <v>468</v>
      </c>
      <c r="AJ44" s="66" t="s">
        <v>469</v>
      </c>
      <c r="AK44" s="66" t="s">
        <v>470</v>
      </c>
      <c r="AL44" s="66" t="s">
        <v>471</v>
      </c>
      <c r="AM44" s="66" t="s">
        <v>472</v>
      </c>
      <c r="AN44" s="66" t="s">
        <v>473</v>
      </c>
      <c r="AO44" s="66" t="s">
        <v>474</v>
      </c>
      <c r="AP44" s="66" t="s">
        <v>475</v>
      </c>
      <c r="AQ44" s="66" t="s">
        <v>476</v>
      </c>
      <c r="AR44" s="66" t="s">
        <v>477</v>
      </c>
      <c r="AS44" s="66" t="s">
        <v>478</v>
      </c>
      <c r="AT44" s="66" t="s">
        <v>479</v>
      </c>
      <c r="AU44" s="66" t="s">
        <v>480</v>
      </c>
      <c r="AV44" s="66"/>
      <c r="AW44" s="66"/>
      <c r="AX44" s="66"/>
      <c r="AY44" s="66"/>
      <c r="AZ44" s="66"/>
      <c r="BA44" s="66"/>
      <c r="BB44" s="66"/>
      <c r="BC44" s="66"/>
      <c r="BD44" s="71" t="s">
        <v>349</v>
      </c>
      <c r="BE44" s="71" t="s">
        <v>350</v>
      </c>
      <c r="BF44" s="71" t="s">
        <v>351</v>
      </c>
      <c r="BG44" s="71" t="s">
        <v>352</v>
      </c>
      <c r="BH44" s="71" t="s">
        <v>353</v>
      </c>
      <c r="BI44" s="71" t="s">
        <v>354</v>
      </c>
      <c r="BJ44" s="71" t="s">
        <v>355</v>
      </c>
      <c r="BK44" s="71" t="s">
        <v>356</v>
      </c>
      <c r="BL44" s="71" t="s">
        <v>357</v>
      </c>
      <c r="BM44" s="71" t="s">
        <v>358</v>
      </c>
      <c r="BN44" s="71" t="s">
        <v>359</v>
      </c>
      <c r="BO44" s="71" t="s">
        <v>350</v>
      </c>
      <c r="BP44" s="71" t="s">
        <v>351</v>
      </c>
      <c r="BQ44" s="71" t="s">
        <v>352</v>
      </c>
      <c r="BR44" s="71" t="s">
        <v>353</v>
      </c>
      <c r="BS44" s="71" t="s">
        <v>354</v>
      </c>
      <c r="BT44" s="71" t="s">
        <v>355</v>
      </c>
      <c r="BU44" s="71" t="s">
        <v>356</v>
      </c>
      <c r="BV44" s="71" t="s">
        <v>357</v>
      </c>
      <c r="BW44" s="71" t="s">
        <v>358</v>
      </c>
      <c r="BX44" s="71" t="s">
        <v>359</v>
      </c>
      <c r="BZ44" s="71" t="s">
        <v>360</v>
      </c>
      <c r="CA44" s="71" t="s">
        <v>361</v>
      </c>
      <c r="CB44" s="71" t="s">
        <v>362</v>
      </c>
      <c r="CC44" s="71" t="s">
        <v>363</v>
      </c>
      <c r="CD44" s="71" t="s">
        <v>364</v>
      </c>
      <c r="CE44" s="71" t="s">
        <v>365</v>
      </c>
      <c r="CF44" s="71" t="s">
        <v>366</v>
      </c>
      <c r="CG44" s="71" t="s">
        <v>367</v>
      </c>
      <c r="CH44" s="71" t="s">
        <v>368</v>
      </c>
      <c r="CI44" s="71" t="s">
        <v>369</v>
      </c>
      <c r="CJ44" s="71" t="s">
        <v>360</v>
      </c>
      <c r="CK44" s="71" t="s">
        <v>361</v>
      </c>
      <c r="CL44" s="71" t="s">
        <v>362</v>
      </c>
      <c r="CM44" s="71" t="s">
        <v>363</v>
      </c>
      <c r="CN44" s="71" t="s">
        <v>364</v>
      </c>
      <c r="CO44" s="71" t="s">
        <v>365</v>
      </c>
      <c r="CP44" s="71" t="s">
        <v>366</v>
      </c>
      <c r="CQ44" s="71" t="s">
        <v>367</v>
      </c>
      <c r="CR44" s="71" t="s">
        <v>368</v>
      </c>
      <c r="CS44" s="71" t="s">
        <v>369</v>
      </c>
      <c r="CT44" s="71"/>
      <c r="CU44" s="71"/>
      <c r="CV44" s="71"/>
      <c r="CW44" s="71"/>
      <c r="CX44" s="71"/>
      <c r="CY44" s="71"/>
      <c r="CZ44" s="71"/>
      <c r="DA44" s="71"/>
      <c r="DB44" s="71"/>
      <c r="DC44" s="74">
        <f t="shared" si="2"/>
        <v>42</v>
      </c>
      <c r="DD44">
        <v>100</v>
      </c>
      <c r="DE44">
        <v>180</v>
      </c>
      <c r="DF44">
        <v>100</v>
      </c>
      <c r="DG44">
        <v>102</v>
      </c>
      <c r="DH44">
        <v>104</v>
      </c>
      <c r="DI44">
        <v>106</v>
      </c>
      <c r="DJ44">
        <v>108</v>
      </c>
      <c r="DK44">
        <v>110</v>
      </c>
      <c r="DL44">
        <v>112</v>
      </c>
      <c r="DM44">
        <v>114</v>
      </c>
      <c r="DN44">
        <v>116</v>
      </c>
      <c r="DO44">
        <v>118</v>
      </c>
      <c r="DP44">
        <v>120</v>
      </c>
      <c r="DQ44">
        <v>122</v>
      </c>
      <c r="DR44">
        <v>124</v>
      </c>
      <c r="DS44">
        <v>126</v>
      </c>
      <c r="DT44">
        <v>128</v>
      </c>
      <c r="DU44">
        <v>130</v>
      </c>
      <c r="DV44">
        <v>132</v>
      </c>
      <c r="DW44">
        <v>134</v>
      </c>
      <c r="DX44">
        <v>136</v>
      </c>
      <c r="DY44">
        <v>138</v>
      </c>
      <c r="EH44">
        <f>DE44-DD44</f>
        <v>80</v>
      </c>
      <c r="EI44">
        <f t="shared" ref="EI44:ER44" si="162">DP44-DF44</f>
        <v>20</v>
      </c>
      <c r="EJ44">
        <f t="shared" si="162"/>
        <v>20</v>
      </c>
      <c r="EK44">
        <f t="shared" si="162"/>
        <v>20</v>
      </c>
      <c r="EL44">
        <f t="shared" si="162"/>
        <v>20</v>
      </c>
      <c r="EM44">
        <f t="shared" si="162"/>
        <v>20</v>
      </c>
      <c r="EN44">
        <f t="shared" si="162"/>
        <v>20</v>
      </c>
      <c r="EO44">
        <f t="shared" si="162"/>
        <v>20</v>
      </c>
      <c r="EP44">
        <f t="shared" si="162"/>
        <v>20</v>
      </c>
      <c r="EQ44">
        <f t="shared" si="162"/>
        <v>20</v>
      </c>
      <c r="ER44">
        <f t="shared" si="162"/>
        <v>20</v>
      </c>
    </row>
    <row r="45" spans="1:180" ht="15.6" thickTop="1" thickBot="1" x14ac:dyDescent="0.35">
      <c r="A45" s="62">
        <f t="shared" si="3"/>
        <v>43</v>
      </c>
      <c r="B45" s="101" t="s">
        <v>278</v>
      </c>
      <c r="C45" s="62" t="str">
        <f t="shared" si="0"/>
        <v>43: WSA : MT_100 &gt; MT_250 &gt; wet+100 &gt; soil+250 &gt; dry+100 &gt; dry+250 &gt; rock+250</v>
      </c>
      <c r="D45" s="63">
        <f t="shared" si="4"/>
        <v>7</v>
      </c>
      <c r="E45" s="62">
        <v>1</v>
      </c>
      <c r="F45" s="62">
        <v>2</v>
      </c>
      <c r="G45" s="62">
        <v>3</v>
      </c>
      <c r="H45" s="62">
        <v>4</v>
      </c>
      <c r="I45" s="62">
        <v>5</v>
      </c>
      <c r="J45" s="62">
        <v>6</v>
      </c>
      <c r="K45" s="62">
        <v>7</v>
      </c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4">
        <f t="shared" si="5"/>
        <v>7</v>
      </c>
      <c r="Z45" s="66" t="s">
        <v>142</v>
      </c>
      <c r="AA45" s="66" t="s">
        <v>143</v>
      </c>
      <c r="AB45" s="66" t="s">
        <v>144</v>
      </c>
      <c r="AC45" s="66" t="s">
        <v>145</v>
      </c>
      <c r="AD45" s="66" t="s">
        <v>146</v>
      </c>
      <c r="AE45" s="66" t="s">
        <v>147</v>
      </c>
      <c r="AF45" s="66" t="s">
        <v>148</v>
      </c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75" t="s">
        <v>407</v>
      </c>
      <c r="BE45" s="75" t="s">
        <v>408</v>
      </c>
      <c r="BF45" s="71" t="s">
        <v>409</v>
      </c>
      <c r="BG45" s="71" t="s">
        <v>410</v>
      </c>
      <c r="BH45" s="71" t="s">
        <v>411</v>
      </c>
      <c r="BI45" s="71" t="s">
        <v>405</v>
      </c>
      <c r="BJ45" s="75" t="s">
        <v>412</v>
      </c>
      <c r="BK45" s="71" t="s">
        <v>406</v>
      </c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  <c r="CO45" s="71"/>
      <c r="CP45" s="71"/>
      <c r="CQ45" s="71"/>
      <c r="CR45" s="71"/>
      <c r="CS45" s="71"/>
      <c r="CT45" s="71"/>
      <c r="CU45" s="71"/>
      <c r="CV45" s="71"/>
      <c r="CW45" s="71"/>
      <c r="CX45" s="71"/>
      <c r="CY45" s="71"/>
      <c r="CZ45" s="71"/>
      <c r="DA45" s="71"/>
      <c r="DB45" s="71"/>
      <c r="DC45" s="74">
        <f t="shared" si="2"/>
        <v>43</v>
      </c>
      <c r="DD45">
        <v>50</v>
      </c>
      <c r="DE45">
        <v>100</v>
      </c>
      <c r="DF45">
        <v>70</v>
      </c>
      <c r="DG45">
        <v>120</v>
      </c>
      <c r="DH45">
        <v>65</v>
      </c>
      <c r="DI45">
        <v>110</v>
      </c>
      <c r="DJ45">
        <v>105</v>
      </c>
      <c r="EH45">
        <f>DF45-DD45</f>
        <v>20</v>
      </c>
      <c r="EI45">
        <f>(DG45-DE45-EL45) * (1-(EM45/100))</f>
        <v>12.1875</v>
      </c>
      <c r="EJ45">
        <f>DF45-DH45</f>
        <v>5</v>
      </c>
      <c r="EK45">
        <f>(DI45-DE45) * (1-(EM45/100))</f>
        <v>7.5</v>
      </c>
      <c r="EL45">
        <f>(DJ45-DE45) * (1-(EM45/100))</f>
        <v>3.75</v>
      </c>
      <c r="EM45">
        <f>EJ45/EH45*100</f>
        <v>25</v>
      </c>
      <c r="EN45">
        <f>EL45/EI45*100</f>
        <v>30.76923076923077</v>
      </c>
      <c r="EO45">
        <f>EK45/EI45*100</f>
        <v>61.53846153846154</v>
      </c>
    </row>
    <row r="46" spans="1:180" ht="15.6" thickTop="1" thickBot="1" x14ac:dyDescent="0.35">
      <c r="A46" s="62">
        <f t="shared" si="3"/>
        <v>44</v>
      </c>
      <c r="B46" s="101" t="s">
        <v>279</v>
      </c>
      <c r="C46" s="62" t="str">
        <f t="shared" si="0"/>
        <v>44: WSA WITHOUT moisture compensation: MT_250» soil+250 &gt; dry+250 &gt; rock+250</v>
      </c>
      <c r="D46" s="63">
        <f t="shared" si="4"/>
        <v>4</v>
      </c>
      <c r="E46" s="62">
        <v>1</v>
      </c>
      <c r="F46" s="62">
        <v>1</v>
      </c>
      <c r="G46" s="62">
        <v>2</v>
      </c>
      <c r="H46" s="62">
        <v>3</v>
      </c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4">
        <f t="shared" si="5"/>
        <v>4</v>
      </c>
      <c r="Z46" s="66" t="s">
        <v>143</v>
      </c>
      <c r="AA46" s="66" t="s">
        <v>145</v>
      </c>
      <c r="AB46" s="66" t="s">
        <v>147</v>
      </c>
      <c r="AC46" s="66" t="s">
        <v>148</v>
      </c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75" t="s">
        <v>408</v>
      </c>
      <c r="BE46" s="71" t="s">
        <v>410</v>
      </c>
      <c r="BF46" s="71" t="s">
        <v>411</v>
      </c>
      <c r="BG46" s="75" t="s">
        <v>412</v>
      </c>
      <c r="BH46" s="71" t="s">
        <v>406</v>
      </c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1"/>
      <c r="CD46" s="71"/>
      <c r="CE46" s="71"/>
      <c r="CF46" s="71"/>
      <c r="CG46" s="71"/>
      <c r="CH46" s="71"/>
      <c r="CI46" s="71"/>
      <c r="CJ46" s="71"/>
      <c r="CK46" s="71"/>
      <c r="CL46" s="71"/>
      <c r="CM46" s="71"/>
      <c r="CN46" s="71"/>
      <c r="CO46" s="71"/>
      <c r="CP46" s="71"/>
      <c r="CQ46" s="71"/>
      <c r="CR46" s="71"/>
      <c r="CS46" s="71"/>
      <c r="CT46" s="71"/>
      <c r="CU46" s="71"/>
      <c r="CV46" s="71"/>
      <c r="CW46" s="71"/>
      <c r="CX46" s="71"/>
      <c r="CY46" s="71"/>
      <c r="CZ46" s="71"/>
      <c r="DA46" s="71"/>
      <c r="DB46" s="71"/>
      <c r="DC46" s="74">
        <f t="shared" si="2"/>
        <v>44</v>
      </c>
      <c r="DD46">
        <v>120</v>
      </c>
      <c r="DE46">
        <v>140</v>
      </c>
      <c r="DF46">
        <v>130</v>
      </c>
      <c r="DG46">
        <v>125</v>
      </c>
      <c r="EH46">
        <f>DE46-DD46</f>
        <v>20</v>
      </c>
      <c r="EI46">
        <f>DF46-DD46-EJ46</f>
        <v>5</v>
      </c>
      <c r="EJ46">
        <f>DG46-DD46</f>
        <v>5</v>
      </c>
      <c r="EK46">
        <f>EJ46/EH46*100</f>
        <v>25</v>
      </c>
      <c r="EL46">
        <f>EI46/EH46*100</f>
        <v>25</v>
      </c>
    </row>
    <row r="47" spans="1:180" ht="15.6" thickTop="1" thickBot="1" x14ac:dyDescent="0.35">
      <c r="A47" s="62">
        <f t="shared" si="3"/>
        <v>45</v>
      </c>
      <c r="B47" s="98" t="s">
        <v>92</v>
      </c>
      <c r="C47" s="62" t="str">
        <f t="shared" si="0"/>
        <v>45: Suspended sediment: filter » vessel » vessel+water » vol added &gt; dry filter+sed</v>
      </c>
      <c r="D47" s="63">
        <f t="shared" si="4"/>
        <v>2</v>
      </c>
      <c r="E47" s="62">
        <v>1</v>
      </c>
      <c r="F47" s="62">
        <v>5</v>
      </c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4">
        <f t="shared" si="5"/>
        <v>5</v>
      </c>
      <c r="Z47" s="66" t="s">
        <v>169</v>
      </c>
      <c r="AA47" s="66" t="s">
        <v>170</v>
      </c>
      <c r="AB47" s="66" t="s">
        <v>171</v>
      </c>
      <c r="AC47" s="66" t="s">
        <v>172</v>
      </c>
      <c r="AD47" s="66" t="s">
        <v>173</v>
      </c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71" t="s">
        <v>413</v>
      </c>
      <c r="BE47" s="71" t="s">
        <v>414</v>
      </c>
      <c r="BF47" s="71" t="s">
        <v>415</v>
      </c>
      <c r="BG47" s="71"/>
      <c r="BH47" s="71"/>
      <c r="BI47" s="71"/>
      <c r="BJ47" s="71"/>
      <c r="BK47" s="71"/>
      <c r="BL47" s="71"/>
      <c r="BM47" s="71"/>
      <c r="BN47" s="71"/>
      <c r="BO47" s="71"/>
      <c r="BP47" s="71"/>
      <c r="BQ47" s="71"/>
      <c r="BR47" s="71"/>
      <c r="BS47" s="71"/>
      <c r="BT47" s="71"/>
      <c r="BU47" s="71"/>
      <c r="BV47" s="71"/>
      <c r="BW47" s="71"/>
      <c r="BX47" s="71"/>
      <c r="BY47" s="71"/>
      <c r="BZ47" s="71"/>
      <c r="CA47" s="71"/>
      <c r="CB47" s="71"/>
      <c r="CC47" s="71"/>
      <c r="CD47" s="71"/>
      <c r="CE47" s="71"/>
      <c r="CF47" s="71"/>
      <c r="CG47" s="71"/>
      <c r="CH47" s="71"/>
      <c r="CI47" s="71"/>
      <c r="CJ47" s="71"/>
      <c r="CK47" s="71"/>
      <c r="CL47" s="71"/>
      <c r="CM47" s="71"/>
      <c r="CN47" s="71"/>
      <c r="CO47" s="71"/>
      <c r="CP47" s="71"/>
      <c r="CQ47" s="71"/>
      <c r="CR47" s="71"/>
      <c r="CS47" s="71"/>
      <c r="CT47" s="71"/>
      <c r="CU47" s="71"/>
      <c r="CV47" s="71"/>
      <c r="CW47" s="71"/>
      <c r="CX47" s="71"/>
      <c r="CY47" s="71"/>
      <c r="CZ47" s="71"/>
      <c r="DA47" s="71"/>
      <c r="DB47" s="71"/>
      <c r="DC47" s="74">
        <f t="shared" si="2"/>
        <v>45</v>
      </c>
      <c r="DD47">
        <v>1</v>
      </c>
      <c r="DE47">
        <v>100</v>
      </c>
      <c r="DF47">
        <v>150</v>
      </c>
      <c r="DG47">
        <v>10</v>
      </c>
      <c r="DH47">
        <v>1.2</v>
      </c>
    </row>
    <row r="48" spans="1:180" ht="15.6" thickTop="1" thickBot="1" x14ac:dyDescent="0.35">
      <c r="A48" s="62">
        <f t="shared" si="3"/>
        <v>46</v>
      </c>
      <c r="B48" s="98" t="s">
        <v>263</v>
      </c>
      <c r="C48" s="62" t="str">
        <f t="shared" si="0"/>
        <v xml:space="preserve">46: suspend sed by evap - 1: bkr &gt; bkr+runoff &gt; bkr+dry sed                    </v>
      </c>
      <c r="D48" s="63">
        <f t="shared" si="4"/>
        <v>3</v>
      </c>
      <c r="E48" s="62">
        <v>1</v>
      </c>
      <c r="F48" s="62">
        <v>2</v>
      </c>
      <c r="G48" s="62">
        <v>3</v>
      </c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4">
        <f>COUNTA(Z48:BC48)</f>
        <v>3</v>
      </c>
      <c r="Z48" s="66" t="s">
        <v>214</v>
      </c>
      <c r="AA48" s="66" t="s">
        <v>215</v>
      </c>
      <c r="AB48" s="66" t="s">
        <v>216</v>
      </c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71" t="s">
        <v>416</v>
      </c>
      <c r="BE48" s="71" t="s">
        <v>417</v>
      </c>
      <c r="BF48" s="71" t="s">
        <v>415</v>
      </c>
      <c r="BG48" s="71"/>
      <c r="BH48" s="71"/>
      <c r="BI48" s="71"/>
      <c r="BJ48" s="71"/>
      <c r="BK48" s="71"/>
      <c r="BL48" s="71"/>
      <c r="BM48" s="71"/>
      <c r="BN48" s="71"/>
      <c r="BO48" s="71"/>
      <c r="BP48" s="71"/>
      <c r="BQ48" s="71"/>
      <c r="BR48" s="71"/>
      <c r="BS48" s="71"/>
      <c r="BT48" s="71"/>
      <c r="BU48" s="71"/>
      <c r="BV48" s="71"/>
      <c r="BW48" s="71"/>
      <c r="BX48" s="71"/>
      <c r="BY48" s="71"/>
      <c r="BZ48" s="71"/>
      <c r="CA48" s="71"/>
      <c r="CB48" s="71"/>
      <c r="CC48" s="71"/>
      <c r="CD48" s="71"/>
      <c r="CE48" s="71"/>
      <c r="CF48" s="71"/>
      <c r="CG48" s="71"/>
      <c r="CH48" s="71"/>
      <c r="CI48" s="71"/>
      <c r="CJ48" s="71"/>
      <c r="CK48" s="71"/>
      <c r="CL48" s="71"/>
      <c r="CM48" s="71"/>
      <c r="CN48" s="71"/>
      <c r="CO48" s="71"/>
      <c r="CP48" s="71"/>
      <c r="CQ48" s="71"/>
      <c r="CR48" s="71"/>
      <c r="CS48" s="71"/>
      <c r="CT48" s="71"/>
      <c r="CU48" s="71"/>
      <c r="CV48" s="71"/>
      <c r="CW48" s="71"/>
      <c r="CX48" s="71"/>
      <c r="CY48" s="71"/>
      <c r="CZ48" s="71"/>
      <c r="DA48" s="71"/>
      <c r="DB48" s="71"/>
      <c r="DC48" s="74">
        <f t="shared" si="2"/>
        <v>46</v>
      </c>
      <c r="DD48">
        <v>100</v>
      </c>
      <c r="DE48">
        <v>150</v>
      </c>
      <c r="DF48">
        <v>105</v>
      </c>
      <c r="EH48">
        <f>DF48-DD48</f>
        <v>5</v>
      </c>
      <c r="EI48">
        <f>DE48-DD48</f>
        <v>50</v>
      </c>
      <c r="EJ48">
        <f>(EH48*1000)/(1000/EI48)</f>
        <v>250</v>
      </c>
    </row>
    <row r="49" spans="1:149" ht="15.6" thickTop="1" thickBot="1" x14ac:dyDescent="0.35">
      <c r="A49" s="62">
        <f t="shared" si="3"/>
        <v>47</v>
      </c>
      <c r="B49" s="98" t="s">
        <v>264</v>
      </c>
      <c r="C49" s="62" t="str">
        <f t="shared" si="0"/>
        <v xml:space="preserve">47: suspend sed by evap - 2: bkr » bkr+runoff &gt; bkr+dry sed                    </v>
      </c>
      <c r="D49" s="63">
        <f t="shared" si="4"/>
        <v>2</v>
      </c>
      <c r="E49" s="62">
        <v>1</v>
      </c>
      <c r="F49" s="62">
        <v>3</v>
      </c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4">
        <f>COUNTA(Z49:BC49)</f>
        <v>3</v>
      </c>
      <c r="Z49" s="66" t="s">
        <v>214</v>
      </c>
      <c r="AA49" s="66" t="s">
        <v>215</v>
      </c>
      <c r="AB49" s="66" t="s">
        <v>216</v>
      </c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71" t="s">
        <v>416</v>
      </c>
      <c r="BE49" s="71" t="s">
        <v>417</v>
      </c>
      <c r="BF49" s="71" t="s">
        <v>415</v>
      </c>
      <c r="BG49" s="71"/>
      <c r="BH49" s="71"/>
      <c r="BI49" s="71"/>
      <c r="BJ49" s="71"/>
      <c r="BK49" s="71"/>
      <c r="BL49" s="71"/>
      <c r="BM49" s="71"/>
      <c r="BN49" s="71"/>
      <c r="BO49" s="71"/>
      <c r="BP49" s="71"/>
      <c r="BQ49" s="71"/>
      <c r="BR49" s="71"/>
      <c r="BS49" s="71"/>
      <c r="BT49" s="71"/>
      <c r="BU49" s="71"/>
      <c r="BV49" s="71"/>
      <c r="BW49" s="71"/>
      <c r="BX49" s="71"/>
      <c r="BY49" s="71"/>
      <c r="BZ49" s="71"/>
      <c r="CA49" s="71"/>
      <c r="CB49" s="71"/>
      <c r="CC49" s="71"/>
      <c r="CD49" s="71"/>
      <c r="CE49" s="71"/>
      <c r="CF49" s="71"/>
      <c r="CG49" s="71"/>
      <c r="CH49" s="71"/>
      <c r="CI49" s="71"/>
      <c r="CJ49" s="71"/>
      <c r="CK49" s="71"/>
      <c r="CL49" s="71"/>
      <c r="CM49" s="71"/>
      <c r="CN49" s="71"/>
      <c r="CO49" s="71"/>
      <c r="CP49" s="71"/>
      <c r="CQ49" s="71"/>
      <c r="CR49" s="71"/>
      <c r="CS49" s="71"/>
      <c r="CT49" s="71"/>
      <c r="CU49" s="71"/>
      <c r="CV49" s="71"/>
      <c r="CW49" s="71"/>
      <c r="CX49" s="71"/>
      <c r="CY49" s="71"/>
      <c r="CZ49" s="71"/>
      <c r="DA49" s="71"/>
      <c r="DB49" s="71"/>
      <c r="DC49" s="74">
        <f t="shared" si="2"/>
        <v>47</v>
      </c>
      <c r="DD49">
        <v>100</v>
      </c>
      <c r="DE49">
        <v>150</v>
      </c>
      <c r="DF49">
        <v>105</v>
      </c>
      <c r="EH49">
        <f>DF49-DD49</f>
        <v>5</v>
      </c>
      <c r="EI49">
        <f>DE49-DD49</f>
        <v>50</v>
      </c>
      <c r="EJ49">
        <f>(EH49*1000)/(1000/EI49)</f>
        <v>250</v>
      </c>
    </row>
    <row r="50" spans="1:149" ht="15.6" thickTop="1" thickBot="1" x14ac:dyDescent="0.35">
      <c r="A50" s="62">
        <f t="shared" si="3"/>
        <v>48</v>
      </c>
      <c r="B50" s="62" t="s">
        <v>93</v>
      </c>
      <c r="C50" s="62" t="str">
        <f t="shared" si="0"/>
        <v>48: Gravimetric CaCO3 content: MT flask » with sed &gt; final weight after 1 hour</v>
      </c>
      <c r="D50" s="63">
        <f t="shared" si="4"/>
        <v>2</v>
      </c>
      <c r="E50" s="62">
        <v>1</v>
      </c>
      <c r="F50" s="62">
        <v>3</v>
      </c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4">
        <f t="shared" si="5"/>
        <v>3</v>
      </c>
      <c r="Z50" s="66" t="s">
        <v>174</v>
      </c>
      <c r="AA50" s="66" t="s">
        <v>175</v>
      </c>
      <c r="AB50" s="66" t="s">
        <v>176</v>
      </c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71" t="s">
        <v>416</v>
      </c>
      <c r="BE50" s="71" t="s">
        <v>343</v>
      </c>
      <c r="BF50" s="71"/>
      <c r="BG50" s="71"/>
      <c r="BH50" s="71"/>
      <c r="BI50" s="71"/>
      <c r="BJ50" s="71"/>
      <c r="BK50" s="71"/>
      <c r="BL50" s="71"/>
      <c r="BM50" s="71"/>
      <c r="BN50" s="71"/>
      <c r="BO50" s="71"/>
      <c r="BP50" s="71"/>
      <c r="BQ50" s="71"/>
      <c r="BR50" s="71"/>
      <c r="BS50" s="71"/>
      <c r="BT50" s="71"/>
      <c r="BU50" s="71"/>
      <c r="BV50" s="71"/>
      <c r="BW50" s="71"/>
      <c r="BX50" s="71"/>
      <c r="BY50" s="71"/>
      <c r="BZ50" s="71"/>
      <c r="CA50" s="71"/>
      <c r="CB50" s="71"/>
      <c r="CC50" s="71"/>
      <c r="CD50" s="71"/>
      <c r="CE50" s="71"/>
      <c r="CF50" s="71"/>
      <c r="CG50" s="71"/>
      <c r="CH50" s="71"/>
      <c r="CI50" s="71"/>
      <c r="CJ50" s="71"/>
      <c r="CK50" s="71"/>
      <c r="CL50" s="71"/>
      <c r="CM50" s="71"/>
      <c r="CN50" s="71"/>
      <c r="CO50" s="71"/>
      <c r="CP50" s="71"/>
      <c r="CQ50" s="71"/>
      <c r="CR50" s="71"/>
      <c r="CS50" s="71"/>
      <c r="CT50" s="71"/>
      <c r="CU50" s="71"/>
      <c r="CV50" s="71"/>
      <c r="CW50" s="71"/>
      <c r="CX50" s="71"/>
      <c r="CY50" s="71"/>
      <c r="CZ50" s="71"/>
      <c r="DA50" s="71"/>
      <c r="DB50" s="71"/>
      <c r="DC50" s="74">
        <f t="shared" si="2"/>
        <v>48</v>
      </c>
      <c r="DD50">
        <v>100</v>
      </c>
      <c r="DE50">
        <v>110</v>
      </c>
      <c r="DF50">
        <v>105</v>
      </c>
      <c r="EH50">
        <f>DE50-DD50</f>
        <v>10</v>
      </c>
      <c r="EI50">
        <f>(DF50-DD50)/EH50*100</f>
        <v>50</v>
      </c>
    </row>
    <row r="51" spans="1:149" ht="15.6" thickTop="1" thickBot="1" x14ac:dyDescent="0.35">
      <c r="A51" s="62">
        <f t="shared" si="3"/>
        <v>49</v>
      </c>
      <c r="B51" s="102" t="s">
        <v>94</v>
      </c>
      <c r="C51" s="62" t="str">
        <f t="shared" si="0"/>
        <v>49: Plastic limits: MT V1 »V2 »V3 &gt; wet V1 »V2 »V3 &gt; dry V1 » V2 » V3</v>
      </c>
      <c r="D51" s="63">
        <f t="shared" si="4"/>
        <v>3</v>
      </c>
      <c r="E51" s="62">
        <v>1</v>
      </c>
      <c r="F51" s="62">
        <v>4</v>
      </c>
      <c r="G51" s="62">
        <v>7</v>
      </c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4">
        <f t="shared" si="5"/>
        <v>9</v>
      </c>
      <c r="Z51" s="66" t="s">
        <v>177</v>
      </c>
      <c r="AA51" s="66" t="s">
        <v>178</v>
      </c>
      <c r="AB51" s="66" t="s">
        <v>179</v>
      </c>
      <c r="AC51" s="66" t="s">
        <v>180</v>
      </c>
      <c r="AD51" s="66" t="s">
        <v>181</v>
      </c>
      <c r="AE51" s="66" t="s">
        <v>182</v>
      </c>
      <c r="AF51" s="66" t="s">
        <v>183</v>
      </c>
      <c r="AG51" s="66" t="s">
        <v>184</v>
      </c>
      <c r="AH51" s="66" t="s">
        <v>185</v>
      </c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71" t="s">
        <v>418</v>
      </c>
      <c r="BE51" s="71" t="s">
        <v>419</v>
      </c>
      <c r="BF51" s="71" t="s">
        <v>420</v>
      </c>
      <c r="BG51" s="75" t="s">
        <v>421</v>
      </c>
      <c r="BH51" s="75" t="s">
        <v>422</v>
      </c>
      <c r="BI51" s="75" t="s">
        <v>423</v>
      </c>
      <c r="BJ51" s="71" t="s">
        <v>424</v>
      </c>
      <c r="BK51" s="71" t="s">
        <v>425</v>
      </c>
      <c r="BL51" s="71" t="s">
        <v>426</v>
      </c>
      <c r="BM51" s="71"/>
      <c r="BN51" s="71"/>
      <c r="BO51" s="71"/>
      <c r="BP51" s="71"/>
      <c r="BQ51" s="71"/>
      <c r="BR51" s="71"/>
      <c r="BS51" s="71"/>
      <c r="BT51" s="71"/>
      <c r="BU51" s="71"/>
      <c r="BV51" s="71"/>
      <c r="BW51" s="71"/>
      <c r="BX51" s="71"/>
      <c r="BY51" s="71"/>
      <c r="BZ51" s="71"/>
      <c r="CA51" s="71"/>
      <c r="CB51" s="71"/>
      <c r="CC51" s="71"/>
      <c r="CD51" s="71"/>
      <c r="CE51" s="71"/>
      <c r="CF51" s="71"/>
      <c r="CG51" s="71"/>
      <c r="CH51" s="71"/>
      <c r="CI51" s="71"/>
      <c r="CJ51" s="71"/>
      <c r="CK51" s="71"/>
      <c r="CL51" s="71"/>
      <c r="CM51" s="71"/>
      <c r="CN51" s="71"/>
      <c r="CO51" s="71"/>
      <c r="CP51" s="71"/>
      <c r="CQ51" s="71"/>
      <c r="CR51" s="71"/>
      <c r="CS51" s="71"/>
      <c r="CT51" s="71"/>
      <c r="CU51" s="71"/>
      <c r="CV51" s="71"/>
      <c r="CW51" s="71"/>
      <c r="CX51" s="71"/>
      <c r="CY51" s="71"/>
      <c r="CZ51" s="71"/>
      <c r="DA51" s="71"/>
      <c r="DB51" s="71"/>
      <c r="DC51" s="74">
        <f t="shared" si="2"/>
        <v>49</v>
      </c>
      <c r="DD51">
        <v>10</v>
      </c>
      <c r="DE51">
        <v>10</v>
      </c>
      <c r="DF51">
        <v>10</v>
      </c>
      <c r="DG51">
        <v>12</v>
      </c>
      <c r="DH51">
        <v>14</v>
      </c>
      <c r="DI51">
        <v>16</v>
      </c>
      <c r="DJ51">
        <v>11</v>
      </c>
      <c r="DK51">
        <v>11</v>
      </c>
      <c r="DL51">
        <v>11</v>
      </c>
      <c r="EH51">
        <f>DJ51-DD51</f>
        <v>1</v>
      </c>
      <c r="EI51">
        <f>DK51-DE51</f>
        <v>1</v>
      </c>
      <c r="EJ51">
        <f>DL51-DF51</f>
        <v>1</v>
      </c>
      <c r="EK51">
        <f>DG51-DJ51</f>
        <v>1</v>
      </c>
      <c r="EL51">
        <f>DH51-DK51</f>
        <v>3</v>
      </c>
      <c r="EM51">
        <f>DI51-DL51</f>
        <v>5</v>
      </c>
      <c r="EN51">
        <f>EK51/EH51*100</f>
        <v>100</v>
      </c>
      <c r="EO51">
        <f t="shared" ref="EO51:EP51" si="163">EL51/EI51*100</f>
        <v>300</v>
      </c>
      <c r="EP51">
        <f t="shared" si="163"/>
        <v>500</v>
      </c>
    </row>
    <row r="52" spans="1:149" ht="15.6" thickTop="1" thickBot="1" x14ac:dyDescent="0.35">
      <c r="A52" s="62">
        <f t="shared" si="3"/>
        <v>50</v>
      </c>
      <c r="B52" s="102" t="s">
        <v>95</v>
      </c>
      <c r="C52" s="62" t="str">
        <f t="shared" si="0"/>
        <v>50: Liquid limits : MT V1 » V2» V3» V4 &gt; wet V1» V2» V3» V4 &gt; dry V1» V2» V3» V4</v>
      </c>
      <c r="D52" s="63">
        <f t="shared" si="4"/>
        <v>3</v>
      </c>
      <c r="E52" s="62">
        <v>1</v>
      </c>
      <c r="F52" s="62">
        <v>5</v>
      </c>
      <c r="G52" s="62">
        <v>9</v>
      </c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4">
        <f t="shared" si="5"/>
        <v>12</v>
      </c>
      <c r="Z52" s="66" t="s">
        <v>186</v>
      </c>
      <c r="AA52" s="66" t="s">
        <v>187</v>
      </c>
      <c r="AB52" s="66" t="s">
        <v>188</v>
      </c>
      <c r="AC52" s="66" t="s">
        <v>189</v>
      </c>
      <c r="AD52" s="66" t="s">
        <v>190</v>
      </c>
      <c r="AE52" s="66" t="s">
        <v>191</v>
      </c>
      <c r="AF52" s="66" t="s">
        <v>192</v>
      </c>
      <c r="AG52" s="66" t="s">
        <v>193</v>
      </c>
      <c r="AH52" s="66" t="s">
        <v>194</v>
      </c>
      <c r="AI52" s="66" t="s">
        <v>195</v>
      </c>
      <c r="AJ52" s="66" t="s">
        <v>196</v>
      </c>
      <c r="AK52" s="66" t="s">
        <v>197</v>
      </c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71" t="s">
        <v>418</v>
      </c>
      <c r="BE52" s="71" t="s">
        <v>419</v>
      </c>
      <c r="BF52" s="71" t="s">
        <v>420</v>
      </c>
      <c r="BG52" s="71" t="s">
        <v>428</v>
      </c>
      <c r="BH52" s="71" t="s">
        <v>421</v>
      </c>
      <c r="BI52" s="71" t="s">
        <v>422</v>
      </c>
      <c r="BJ52" s="71" t="s">
        <v>423</v>
      </c>
      <c r="BK52" s="71" t="s">
        <v>427</v>
      </c>
      <c r="BL52" s="71" t="s">
        <v>424</v>
      </c>
      <c r="BM52" s="71" t="s">
        <v>425</v>
      </c>
      <c r="BN52" s="71" t="s">
        <v>426</v>
      </c>
      <c r="BO52" s="71" t="s">
        <v>429</v>
      </c>
      <c r="BP52" s="71"/>
      <c r="BQ52" s="71"/>
      <c r="BR52" s="71"/>
      <c r="BS52" s="71"/>
      <c r="BT52" s="71"/>
      <c r="BU52" s="71"/>
      <c r="BV52" s="71"/>
      <c r="BW52" s="71"/>
      <c r="BX52" s="71"/>
      <c r="BY52" s="71"/>
      <c r="BZ52" s="71"/>
      <c r="CA52" s="71"/>
      <c r="CB52" s="71"/>
      <c r="CC52" s="71"/>
      <c r="CD52" s="71"/>
      <c r="CE52" s="71"/>
      <c r="CF52" s="71"/>
      <c r="CG52" s="71"/>
      <c r="CH52" s="71"/>
      <c r="CI52" s="71"/>
      <c r="CJ52" s="71"/>
      <c r="CK52" s="71"/>
      <c r="CL52" s="71"/>
      <c r="CM52" s="71"/>
      <c r="CN52" s="71"/>
      <c r="CO52" s="71"/>
      <c r="CP52" s="71"/>
      <c r="CQ52" s="71"/>
      <c r="CR52" s="71"/>
      <c r="CS52" s="71"/>
      <c r="CT52" s="71"/>
      <c r="CU52" s="71"/>
      <c r="CV52" s="71"/>
      <c r="CW52" s="71"/>
      <c r="CX52" s="71"/>
      <c r="CY52" s="71"/>
      <c r="CZ52" s="71"/>
      <c r="DA52" s="71"/>
      <c r="DB52" s="71"/>
      <c r="DC52" s="74">
        <f t="shared" si="2"/>
        <v>50</v>
      </c>
      <c r="DD52">
        <v>10</v>
      </c>
      <c r="DE52">
        <v>10</v>
      </c>
      <c r="DF52">
        <v>10</v>
      </c>
      <c r="DG52">
        <v>10</v>
      </c>
      <c r="DH52">
        <v>12</v>
      </c>
      <c r="DI52">
        <v>14</v>
      </c>
      <c r="DJ52">
        <v>16</v>
      </c>
      <c r="DK52">
        <v>18</v>
      </c>
      <c r="DL52">
        <v>11</v>
      </c>
      <c r="DM52">
        <v>11</v>
      </c>
      <c r="DN52">
        <v>11</v>
      </c>
      <c r="DO52">
        <v>11</v>
      </c>
      <c r="EH52">
        <f>DL52-DD52</f>
        <v>1</v>
      </c>
      <c r="EI52">
        <f>DM52-DE52</f>
        <v>1</v>
      </c>
      <c r="EJ52">
        <f>DN52-DF52</f>
        <v>1</v>
      </c>
      <c r="EK52">
        <f>DO52-DG52</f>
        <v>1</v>
      </c>
      <c r="EL52">
        <f>DH52-DL52</f>
        <v>1</v>
      </c>
      <c r="EM52">
        <f>DI52-DM52</f>
        <v>3</v>
      </c>
      <c r="EN52">
        <f>DJ52-DN52</f>
        <v>5</v>
      </c>
      <c r="EO52">
        <f>DK52-DO52</f>
        <v>7</v>
      </c>
      <c r="EP52">
        <f>EL52/EH52*100</f>
        <v>100</v>
      </c>
      <c r="EQ52">
        <f t="shared" ref="EQ52:ES52" si="164">EM52/EI52*100</f>
        <v>300</v>
      </c>
      <c r="ER52">
        <f t="shared" si="164"/>
        <v>500</v>
      </c>
      <c r="ES52">
        <f t="shared" si="164"/>
        <v>700</v>
      </c>
    </row>
    <row r="53" spans="1:149" ht="15.6" thickTop="1" thickBot="1" x14ac:dyDescent="0.35">
      <c r="A53" s="62">
        <f t="shared" si="3"/>
        <v>51</v>
      </c>
      <c r="B53" s="102" t="s">
        <v>96</v>
      </c>
      <c r="C53" s="62" t="str">
        <f t="shared" si="0"/>
        <v xml:space="preserve">51: Full spec gravity w/ bottles: MT &gt; dry+soil &gt; soil+full w/ water &gt; +water  </v>
      </c>
      <c r="D53" s="63">
        <f t="shared" si="4"/>
        <v>4</v>
      </c>
      <c r="E53" s="62">
        <v>1</v>
      </c>
      <c r="F53" s="62">
        <v>2</v>
      </c>
      <c r="G53" s="62">
        <v>3</v>
      </c>
      <c r="H53" s="62">
        <v>4</v>
      </c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4">
        <f t="shared" si="5"/>
        <v>4</v>
      </c>
      <c r="Z53" s="66" t="s">
        <v>131</v>
      </c>
      <c r="AA53" s="66" t="s">
        <v>268</v>
      </c>
      <c r="AB53" s="66" t="s">
        <v>198</v>
      </c>
      <c r="AC53" s="66" t="s">
        <v>269</v>
      </c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71" t="s">
        <v>430</v>
      </c>
      <c r="BE53" s="71" t="s">
        <v>432</v>
      </c>
      <c r="BF53" s="75" t="s">
        <v>433</v>
      </c>
      <c r="BG53" s="71" t="s">
        <v>431</v>
      </c>
      <c r="BK53" s="71"/>
      <c r="BL53" s="71"/>
      <c r="BM53" s="71"/>
      <c r="BN53" s="71"/>
      <c r="BO53" s="71"/>
      <c r="BP53" s="71"/>
      <c r="BQ53" s="71"/>
      <c r="BR53" s="71"/>
      <c r="BS53" s="71"/>
      <c r="BT53" s="71"/>
      <c r="BU53" s="71"/>
      <c r="BV53" s="71"/>
      <c r="BW53" s="71"/>
      <c r="BX53" s="71"/>
      <c r="BY53" s="71"/>
      <c r="BZ53" s="71"/>
      <c r="CA53" s="71"/>
      <c r="CB53" s="71"/>
      <c r="CC53" s="71"/>
      <c r="CD53" s="71"/>
      <c r="CE53" s="71"/>
      <c r="CF53" s="71"/>
      <c r="CG53" s="71"/>
      <c r="CH53" s="71"/>
      <c r="CI53" s="71"/>
      <c r="CJ53" s="71"/>
      <c r="CK53" s="71"/>
      <c r="CL53" s="71"/>
      <c r="CM53" s="71"/>
      <c r="CN53" s="71"/>
      <c r="CO53" s="71"/>
      <c r="CP53" s="71"/>
      <c r="CQ53" s="71"/>
      <c r="CR53" s="71"/>
      <c r="CS53" s="71"/>
      <c r="CT53" s="71"/>
      <c r="CU53" s="71"/>
      <c r="CV53" s="71"/>
      <c r="CW53" s="71"/>
      <c r="CX53" s="71"/>
      <c r="CY53" s="71"/>
      <c r="CZ53" s="71"/>
      <c r="DA53" s="71"/>
      <c r="DB53" s="71"/>
      <c r="DC53" s="74">
        <f t="shared" si="2"/>
        <v>51</v>
      </c>
      <c r="DD53">
        <v>50</v>
      </c>
      <c r="DE53">
        <v>55</v>
      </c>
      <c r="DF53">
        <v>65</v>
      </c>
      <c r="DG53">
        <v>66</v>
      </c>
    </row>
    <row r="54" spans="1:149" ht="15.6" thickTop="1" thickBot="1" x14ac:dyDescent="0.35">
      <c r="A54" s="62">
        <f t="shared" si="3"/>
        <v>52</v>
      </c>
      <c r="B54" s="102" t="s">
        <v>97</v>
      </c>
      <c r="C54" s="62" t="str">
        <f t="shared" si="0"/>
        <v>52: Quik spec grav w/ volumetric flsk: 100ml volumetric » +soil &gt; 100+full</v>
      </c>
      <c r="D54" s="63">
        <f t="shared" si="4"/>
        <v>2</v>
      </c>
      <c r="E54" s="62">
        <v>1</v>
      </c>
      <c r="F54" s="62">
        <v>3</v>
      </c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4">
        <f t="shared" si="5"/>
        <v>3</v>
      </c>
      <c r="Z54" s="66" t="s">
        <v>199</v>
      </c>
      <c r="AA54" s="66" t="s">
        <v>200</v>
      </c>
      <c r="AB54" s="66" t="s">
        <v>201</v>
      </c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71" t="s">
        <v>430</v>
      </c>
      <c r="BE54" s="75" t="s">
        <v>433</v>
      </c>
      <c r="BF54" s="71" t="s">
        <v>431</v>
      </c>
      <c r="BH54" s="71"/>
      <c r="BI54" s="71"/>
      <c r="BJ54" s="71"/>
      <c r="BK54" s="71"/>
      <c r="BL54" s="71"/>
      <c r="BM54" s="71"/>
      <c r="BN54" s="71"/>
      <c r="BO54" s="71"/>
      <c r="BP54" s="71"/>
      <c r="BQ54" s="71"/>
      <c r="BR54" s="71"/>
      <c r="BS54" s="71"/>
      <c r="BT54" s="71"/>
      <c r="BU54" s="71"/>
      <c r="BV54" s="71"/>
      <c r="BW54" s="71"/>
      <c r="BX54" s="71"/>
      <c r="BY54" s="71"/>
      <c r="BZ54" s="71"/>
      <c r="CA54" s="71"/>
      <c r="CB54" s="71"/>
      <c r="CC54" s="71"/>
      <c r="CD54" s="71"/>
      <c r="CE54" s="71"/>
      <c r="CF54" s="71"/>
      <c r="CG54" s="71"/>
      <c r="CH54" s="71"/>
      <c r="CI54" s="71"/>
      <c r="CJ54" s="71"/>
      <c r="CK54" s="71"/>
      <c r="CL54" s="71"/>
      <c r="CM54" s="71"/>
      <c r="CN54" s="71"/>
      <c r="CO54" s="71"/>
      <c r="CP54" s="71"/>
      <c r="CQ54" s="71"/>
      <c r="CR54" s="71"/>
      <c r="CS54" s="71"/>
      <c r="CT54" s="71"/>
      <c r="CU54" s="71"/>
      <c r="CV54" s="71"/>
      <c r="CW54" s="71"/>
      <c r="CX54" s="71"/>
      <c r="CY54" s="71"/>
      <c r="CZ54" s="71"/>
      <c r="DA54" s="71"/>
      <c r="DB54" s="71"/>
      <c r="DC54" s="74">
        <f t="shared" si="2"/>
        <v>52</v>
      </c>
      <c r="DD54">
        <v>100</v>
      </c>
      <c r="DE54">
        <v>110</v>
      </c>
      <c r="DF54">
        <v>190</v>
      </c>
      <c r="EH54">
        <f>DE54-DD54</f>
        <v>10</v>
      </c>
      <c r="EI54">
        <f>100- (DF54-DE54)</f>
        <v>20</v>
      </c>
      <c r="EJ54">
        <f>EH54/EI54</f>
        <v>0.5</v>
      </c>
    </row>
    <row r="55" spans="1:149" ht="15.6" thickTop="1" thickBot="1" x14ac:dyDescent="0.35">
      <c r="A55" s="62">
        <f t="shared" si="3"/>
        <v>53</v>
      </c>
      <c r="B55" s="62" t="s">
        <v>106</v>
      </c>
      <c r="C55" s="62" t="str">
        <f t="shared" si="0"/>
        <v xml:space="preserve">53: Aggregate size distribution 16mm - 2.8mm + pan                             </v>
      </c>
      <c r="D55" s="63">
        <f t="shared" si="4"/>
        <v>1</v>
      </c>
      <c r="E55" s="62">
        <v>1</v>
      </c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4">
        <f t="shared" si="5"/>
        <v>7</v>
      </c>
      <c r="Z55" s="66" t="s">
        <v>150</v>
      </c>
      <c r="AA55" s="66" t="s">
        <v>160</v>
      </c>
      <c r="AB55" s="66" t="s">
        <v>151</v>
      </c>
      <c r="AC55" s="66" t="s">
        <v>152</v>
      </c>
      <c r="AD55" s="66" t="s">
        <v>153</v>
      </c>
      <c r="AE55" s="66" t="s">
        <v>154</v>
      </c>
      <c r="AF55" s="66" t="s">
        <v>155</v>
      </c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71" t="s">
        <v>150</v>
      </c>
      <c r="BE55" s="71" t="s">
        <v>160</v>
      </c>
      <c r="BF55" s="71" t="s">
        <v>151</v>
      </c>
      <c r="BG55" s="71" t="s">
        <v>152</v>
      </c>
      <c r="BH55" s="71" t="s">
        <v>153</v>
      </c>
      <c r="BI55" s="71" t="s">
        <v>154</v>
      </c>
      <c r="BJ55" s="71" t="s">
        <v>236</v>
      </c>
      <c r="BK55" s="71"/>
      <c r="BL55" s="71" t="s">
        <v>376</v>
      </c>
      <c r="BM55" s="71" t="s">
        <v>387</v>
      </c>
      <c r="BN55" s="71" t="s">
        <v>378</v>
      </c>
      <c r="BO55" s="71" t="s">
        <v>379</v>
      </c>
      <c r="BP55" s="71" t="s">
        <v>380</v>
      </c>
      <c r="BQ55" s="71" t="s">
        <v>381</v>
      </c>
      <c r="BR55" s="71" t="s">
        <v>385</v>
      </c>
      <c r="BS55" s="71"/>
      <c r="BT55" s="71"/>
      <c r="BU55" s="71"/>
      <c r="BV55" s="71"/>
      <c r="BW55" s="71"/>
      <c r="BX55" s="71"/>
      <c r="BY55" s="71"/>
      <c r="BZ55" s="71"/>
      <c r="CA55" s="71"/>
      <c r="CB55" s="71"/>
      <c r="CC55" s="71"/>
      <c r="CD55" s="71"/>
      <c r="CE55" s="71"/>
      <c r="CF55" s="71"/>
      <c r="CG55" s="71"/>
      <c r="CH55" s="71"/>
      <c r="CI55" s="71"/>
      <c r="CJ55" s="71"/>
      <c r="CK55" s="71"/>
      <c r="CL55" s="71"/>
      <c r="CM55" s="71"/>
      <c r="CN55" s="71"/>
      <c r="CO55" s="71"/>
      <c r="CP55" s="71"/>
      <c r="CQ55" s="71"/>
      <c r="CR55" s="71"/>
      <c r="CS55" s="71"/>
      <c r="CT55" s="71"/>
      <c r="CU55" s="71"/>
      <c r="CV55" s="71"/>
      <c r="CW55" s="71"/>
      <c r="CX55" s="71"/>
      <c r="CY55" s="71"/>
      <c r="CZ55" s="71"/>
      <c r="DA55" s="71"/>
      <c r="DB55" s="71"/>
      <c r="DC55" s="74">
        <f t="shared" si="2"/>
        <v>53</v>
      </c>
      <c r="DD55">
        <v>110</v>
      </c>
      <c r="DE55">
        <v>105</v>
      </c>
      <c r="DF55">
        <v>100</v>
      </c>
      <c r="DG55">
        <v>95</v>
      </c>
      <c r="DH55">
        <v>80</v>
      </c>
      <c r="DI55">
        <v>85</v>
      </c>
      <c r="DJ55">
        <v>75</v>
      </c>
    </row>
    <row r="56" spans="1:149" ht="15.6" thickTop="1" thickBot="1" x14ac:dyDescent="0.35">
      <c r="A56" s="62">
        <f t="shared" si="3"/>
        <v>54</v>
      </c>
      <c r="B56" s="62" t="s">
        <v>107</v>
      </c>
      <c r="C56" s="62" t="str">
        <f t="shared" si="0"/>
        <v>54: Diatom sampling with moisture correction (MPT1» diatom » MPT2»wet &gt; dry)</v>
      </c>
      <c r="D56" s="63">
        <f t="shared" si="4"/>
        <v>2</v>
      </c>
      <c r="E56" s="62">
        <v>1</v>
      </c>
      <c r="F56" s="62">
        <v>2</v>
      </c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4">
        <f t="shared" si="5"/>
        <v>5</v>
      </c>
      <c r="Z56" s="66" t="s">
        <v>203</v>
      </c>
      <c r="AA56" s="66" t="s">
        <v>204</v>
      </c>
      <c r="AB56" s="66" t="s">
        <v>205</v>
      </c>
      <c r="AC56" s="66" t="s">
        <v>206</v>
      </c>
      <c r="AD56" s="66" t="s">
        <v>207</v>
      </c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71" t="s">
        <v>434</v>
      </c>
      <c r="BE56" s="71" t="s">
        <v>435</v>
      </c>
      <c r="BF56" s="71" t="s">
        <v>436</v>
      </c>
      <c r="BG56" s="71"/>
      <c r="BH56" s="71"/>
      <c r="BI56" s="71"/>
      <c r="BJ56" s="71"/>
      <c r="BK56" s="71"/>
      <c r="BL56" s="71"/>
      <c r="BM56" s="71"/>
      <c r="BN56" s="71"/>
      <c r="BO56" s="71"/>
      <c r="BP56" s="71"/>
      <c r="BQ56" s="71"/>
      <c r="BR56" s="71"/>
      <c r="BS56" s="71"/>
      <c r="BT56" s="71"/>
      <c r="BU56" s="71"/>
      <c r="BV56" s="71"/>
      <c r="BW56" s="71"/>
      <c r="BX56" s="71"/>
      <c r="BY56" s="71"/>
      <c r="BZ56" s="71"/>
      <c r="CA56" s="71"/>
      <c r="CB56" s="71"/>
      <c r="CC56" s="71"/>
      <c r="CD56" s="71"/>
      <c r="CE56" s="71"/>
      <c r="CF56" s="71"/>
      <c r="CG56" s="71"/>
      <c r="CH56" s="71"/>
      <c r="CI56" s="71"/>
      <c r="CJ56" s="71"/>
      <c r="CK56" s="71"/>
      <c r="CL56" s="71"/>
      <c r="CM56" s="71"/>
      <c r="CN56" s="71"/>
      <c r="CO56" s="71"/>
      <c r="CP56" s="71"/>
      <c r="CQ56" s="71"/>
      <c r="CR56" s="71"/>
      <c r="CS56" s="71"/>
      <c r="CT56" s="71"/>
      <c r="CU56" s="71"/>
      <c r="CV56" s="71"/>
      <c r="CW56" s="71"/>
      <c r="CX56" s="71"/>
      <c r="CY56" s="71"/>
      <c r="CZ56" s="71"/>
      <c r="DA56" s="71"/>
      <c r="DB56" s="71"/>
      <c r="DC56" s="74">
        <f t="shared" si="2"/>
        <v>54</v>
      </c>
      <c r="DD56">
        <v>10</v>
      </c>
      <c r="DE56">
        <v>15</v>
      </c>
      <c r="DF56">
        <v>10</v>
      </c>
      <c r="DG56">
        <v>18</v>
      </c>
      <c r="DH56">
        <v>16</v>
      </c>
    </row>
    <row r="57" spans="1:149" ht="15.6" thickTop="1" thickBot="1" x14ac:dyDescent="0.35">
      <c r="A57" s="62">
        <f t="shared" si="3"/>
        <v>55</v>
      </c>
      <c r="B57" s="62" t="s">
        <v>108</v>
      </c>
      <c r="C57" s="62" t="str">
        <f t="shared" si="0"/>
        <v>55: Lab permeameter oven dry Db and stone content: dry &gt; ring &gt; stones</v>
      </c>
      <c r="D57" s="63">
        <f t="shared" si="4"/>
        <v>3</v>
      </c>
      <c r="E57" s="62">
        <v>1</v>
      </c>
      <c r="F57" s="62">
        <v>2</v>
      </c>
      <c r="G57" s="62">
        <v>3</v>
      </c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4">
        <f t="shared" si="5"/>
        <v>3</v>
      </c>
      <c r="Z57" s="66" t="s">
        <v>208</v>
      </c>
      <c r="AA57" s="66" t="s">
        <v>209</v>
      </c>
      <c r="AB57" s="66" t="s">
        <v>210</v>
      </c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71" t="s">
        <v>437</v>
      </c>
      <c r="BE57" s="71" t="s">
        <v>438</v>
      </c>
      <c r="BF57" s="71" t="s">
        <v>439</v>
      </c>
      <c r="BG57" s="71" t="s">
        <v>440</v>
      </c>
      <c r="BH57" s="71" t="s">
        <v>441</v>
      </c>
      <c r="BI57" s="71" t="s">
        <v>442</v>
      </c>
      <c r="BJ57" s="71"/>
      <c r="BK57" s="71"/>
      <c r="BL57" s="71"/>
      <c r="BM57" s="71"/>
      <c r="BN57" s="71"/>
      <c r="BO57" s="71"/>
      <c r="BP57" s="71"/>
      <c r="BQ57" s="71"/>
      <c r="BR57" s="71"/>
      <c r="BS57" s="71"/>
      <c r="BT57" s="71"/>
      <c r="BU57" s="71"/>
      <c r="BV57" s="71"/>
      <c r="BW57" s="71"/>
      <c r="BX57" s="71"/>
      <c r="BY57" s="71"/>
      <c r="BZ57" s="71"/>
      <c r="CA57" s="71"/>
      <c r="CB57" s="71"/>
      <c r="CC57" s="71"/>
      <c r="CD57" s="71"/>
      <c r="CE57" s="71"/>
      <c r="CF57" s="71"/>
      <c r="CG57" s="71"/>
      <c r="CH57" s="71"/>
      <c r="CI57" s="71"/>
      <c r="CJ57" s="71"/>
      <c r="CK57" s="71"/>
      <c r="CL57" s="71"/>
      <c r="CM57" s="71"/>
      <c r="CN57" s="71"/>
      <c r="CO57" s="71"/>
      <c r="CP57" s="71"/>
      <c r="CQ57" s="71"/>
      <c r="CR57" s="71"/>
      <c r="CS57" s="71"/>
      <c r="CT57" s="71"/>
      <c r="CU57" s="71"/>
      <c r="CV57" s="71"/>
      <c r="CW57" s="71"/>
      <c r="CX57" s="71"/>
      <c r="CY57" s="71"/>
      <c r="CZ57" s="71"/>
      <c r="DA57" s="71"/>
      <c r="DB57" s="71"/>
      <c r="DC57" s="74">
        <f t="shared" si="2"/>
        <v>55</v>
      </c>
      <c r="DD57">
        <v>100</v>
      </c>
      <c r="DE57">
        <v>10</v>
      </c>
      <c r="DF57">
        <v>5</v>
      </c>
    </row>
    <row r="58" spans="1:149" ht="15.6" thickTop="1" thickBot="1" x14ac:dyDescent="0.35">
      <c r="A58" s="62">
        <f t="shared" si="3"/>
        <v>56</v>
      </c>
      <c r="B58" s="62" t="s">
        <v>109</v>
      </c>
      <c r="C58" s="62" t="str">
        <f t="shared" si="0"/>
        <v xml:space="preserve">56: Stone content 1: oven-dry WHOLE sample &gt;  &gt;2mm stones </v>
      </c>
      <c r="D58" s="63">
        <f t="shared" si="4"/>
        <v>2</v>
      </c>
      <c r="E58" s="62">
        <v>1</v>
      </c>
      <c r="F58" s="62">
        <v>2</v>
      </c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4">
        <f t="shared" si="5"/>
        <v>2</v>
      </c>
      <c r="Z58" s="66" t="s">
        <v>212</v>
      </c>
      <c r="AA58" s="66" t="s">
        <v>211</v>
      </c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71" t="s">
        <v>443</v>
      </c>
      <c r="BE58" s="71" t="s">
        <v>439</v>
      </c>
      <c r="BF58" s="71" t="s">
        <v>440</v>
      </c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  <c r="CZ58" s="71"/>
      <c r="DA58" s="71"/>
      <c r="DB58" s="71"/>
      <c r="DC58" s="74">
        <f t="shared" si="2"/>
        <v>56</v>
      </c>
      <c r="DD58">
        <v>100</v>
      </c>
      <c r="DE58">
        <v>5</v>
      </c>
    </row>
    <row r="59" spans="1:149" ht="15.6" thickTop="1" thickBot="1" x14ac:dyDescent="0.35">
      <c r="A59" s="62">
        <f t="shared" si="3"/>
        <v>57</v>
      </c>
      <c r="B59" s="62" t="s">
        <v>110</v>
      </c>
      <c r="C59" s="62" t="str">
        <f t="shared" si="0"/>
        <v>57: Stone content 2: oven-dry &gt;2mm stones » &lt;2mm fine earth</v>
      </c>
      <c r="D59" s="63">
        <f t="shared" si="4"/>
        <v>2</v>
      </c>
      <c r="E59" s="62">
        <v>1</v>
      </c>
      <c r="F59" s="62">
        <v>3</v>
      </c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4">
        <f t="shared" si="5"/>
        <v>2</v>
      </c>
      <c r="Z59" s="66" t="s">
        <v>211</v>
      </c>
      <c r="AA59" s="66" t="s">
        <v>213</v>
      </c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71" t="s">
        <v>443</v>
      </c>
      <c r="BE59" s="71" t="s">
        <v>439</v>
      </c>
      <c r="BF59" s="71" t="s">
        <v>440</v>
      </c>
      <c r="BG59" s="71"/>
      <c r="BH59" s="71"/>
      <c r="BI59" s="71"/>
      <c r="BJ59" s="71"/>
      <c r="BK59" s="71"/>
      <c r="BL59" s="71"/>
      <c r="BM59" s="71"/>
      <c r="BN59" s="71"/>
      <c r="BO59" s="71"/>
      <c r="BP59" s="71"/>
      <c r="BQ59" s="71"/>
      <c r="BR59" s="71"/>
      <c r="BS59" s="71"/>
      <c r="BT59" s="71"/>
      <c r="BU59" s="71"/>
      <c r="BV59" s="71"/>
      <c r="BW59" s="71"/>
      <c r="BX59" s="71"/>
      <c r="BY59" s="71"/>
      <c r="BZ59" s="71"/>
      <c r="CA59" s="71"/>
      <c r="CB59" s="71"/>
      <c r="CC59" s="71"/>
      <c r="CD59" s="71"/>
      <c r="CE59" s="71"/>
      <c r="CF59" s="71"/>
      <c r="CG59" s="71"/>
      <c r="CH59" s="71"/>
      <c r="CI59" s="71"/>
      <c r="CJ59" s="71"/>
      <c r="CK59" s="71"/>
      <c r="CL59" s="71"/>
      <c r="CM59" s="71"/>
      <c r="CN59" s="71"/>
      <c r="CO59" s="71"/>
      <c r="CP59" s="71"/>
      <c r="CQ59" s="71"/>
      <c r="CR59" s="71"/>
      <c r="CS59" s="71"/>
      <c r="CT59" s="71"/>
      <c r="CU59" s="71"/>
      <c r="CV59" s="71"/>
      <c r="CW59" s="71"/>
      <c r="CX59" s="71"/>
      <c r="CY59" s="71"/>
      <c r="CZ59" s="71"/>
      <c r="DA59" s="71"/>
      <c r="DB59" s="71"/>
      <c r="DC59" s="74">
        <f t="shared" si="2"/>
        <v>57</v>
      </c>
      <c r="DD59">
        <v>100</v>
      </c>
      <c r="DE59">
        <v>5</v>
      </c>
    </row>
    <row r="60" spans="1:149" ht="15.6" thickTop="1" thickBot="1" x14ac:dyDescent="0.35">
      <c r="A60" s="62">
        <f t="shared" si="3"/>
        <v>58</v>
      </c>
      <c r="B60" s="62" t="s">
        <v>265</v>
      </c>
      <c r="C60" s="62" t="str">
        <f t="shared" si="0"/>
        <v xml:space="preserve">58: MT &gt;&amp;&lt; 2mm beakers &gt; dry reweigh &gt;&amp;&lt; 2mm material                   </v>
      </c>
      <c r="D60" s="63">
        <f t="shared" si="4"/>
        <v>2</v>
      </c>
      <c r="E60" s="62">
        <v>1</v>
      </c>
      <c r="F60" s="62">
        <v>3</v>
      </c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4">
        <f t="shared" si="5"/>
        <v>4</v>
      </c>
      <c r="Z60" s="66" t="s">
        <v>217</v>
      </c>
      <c r="AA60" s="66" t="s">
        <v>218</v>
      </c>
      <c r="AB60" s="66" t="s">
        <v>219</v>
      </c>
      <c r="AC60" s="66" t="s">
        <v>220</v>
      </c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75" t="s">
        <v>448</v>
      </c>
      <c r="BE60" s="71" t="s">
        <v>444</v>
      </c>
      <c r="BF60" s="71" t="s">
        <v>445</v>
      </c>
      <c r="BG60" s="71" t="s">
        <v>446</v>
      </c>
      <c r="BH60" s="71" t="s">
        <v>447</v>
      </c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/>
      <c r="BX60" s="71"/>
      <c r="BY60" s="71"/>
      <c r="BZ60" s="71"/>
      <c r="CA60" s="71"/>
      <c r="CB60" s="71"/>
      <c r="CC60" s="71"/>
      <c r="CD60" s="71"/>
      <c r="CE60" s="71"/>
      <c r="CF60" s="71"/>
      <c r="CG60" s="71"/>
      <c r="CH60" s="71"/>
      <c r="CI60" s="71"/>
      <c r="CJ60" s="71"/>
      <c r="CK60" s="71"/>
      <c r="CL60" s="71"/>
      <c r="CM60" s="71"/>
      <c r="CN60" s="71"/>
      <c r="CO60" s="71"/>
      <c r="CP60" s="71"/>
      <c r="CQ60" s="71"/>
      <c r="CR60" s="71"/>
      <c r="CS60" s="71"/>
      <c r="CT60" s="71"/>
      <c r="CU60" s="71"/>
      <c r="CV60" s="71"/>
      <c r="CW60" s="71"/>
      <c r="CX60" s="71"/>
      <c r="CY60" s="71"/>
      <c r="CZ60" s="71"/>
      <c r="DA60" s="71"/>
      <c r="DB60" s="71"/>
      <c r="DC60" s="74">
        <f t="shared" si="2"/>
        <v>58</v>
      </c>
      <c r="DD60">
        <v>100</v>
      </c>
      <c r="DE60">
        <v>100</v>
      </c>
      <c r="DF60">
        <v>110</v>
      </c>
      <c r="DG60">
        <v>105</v>
      </c>
    </row>
    <row r="61" spans="1:149" ht="15.6" thickTop="1" thickBot="1" x14ac:dyDescent="0.35">
      <c r="A61" s="62">
        <f t="shared" si="3"/>
        <v>59</v>
      </c>
      <c r="B61" s="62" t="s">
        <v>323</v>
      </c>
      <c r="C61" s="62" t="str">
        <f t="shared" si="0"/>
        <v xml:space="preserve">59: weight and shape (A/B/C axes lengths in CM )                                      </v>
      </c>
      <c r="D61" s="63">
        <f t="shared" si="4"/>
        <v>1</v>
      </c>
      <c r="E61" s="62">
        <v>1</v>
      </c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4">
        <f>COUNTA(Z61:BC61)</f>
        <v>4</v>
      </c>
      <c r="Z61" s="66" t="s">
        <v>251</v>
      </c>
      <c r="AA61" s="66" t="s">
        <v>252</v>
      </c>
      <c r="AB61" s="66" t="s">
        <v>253</v>
      </c>
      <c r="AC61" s="66" t="s">
        <v>254</v>
      </c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71" t="s">
        <v>432</v>
      </c>
      <c r="BE61" s="71" t="s">
        <v>441</v>
      </c>
      <c r="BF61" s="71"/>
      <c r="BG61" s="71"/>
      <c r="BH61" s="71"/>
      <c r="BI61" s="71"/>
      <c r="BJ61" s="71"/>
      <c r="BK61" s="71"/>
      <c r="BL61" s="71"/>
      <c r="BM61" s="71"/>
      <c r="BN61" s="71"/>
      <c r="BO61" s="71"/>
      <c r="BP61" s="71"/>
      <c r="BQ61" s="71"/>
      <c r="BR61" s="71"/>
      <c r="BS61" s="71"/>
      <c r="BT61" s="71"/>
      <c r="BU61" s="71"/>
      <c r="BV61" s="71"/>
      <c r="BW61" s="71"/>
      <c r="BX61" s="71"/>
      <c r="BY61" s="71"/>
      <c r="BZ61" s="71"/>
      <c r="CA61" s="71"/>
      <c r="CB61" s="71"/>
      <c r="CC61" s="71"/>
      <c r="CD61" s="71"/>
      <c r="CE61" s="71"/>
      <c r="CF61" s="71"/>
      <c r="CG61" s="71"/>
      <c r="CH61" s="71"/>
      <c r="CI61" s="71"/>
      <c r="CJ61" s="71"/>
      <c r="CK61" s="71"/>
      <c r="CL61" s="71"/>
      <c r="CM61" s="71"/>
      <c r="CN61" s="71"/>
      <c r="CO61" s="71"/>
      <c r="CP61" s="71"/>
      <c r="CQ61" s="71"/>
      <c r="CR61" s="71"/>
      <c r="CS61" s="71"/>
      <c r="CT61" s="71"/>
      <c r="CU61" s="71"/>
      <c r="CV61" s="71"/>
      <c r="CW61" s="71"/>
      <c r="CX61" s="71"/>
      <c r="CY61" s="71"/>
      <c r="CZ61" s="71"/>
      <c r="DA61" s="71"/>
      <c r="DB61" s="71"/>
      <c r="DC61" s="74">
        <f t="shared" si="2"/>
        <v>59</v>
      </c>
      <c r="DD61">
        <v>100</v>
      </c>
      <c r="DE61">
        <v>5</v>
      </c>
      <c r="DF61">
        <v>3</v>
      </c>
      <c r="DG61">
        <v>2</v>
      </c>
    </row>
    <row r="62" spans="1:149" ht="15.6" thickTop="1" thickBot="1" x14ac:dyDescent="0.35">
      <c r="A62" s="62">
        <f t="shared" si="3"/>
        <v>60</v>
      </c>
      <c r="B62" s="62" t="s">
        <v>121</v>
      </c>
      <c r="C62" s="62" t="str">
        <f t="shared" si="0"/>
        <v>60: IKmpsep @1mm 125um</v>
      </c>
      <c r="D62" s="63">
        <f t="shared" si="4"/>
        <v>2</v>
      </c>
      <c r="E62" s="62">
        <v>1</v>
      </c>
      <c r="F62" s="62">
        <v>3</v>
      </c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4">
        <f t="shared" si="5"/>
        <v>4</v>
      </c>
      <c r="Z62" s="66" t="s">
        <v>255</v>
      </c>
      <c r="AA62" s="66" t="s">
        <v>256</v>
      </c>
      <c r="AB62" s="66" t="s">
        <v>257</v>
      </c>
      <c r="AC62" s="66" t="s">
        <v>258</v>
      </c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71"/>
      <c r="BE62" s="71"/>
      <c r="BF62" s="71"/>
      <c r="BG62" s="71"/>
      <c r="BH62" s="71"/>
      <c r="BI62" s="71"/>
      <c r="BJ62" s="71"/>
      <c r="BK62" s="71"/>
      <c r="BL62" s="71"/>
      <c r="BM62" s="71"/>
      <c r="BN62" s="71"/>
      <c r="BO62" s="71"/>
      <c r="BP62" s="71"/>
      <c r="BQ62" s="71"/>
      <c r="BR62" s="71"/>
      <c r="BS62" s="71"/>
      <c r="BT62" s="71"/>
      <c r="BU62" s="71"/>
      <c r="BV62" s="71"/>
      <c r="BW62" s="71"/>
      <c r="BX62" s="71"/>
      <c r="BY62" s="71"/>
      <c r="BZ62" s="71"/>
      <c r="CA62" s="71"/>
      <c r="CB62" s="71"/>
      <c r="CC62" s="71"/>
      <c r="CD62" s="71"/>
      <c r="CE62" s="71"/>
      <c r="CF62" s="71"/>
      <c r="CG62" s="71"/>
      <c r="CH62" s="71"/>
      <c r="CI62" s="71"/>
      <c r="CJ62" s="71"/>
      <c r="CK62" s="71"/>
      <c r="CL62" s="71"/>
      <c r="CM62" s="71"/>
      <c r="CN62" s="71"/>
      <c r="CO62" s="71"/>
      <c r="CP62" s="71"/>
      <c r="CQ62" s="71"/>
      <c r="CR62" s="71"/>
      <c r="CS62" s="71"/>
      <c r="CT62" s="71"/>
      <c r="CU62" s="71"/>
      <c r="CV62" s="71"/>
      <c r="CW62" s="71"/>
      <c r="CX62" s="71"/>
      <c r="CY62" s="71"/>
      <c r="CZ62" s="71"/>
      <c r="DA62" s="71"/>
      <c r="DB62" s="71"/>
      <c r="DC62" s="74">
        <f t="shared" si="2"/>
        <v>60</v>
      </c>
    </row>
    <row r="63" spans="1:149" ht="15.6" thickTop="1" thickBot="1" x14ac:dyDescent="0.35">
      <c r="A63" s="62">
        <f t="shared" si="3"/>
        <v>61</v>
      </c>
      <c r="B63" s="62" t="s">
        <v>122</v>
      </c>
      <c r="C63" s="62" t="str">
        <f t="shared" si="0"/>
        <v>61: IK wet subsamples syr-sry+sed-vol-smsamp</v>
      </c>
      <c r="D63" s="63">
        <f t="shared" si="4"/>
        <v>1</v>
      </c>
      <c r="E63" s="62">
        <v>1</v>
      </c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4">
        <f t="shared" si="5"/>
        <v>4</v>
      </c>
      <c r="Z63" s="66" t="s">
        <v>259</v>
      </c>
      <c r="AA63" s="66" t="s">
        <v>260</v>
      </c>
      <c r="AB63" s="66" t="s">
        <v>261</v>
      </c>
      <c r="AC63" s="66" t="s">
        <v>262</v>
      </c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71"/>
      <c r="BE63" s="71"/>
      <c r="BF63" s="71"/>
      <c r="BG63" s="71"/>
      <c r="BH63" s="71"/>
      <c r="BI63" s="71"/>
      <c r="BJ63" s="71"/>
      <c r="BK63" s="71"/>
      <c r="BL63" s="71"/>
      <c r="BM63" s="71"/>
      <c r="BN63" s="71"/>
      <c r="BO63" s="71"/>
      <c r="BP63" s="71"/>
      <c r="BQ63" s="71"/>
      <c r="BR63" s="71"/>
      <c r="BS63" s="71"/>
      <c r="BT63" s="71"/>
      <c r="BU63" s="71"/>
      <c r="BV63" s="71"/>
      <c r="BW63" s="71"/>
      <c r="BX63" s="71"/>
      <c r="BY63" s="71"/>
      <c r="BZ63" s="71"/>
      <c r="CA63" s="71"/>
      <c r="CB63" s="71"/>
      <c r="CC63" s="71"/>
      <c r="CD63" s="71"/>
      <c r="CE63" s="71"/>
      <c r="CF63" s="71"/>
      <c r="CG63" s="71"/>
      <c r="CH63" s="71"/>
      <c r="CI63" s="71"/>
      <c r="CJ63" s="71"/>
      <c r="CK63" s="71"/>
      <c r="CL63" s="71"/>
      <c r="CM63" s="71"/>
      <c r="CN63" s="71"/>
      <c r="CO63" s="71"/>
      <c r="CP63" s="71"/>
      <c r="CQ63" s="71"/>
      <c r="CR63" s="71"/>
      <c r="CS63" s="71"/>
      <c r="CT63" s="71"/>
      <c r="CU63" s="71"/>
      <c r="CV63" s="71"/>
      <c r="CW63" s="71"/>
      <c r="CX63" s="71"/>
      <c r="CY63" s="71"/>
      <c r="CZ63" s="71"/>
      <c r="DA63" s="71"/>
      <c r="DB63" s="71"/>
      <c r="DC63" s="74">
        <f t="shared" si="2"/>
        <v>61</v>
      </c>
    </row>
    <row r="64" spans="1:149" ht="15.6" thickTop="1" thickBot="1" x14ac:dyDescent="0.35">
      <c r="A64" s="62">
        <f t="shared" si="3"/>
        <v>62</v>
      </c>
      <c r="B64" s="100" t="s">
        <v>644</v>
      </c>
      <c r="C64" s="62" t="str">
        <f t="shared" si="0"/>
        <v>62: Labcell soil core &gt; dry &gt; ring &gt; Stones &gt; LOI = %SM, DB, LOI (Vol=248.82)</v>
      </c>
      <c r="D64" s="63">
        <f t="shared" si="4"/>
        <v>7</v>
      </c>
      <c r="E64" s="62">
        <v>1</v>
      </c>
      <c r="F64" s="62">
        <v>2</v>
      </c>
      <c r="G64" s="62">
        <v>3</v>
      </c>
      <c r="H64" s="62">
        <v>4</v>
      </c>
      <c r="I64" s="62">
        <v>5</v>
      </c>
      <c r="J64" s="62">
        <v>6</v>
      </c>
      <c r="K64" s="62">
        <v>7</v>
      </c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4">
        <f t="shared" si="5"/>
        <v>7</v>
      </c>
      <c r="Z64" s="66" t="s">
        <v>513</v>
      </c>
      <c r="AA64" s="66" t="s">
        <v>514</v>
      </c>
      <c r="AB64" s="66" t="s">
        <v>515</v>
      </c>
      <c r="AC64" s="103" t="s">
        <v>645</v>
      </c>
      <c r="AD64" s="66" t="s">
        <v>516</v>
      </c>
      <c r="AE64" s="66" t="s">
        <v>517</v>
      </c>
      <c r="AF64" s="66" t="s">
        <v>518</v>
      </c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71" t="s">
        <v>519</v>
      </c>
      <c r="BE64" s="71" t="s">
        <v>520</v>
      </c>
      <c r="BF64" t="s">
        <v>525</v>
      </c>
      <c r="BG64" s="75" t="s">
        <v>646</v>
      </c>
      <c r="BH64" s="71" t="s">
        <v>521</v>
      </c>
      <c r="BI64" s="71" t="s">
        <v>522</v>
      </c>
      <c r="BJ64" s="75" t="s">
        <v>527</v>
      </c>
      <c r="BK64" s="71" t="s">
        <v>523</v>
      </c>
      <c r="BL64" s="71" t="s">
        <v>524</v>
      </c>
      <c r="BM64" s="71" t="s">
        <v>526</v>
      </c>
      <c r="BN64" s="75" t="s">
        <v>647</v>
      </c>
      <c r="BO64" s="71"/>
      <c r="BP64" s="71"/>
      <c r="BQ64" s="71"/>
      <c r="BR64" s="71"/>
      <c r="BS64" s="71"/>
      <c r="BT64" s="71"/>
      <c r="BU64" s="71"/>
      <c r="BV64" s="71"/>
      <c r="BW64" s="71"/>
      <c r="BX64" s="71"/>
      <c r="BY64" s="71"/>
      <c r="BZ64" s="71"/>
      <c r="CA64" s="71"/>
      <c r="CB64" s="71"/>
      <c r="CC64" s="71"/>
      <c r="CD64" s="71"/>
      <c r="CE64" s="71"/>
      <c r="CF64" s="71"/>
      <c r="CG64" s="71"/>
      <c r="CH64" s="71"/>
      <c r="CI64" s="71"/>
      <c r="CJ64" s="71"/>
      <c r="CK64" s="71"/>
      <c r="CL64" s="71"/>
      <c r="CM64" s="71"/>
      <c r="CN64" s="71"/>
      <c r="CO64" s="71"/>
      <c r="CP64" s="71"/>
      <c r="CQ64" s="71"/>
      <c r="CR64" s="71"/>
      <c r="CS64" s="71"/>
      <c r="CT64" s="71"/>
      <c r="CU64" s="71"/>
      <c r="CV64" s="71"/>
      <c r="CW64" s="71"/>
      <c r="CX64" s="71"/>
      <c r="CY64" s="71"/>
      <c r="CZ64" s="71"/>
      <c r="DA64" s="71"/>
      <c r="DB64" s="71"/>
      <c r="DC64" s="74">
        <f t="shared" si="2"/>
        <v>62</v>
      </c>
      <c r="DD64">
        <v>100</v>
      </c>
      <c r="DE64">
        <v>80</v>
      </c>
      <c r="DF64">
        <v>10</v>
      </c>
      <c r="DG64">
        <v>5</v>
      </c>
      <c r="DH64">
        <v>15</v>
      </c>
      <c r="DI64">
        <v>20</v>
      </c>
      <c r="DJ64">
        <v>18</v>
      </c>
      <c r="EH64">
        <f>DD64-DF64</f>
        <v>90</v>
      </c>
      <c r="EI64">
        <f>DE64-DF64</f>
        <v>70</v>
      </c>
      <c r="EJ64">
        <f>EH64-EI64</f>
        <v>20</v>
      </c>
      <c r="EK64">
        <f>DG64-3.33526</f>
        <v>1.6647400000000001</v>
      </c>
      <c r="EL64">
        <f>DI64-DH64</f>
        <v>5</v>
      </c>
      <c r="EM64">
        <f>DJ64-DH64</f>
        <v>3</v>
      </c>
      <c r="EN64">
        <f>EL64-EM64</f>
        <v>2</v>
      </c>
      <c r="EO64" s="90">
        <f>EJ64/EH64*100</f>
        <v>22.222222222222221</v>
      </c>
      <c r="EP64" s="90" t="e">
        <f>EI64/VALUE(MID($A$1,FIND("Vol=",$A$1)+4,LEN($A$1)-(FIND("Vol=",$A$1)+4)))</f>
        <v>#VALUE!</v>
      </c>
      <c r="EQ64" s="80">
        <f>EN64/EL64*100</f>
        <v>40</v>
      </c>
      <c r="ER64">
        <f>EK64/EI64*100</f>
        <v>2.3782000000000001</v>
      </c>
    </row>
    <row r="65" spans="1:153" ht="15.6" thickTop="1" thickBot="1" x14ac:dyDescent="0.35">
      <c r="A65" s="62">
        <f t="shared" si="3"/>
        <v>63</v>
      </c>
      <c r="B65" s="100" t="s">
        <v>648</v>
      </c>
      <c r="C65" s="62" t="str">
        <f t="shared" si="0"/>
        <v>63: UK pitman Soil core &gt; dry &gt; ring &gt; Stones &gt; LOI = %SM, DB, LOI (Vol=219.34)</v>
      </c>
      <c r="D65" s="63">
        <f t="shared" si="4"/>
        <v>7</v>
      </c>
      <c r="E65" s="62">
        <v>1</v>
      </c>
      <c r="F65" s="62">
        <v>2</v>
      </c>
      <c r="G65" s="62">
        <v>3</v>
      </c>
      <c r="H65" s="62">
        <v>4</v>
      </c>
      <c r="I65" s="62">
        <v>5</v>
      </c>
      <c r="J65" s="62">
        <v>6</v>
      </c>
      <c r="K65" s="62">
        <v>7</v>
      </c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4">
        <f t="shared" si="5"/>
        <v>7</v>
      </c>
      <c r="Z65" s="66" t="s">
        <v>513</v>
      </c>
      <c r="AA65" s="66" t="s">
        <v>514</v>
      </c>
      <c r="AB65" s="66" t="s">
        <v>515</v>
      </c>
      <c r="AC65" s="103" t="s">
        <v>645</v>
      </c>
      <c r="AD65" s="66" t="s">
        <v>516</v>
      </c>
      <c r="AE65" s="66" t="s">
        <v>517</v>
      </c>
      <c r="AF65" s="66" t="s">
        <v>518</v>
      </c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71" t="s">
        <v>519</v>
      </c>
      <c r="BE65" s="71" t="s">
        <v>520</v>
      </c>
      <c r="BF65" t="s">
        <v>525</v>
      </c>
      <c r="BG65" s="75" t="s">
        <v>646</v>
      </c>
      <c r="BH65" s="71" t="s">
        <v>521</v>
      </c>
      <c r="BI65" s="71" t="s">
        <v>522</v>
      </c>
      <c r="BJ65" s="75" t="s">
        <v>527</v>
      </c>
      <c r="BK65" s="71" t="s">
        <v>523</v>
      </c>
      <c r="BL65" s="71" t="s">
        <v>524</v>
      </c>
      <c r="BM65" s="71" t="s">
        <v>526</v>
      </c>
      <c r="BN65" s="75" t="s">
        <v>647</v>
      </c>
      <c r="BO65" s="71"/>
      <c r="BP65" s="71"/>
      <c r="BQ65" s="71"/>
      <c r="BR65" s="71"/>
      <c r="BS65" s="71"/>
      <c r="BT65" s="71"/>
      <c r="BU65" s="71"/>
      <c r="BV65" s="71"/>
      <c r="BW65" s="71"/>
      <c r="BX65" s="71"/>
      <c r="BY65" s="71"/>
      <c r="BZ65" s="71"/>
      <c r="CA65" s="71"/>
      <c r="CB65" s="71"/>
      <c r="CC65" s="71"/>
      <c r="CD65" s="71"/>
      <c r="CE65" s="71"/>
      <c r="CF65" s="71"/>
      <c r="CG65" s="71"/>
      <c r="CH65" s="71"/>
      <c r="CI65" s="71"/>
      <c r="CJ65" s="71"/>
      <c r="CK65" s="71"/>
      <c r="CL65" s="71"/>
      <c r="CM65" s="71"/>
      <c r="CN65" s="71"/>
      <c r="CO65" s="71"/>
      <c r="CP65" s="71"/>
      <c r="CQ65" s="71"/>
      <c r="CR65" s="71"/>
      <c r="CS65" s="71"/>
      <c r="CT65" s="71"/>
      <c r="CU65" s="71"/>
      <c r="CV65" s="71"/>
      <c r="CW65" s="71"/>
      <c r="CX65" s="71"/>
      <c r="CY65" s="71"/>
      <c r="CZ65" s="71"/>
      <c r="DA65" s="71"/>
      <c r="DB65" s="71"/>
      <c r="DC65" s="74">
        <f t="shared" si="2"/>
        <v>63</v>
      </c>
      <c r="DD65">
        <v>100</v>
      </c>
      <c r="DE65">
        <v>80</v>
      </c>
      <c r="DF65">
        <v>10</v>
      </c>
      <c r="DG65">
        <v>5</v>
      </c>
      <c r="DH65">
        <v>15</v>
      </c>
      <c r="DI65">
        <v>20</v>
      </c>
      <c r="DJ65">
        <v>18</v>
      </c>
      <c r="EH65">
        <f t="shared" ref="EH65" si="165">DD65-DF65</f>
        <v>90</v>
      </c>
      <c r="EI65">
        <f t="shared" ref="EI65" si="166">DE65-DF65</f>
        <v>70</v>
      </c>
      <c r="EJ65">
        <f t="shared" ref="EJ65" si="167">EH65-EI65</f>
        <v>20</v>
      </c>
      <c r="EK65">
        <f>DG65-3.33526</f>
        <v>1.6647400000000001</v>
      </c>
      <c r="EL65">
        <f>DI65-DH65</f>
        <v>5</v>
      </c>
      <c r="EM65">
        <f>DJ65-DH65</f>
        <v>3</v>
      </c>
      <c r="EN65">
        <f>EL65-EM65</f>
        <v>2</v>
      </c>
      <c r="EO65" s="90">
        <f>EJ65/EH65*100</f>
        <v>22.222222222222221</v>
      </c>
      <c r="EP65" s="90" t="e">
        <f>EI65/VALUE(MID($A$1,FIND("Vol=",$A$1)+4,LEN($A$1)-(FIND("Vol=",$A$1)+4)))</f>
        <v>#VALUE!</v>
      </c>
      <c r="EQ65" s="80">
        <f>EN65/EL65*100</f>
        <v>40</v>
      </c>
      <c r="ER65">
        <f>EK65/EI65*100</f>
        <v>2.3782000000000001</v>
      </c>
    </row>
    <row r="66" spans="1:153" ht="15.6" thickTop="1" thickBot="1" x14ac:dyDescent="0.35">
      <c r="A66" s="62">
        <f t="shared" si="3"/>
        <v>64</v>
      </c>
      <c r="B66" s="100" t="s">
        <v>551</v>
      </c>
      <c r="C66" s="62" t="str">
        <f t="shared" ref="C66:C102" si="168">CONCATENATE(A66,": ",B66)</f>
        <v>64: US pitman Soil core &gt; dry &gt; ring &gt; LOI = %SM, DB, LOI (Vol=68.20)</v>
      </c>
      <c r="D66" s="63">
        <f t="shared" si="4"/>
        <v>6</v>
      </c>
      <c r="E66" s="62">
        <v>1</v>
      </c>
      <c r="F66" s="62">
        <v>2</v>
      </c>
      <c r="G66" s="62">
        <v>3</v>
      </c>
      <c r="H66" s="62">
        <v>4</v>
      </c>
      <c r="I66" s="62">
        <v>5</v>
      </c>
      <c r="J66" s="62">
        <v>6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4">
        <f t="shared" si="5"/>
        <v>6</v>
      </c>
      <c r="Z66" s="66" t="s">
        <v>513</v>
      </c>
      <c r="AA66" s="66" t="s">
        <v>514</v>
      </c>
      <c r="AB66" s="66" t="s">
        <v>515</v>
      </c>
      <c r="AC66" s="66" t="s">
        <v>516</v>
      </c>
      <c r="AD66" s="66" t="s">
        <v>517</v>
      </c>
      <c r="AE66" s="66" t="s">
        <v>518</v>
      </c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71" t="s">
        <v>519</v>
      </c>
      <c r="BE66" s="71" t="s">
        <v>520</v>
      </c>
      <c r="BF66" t="s">
        <v>525</v>
      </c>
      <c r="BG66" s="71" t="s">
        <v>521</v>
      </c>
      <c r="BH66" s="71" t="s">
        <v>522</v>
      </c>
      <c r="BI66" s="75" t="s">
        <v>527</v>
      </c>
      <c r="BJ66" s="71" t="s">
        <v>523</v>
      </c>
      <c r="BK66" s="71" t="s">
        <v>524</v>
      </c>
      <c r="BL66" s="71" t="s">
        <v>526</v>
      </c>
      <c r="BM66" s="71"/>
      <c r="BN66" s="71"/>
      <c r="BO66" s="71"/>
      <c r="BP66" s="71"/>
      <c r="BQ66" s="71"/>
      <c r="BR66" s="71"/>
      <c r="BS66" s="71"/>
      <c r="BT66" s="71"/>
      <c r="BU66" s="71"/>
      <c r="BV66" s="71"/>
      <c r="BW66" s="71"/>
      <c r="BX66" s="71"/>
      <c r="BY66" s="71"/>
      <c r="BZ66" s="71"/>
      <c r="CA66" s="71"/>
      <c r="CB66" s="71"/>
      <c r="CC66" s="71"/>
      <c r="CD66" s="71"/>
      <c r="CE66" s="71"/>
      <c r="CF66" s="71"/>
      <c r="CG66" s="71"/>
      <c r="CH66" s="71"/>
      <c r="CI66" s="71"/>
      <c r="CJ66" s="71"/>
      <c r="CK66" s="71"/>
      <c r="CL66" s="71"/>
      <c r="CM66" s="71"/>
      <c r="CN66" s="71"/>
      <c r="CO66" s="71"/>
      <c r="CP66" s="71"/>
      <c r="CQ66" s="71"/>
      <c r="CR66" s="71"/>
      <c r="CS66" s="71"/>
      <c r="CT66" s="71"/>
      <c r="CU66" s="71"/>
      <c r="CV66" s="71"/>
      <c r="CW66" s="71"/>
      <c r="CX66" s="71"/>
      <c r="CY66" s="71"/>
      <c r="CZ66" s="71"/>
      <c r="DA66" s="71"/>
      <c r="DB66" s="71"/>
      <c r="DC66" s="74">
        <f t="shared" ref="DC66:DC123" si="169">A66</f>
        <v>64</v>
      </c>
      <c r="DD66">
        <v>100</v>
      </c>
      <c r="DE66">
        <v>80</v>
      </c>
      <c r="DF66">
        <v>10</v>
      </c>
      <c r="DG66">
        <v>15</v>
      </c>
      <c r="DH66">
        <v>20</v>
      </c>
      <c r="DI66">
        <v>18</v>
      </c>
      <c r="EH66">
        <f t="shared" ref="EH66" si="170">DD66-DF66</f>
        <v>90</v>
      </c>
      <c r="EI66">
        <f t="shared" ref="EI66" si="171">DE66-DF66</f>
        <v>70</v>
      </c>
      <c r="EJ66">
        <f t="shared" ref="EJ66" si="172">EH66-EI66</f>
        <v>20</v>
      </c>
      <c r="EK66">
        <f t="shared" ref="EK66:EK67" si="173">DH66-DG66</f>
        <v>5</v>
      </c>
      <c r="EL66">
        <f t="shared" ref="EL66:EL67" si="174">DI66-DG66</f>
        <v>3</v>
      </c>
      <c r="EM66">
        <f t="shared" ref="EM66:EM67" si="175">EK66-EL66</f>
        <v>2</v>
      </c>
      <c r="EN66" s="90">
        <f t="shared" ref="EN66:EN67" si="176">EJ66/EH66*100</f>
        <v>22.222222222222221</v>
      </c>
      <c r="EO66" s="90" t="e">
        <f t="shared" ref="EO66:EO67" si="177">EI66/VALUE(MID($A$1,FIND("Vol=",$A$1)+4,LEN($A$1)-(FIND("Vol=",$A$1)+4)))</f>
        <v>#VALUE!</v>
      </c>
      <c r="EP66" s="80">
        <f t="shared" ref="EP66:EP67" si="178">EM66/EK66*100</f>
        <v>40</v>
      </c>
    </row>
    <row r="67" spans="1:153" ht="15.6" thickTop="1" thickBot="1" x14ac:dyDescent="0.35">
      <c r="A67" s="62">
        <f t="shared" si="3"/>
        <v>65</v>
      </c>
      <c r="B67" s="100" t="s">
        <v>553</v>
      </c>
      <c r="C67" s="62" t="str">
        <f t="shared" si="168"/>
        <v>65: fixed vol shallow sample &gt; dry &gt; LOI = %SM, DB, LOI (Vol=76.97)</v>
      </c>
      <c r="D67" s="63">
        <f t="shared" si="4"/>
        <v>5</v>
      </c>
      <c r="E67" s="62">
        <v>1</v>
      </c>
      <c r="F67" s="62">
        <v>3</v>
      </c>
      <c r="G67" s="62">
        <v>4</v>
      </c>
      <c r="H67" s="62">
        <v>5</v>
      </c>
      <c r="I67" s="62">
        <v>6</v>
      </c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4">
        <f t="shared" si="5"/>
        <v>6</v>
      </c>
      <c r="Z67" s="66" t="s">
        <v>529</v>
      </c>
      <c r="AA67" s="66" t="s">
        <v>531</v>
      </c>
      <c r="AB67" s="66" t="s">
        <v>530</v>
      </c>
      <c r="AC67" s="66" t="s">
        <v>516</v>
      </c>
      <c r="AD67" s="66" t="s">
        <v>517</v>
      </c>
      <c r="AE67" s="66" t="s">
        <v>518</v>
      </c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71" t="s">
        <v>519</v>
      </c>
      <c r="BE67" s="71" t="s">
        <v>520</v>
      </c>
      <c r="BF67" t="s">
        <v>525</v>
      </c>
      <c r="BG67" s="71" t="s">
        <v>521</v>
      </c>
      <c r="BH67" s="71" t="s">
        <v>522</v>
      </c>
      <c r="BI67" s="75" t="s">
        <v>527</v>
      </c>
      <c r="BJ67" s="71" t="s">
        <v>523</v>
      </c>
      <c r="BK67" s="71" t="s">
        <v>524</v>
      </c>
      <c r="BL67" s="71" t="s">
        <v>526</v>
      </c>
      <c r="BM67" s="71"/>
      <c r="BN67" s="71"/>
      <c r="BO67" s="71"/>
      <c r="BP67" s="71"/>
      <c r="BQ67" s="71"/>
      <c r="BR67" s="71"/>
      <c r="BS67" s="71"/>
      <c r="BT67" s="71"/>
      <c r="BU67" s="71"/>
      <c r="BV67" s="71"/>
      <c r="BW67" s="71"/>
      <c r="BX67" s="71"/>
      <c r="BY67" s="71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1"/>
      <c r="CK67" s="71"/>
      <c r="CL67" s="71"/>
      <c r="CM67" s="71"/>
      <c r="CN67" s="71"/>
      <c r="CO67" s="71"/>
      <c r="CP67" s="71"/>
      <c r="CQ67" s="71"/>
      <c r="CR67" s="71"/>
      <c r="CS67" s="71"/>
      <c r="CT67" s="71"/>
      <c r="CU67" s="71"/>
      <c r="CV67" s="71"/>
      <c r="CW67" s="71"/>
      <c r="CX67" s="71"/>
      <c r="CY67" s="71"/>
      <c r="CZ67" s="71"/>
      <c r="DA67" s="71"/>
      <c r="DB67" s="71"/>
      <c r="DC67" s="74">
        <f t="shared" si="169"/>
        <v>65</v>
      </c>
      <c r="DD67">
        <v>10</v>
      </c>
      <c r="DE67">
        <v>100</v>
      </c>
      <c r="DF67">
        <v>80</v>
      </c>
      <c r="DG67">
        <v>15</v>
      </c>
      <c r="DH67">
        <v>20</v>
      </c>
      <c r="DI67">
        <v>18</v>
      </c>
      <c r="EH67">
        <f>DE67-DD67</f>
        <v>90</v>
      </c>
      <c r="EI67">
        <f>DF67-DD67</f>
        <v>70</v>
      </c>
      <c r="EJ67">
        <f>EH67-EI67</f>
        <v>20</v>
      </c>
      <c r="EK67">
        <f t="shared" si="173"/>
        <v>5</v>
      </c>
      <c r="EL67">
        <f t="shared" si="174"/>
        <v>3</v>
      </c>
      <c r="EM67">
        <f t="shared" si="175"/>
        <v>2</v>
      </c>
      <c r="EN67" s="90">
        <f t="shared" si="176"/>
        <v>22.222222222222221</v>
      </c>
      <c r="EO67" s="90" t="e">
        <f t="shared" si="177"/>
        <v>#VALUE!</v>
      </c>
      <c r="EP67" s="80">
        <f t="shared" si="178"/>
        <v>40</v>
      </c>
    </row>
    <row r="68" spans="1:153" ht="15.6" thickTop="1" thickBot="1" x14ac:dyDescent="0.35">
      <c r="A68" s="62">
        <f t="shared" ref="A68:A102" si="179">A67+1</f>
        <v>66</v>
      </c>
      <c r="B68" s="100" t="s">
        <v>555</v>
      </c>
      <c r="C68" s="62" t="str">
        <f t="shared" si="168"/>
        <v>66: fixed vol deep sample &gt; dry &gt; LOI = %SM, DB, LOI (Vol=192.42)</v>
      </c>
      <c r="D68" s="63">
        <f t="shared" ref="D68:D102" si="180">COUNT(E68:X68)</f>
        <v>5</v>
      </c>
      <c r="E68" s="62">
        <v>1</v>
      </c>
      <c r="F68" s="62">
        <v>3</v>
      </c>
      <c r="G68" s="62">
        <v>4</v>
      </c>
      <c r="H68" s="62">
        <v>5</v>
      </c>
      <c r="I68" s="62">
        <v>6</v>
      </c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4">
        <f t="shared" si="5"/>
        <v>6</v>
      </c>
      <c r="Z68" s="66" t="s">
        <v>529</v>
      </c>
      <c r="AA68" s="66" t="s">
        <v>531</v>
      </c>
      <c r="AB68" s="66" t="s">
        <v>530</v>
      </c>
      <c r="AC68" s="66" t="s">
        <v>516</v>
      </c>
      <c r="AD68" s="66" t="s">
        <v>517</v>
      </c>
      <c r="AE68" s="66" t="s">
        <v>518</v>
      </c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71" t="s">
        <v>519</v>
      </c>
      <c r="BE68" s="71" t="s">
        <v>520</v>
      </c>
      <c r="BF68" t="s">
        <v>525</v>
      </c>
      <c r="BG68" s="71" t="s">
        <v>521</v>
      </c>
      <c r="BH68" s="71" t="s">
        <v>522</v>
      </c>
      <c r="BI68" s="75" t="s">
        <v>527</v>
      </c>
      <c r="BJ68" s="71" t="s">
        <v>523</v>
      </c>
      <c r="BK68" s="71" t="s">
        <v>524</v>
      </c>
      <c r="BL68" s="71" t="s">
        <v>526</v>
      </c>
      <c r="BM68" s="71"/>
      <c r="BN68" s="71"/>
      <c r="BO68" s="71"/>
      <c r="BP68" s="71"/>
      <c r="BQ68" s="71"/>
      <c r="BR68" s="71"/>
      <c r="BS68" s="71"/>
      <c r="BT68" s="71"/>
      <c r="BU68" s="71"/>
      <c r="BV68" s="71"/>
      <c r="BW68" s="71"/>
      <c r="BX68" s="71"/>
      <c r="BY68" s="71"/>
      <c r="BZ68" s="71"/>
      <c r="CA68" s="71"/>
      <c r="CB68" s="71"/>
      <c r="CC68" s="71"/>
      <c r="CD68" s="71"/>
      <c r="CE68" s="71"/>
      <c r="CF68" s="71"/>
      <c r="CG68" s="71"/>
      <c r="CH68" s="71"/>
      <c r="CI68" s="71"/>
      <c r="CJ68" s="71"/>
      <c r="CK68" s="71"/>
      <c r="CL68" s="71"/>
      <c r="CM68" s="71"/>
      <c r="CN68" s="71"/>
      <c r="CO68" s="71"/>
      <c r="CP68" s="71"/>
      <c r="CQ68" s="71"/>
      <c r="CR68" s="71"/>
      <c r="CS68" s="71"/>
      <c r="CT68" s="71"/>
      <c r="CU68" s="71"/>
      <c r="CV68" s="71"/>
      <c r="CW68" s="71"/>
      <c r="CX68" s="71"/>
      <c r="CY68" s="71"/>
      <c r="CZ68" s="71"/>
      <c r="DA68" s="71"/>
      <c r="DB68" s="71"/>
      <c r="DC68" s="74">
        <f t="shared" si="169"/>
        <v>66</v>
      </c>
      <c r="DD68">
        <v>10</v>
      </c>
      <c r="DE68">
        <v>100</v>
      </c>
      <c r="DF68">
        <v>80</v>
      </c>
      <c r="DG68">
        <v>15</v>
      </c>
      <c r="DH68">
        <v>20</v>
      </c>
      <c r="DI68">
        <v>18</v>
      </c>
      <c r="EH68">
        <f t="shared" ref="EH68:EH70" si="181">DE68-DD68</f>
        <v>90</v>
      </c>
      <c r="EI68">
        <f t="shared" ref="EI68:EI70" si="182">DF68-DD68</f>
        <v>70</v>
      </c>
      <c r="EJ68">
        <f t="shared" ref="EJ68:EJ70" si="183">EH68-EI68</f>
        <v>20</v>
      </c>
      <c r="EK68">
        <f t="shared" ref="EK68:EK70" si="184">DH68-DG68</f>
        <v>5</v>
      </c>
      <c r="EL68">
        <f t="shared" ref="EL68:EL70" si="185">DI68-DG68</f>
        <v>3</v>
      </c>
      <c r="EM68">
        <f t="shared" ref="EM68:EM70" si="186">EK68-EL68</f>
        <v>2</v>
      </c>
      <c r="EN68" s="90">
        <f t="shared" ref="EN68:EN70" si="187">EJ68/EH68*100</f>
        <v>22.222222222222221</v>
      </c>
      <c r="EO68" s="90" t="e">
        <f t="shared" ref="EO68:EO70" si="188">EI68/VALUE(MID($A$1,FIND("Vol=",$A$1)+4,LEN($A$1)-(FIND("Vol=",$A$1)+4)))</f>
        <v>#VALUE!</v>
      </c>
      <c r="EP68" s="80">
        <f t="shared" ref="EP68:EP70" si="189">EM68/EK68*100</f>
        <v>40</v>
      </c>
    </row>
    <row r="69" spans="1:153" ht="15.6" thickTop="1" thickBot="1" x14ac:dyDescent="0.35">
      <c r="A69" s="62">
        <f t="shared" si="179"/>
        <v>67</v>
      </c>
      <c r="B69" s="100" t="s">
        <v>556</v>
      </c>
      <c r="C69" s="62" t="str">
        <f t="shared" si="168"/>
        <v>67:  fixed vol new sample &gt; dry &gt; LOI = %SM, DB, LOI (Vol=192.42)</v>
      </c>
      <c r="D69" s="63">
        <f t="shared" si="180"/>
        <v>5</v>
      </c>
      <c r="E69" s="62">
        <v>1</v>
      </c>
      <c r="F69" s="62">
        <v>3</v>
      </c>
      <c r="G69" s="62">
        <v>4</v>
      </c>
      <c r="H69" s="62">
        <v>5</v>
      </c>
      <c r="I69" s="62">
        <v>6</v>
      </c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4">
        <f t="shared" ref="Y69:Y100" si="190">COUNTA(Z69:BC69)</f>
        <v>6</v>
      </c>
      <c r="Z69" s="66" t="s">
        <v>529</v>
      </c>
      <c r="AA69" s="66" t="s">
        <v>531</v>
      </c>
      <c r="AB69" s="66" t="s">
        <v>530</v>
      </c>
      <c r="AC69" s="66" t="s">
        <v>516</v>
      </c>
      <c r="AD69" s="66" t="s">
        <v>517</v>
      </c>
      <c r="AE69" s="66" t="s">
        <v>518</v>
      </c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71" t="s">
        <v>519</v>
      </c>
      <c r="BE69" s="71" t="s">
        <v>520</v>
      </c>
      <c r="BF69" t="s">
        <v>525</v>
      </c>
      <c r="BG69" s="71" t="s">
        <v>521</v>
      </c>
      <c r="BH69" s="71" t="s">
        <v>522</v>
      </c>
      <c r="BI69" s="75" t="s">
        <v>527</v>
      </c>
      <c r="BJ69" s="71" t="s">
        <v>523</v>
      </c>
      <c r="BK69" s="71" t="s">
        <v>524</v>
      </c>
      <c r="BL69" s="71" t="s">
        <v>526</v>
      </c>
      <c r="BM69" s="71"/>
      <c r="BN69" s="71"/>
      <c r="BO69" s="71"/>
      <c r="BP69" s="71"/>
      <c r="BQ69" s="71"/>
      <c r="BR69" s="71"/>
      <c r="BS69" s="71"/>
      <c r="BT69" s="71"/>
      <c r="BU69" s="71"/>
      <c r="BV69" s="71"/>
      <c r="BW69" s="71"/>
      <c r="BX69" s="71"/>
      <c r="BY69" s="71"/>
      <c r="BZ69" s="71"/>
      <c r="CA69" s="71"/>
      <c r="CB69" s="71"/>
      <c r="CC69" s="71"/>
      <c r="CD69" s="71"/>
      <c r="CE69" s="71"/>
      <c r="CF69" s="71"/>
      <c r="CG69" s="71"/>
      <c r="CH69" s="71"/>
      <c r="CI69" s="71"/>
      <c r="CJ69" s="71"/>
      <c r="CK69" s="71"/>
      <c r="CL69" s="71"/>
      <c r="CM69" s="71"/>
      <c r="CN69" s="71"/>
      <c r="CO69" s="71"/>
      <c r="CP69" s="71"/>
      <c r="CQ69" s="71"/>
      <c r="CR69" s="71"/>
      <c r="CS69" s="71"/>
      <c r="CT69" s="71"/>
      <c r="CU69" s="71"/>
      <c r="CV69" s="71"/>
      <c r="CW69" s="71"/>
      <c r="CX69" s="71"/>
      <c r="CY69" s="71"/>
      <c r="CZ69" s="71"/>
      <c r="DA69" s="71"/>
      <c r="DB69" s="71"/>
      <c r="DC69" s="74">
        <f t="shared" si="169"/>
        <v>67</v>
      </c>
      <c r="DD69">
        <v>10</v>
      </c>
      <c r="DE69">
        <v>100</v>
      </c>
      <c r="DF69">
        <v>80</v>
      </c>
      <c r="DG69">
        <v>15</v>
      </c>
      <c r="DH69">
        <v>20</v>
      </c>
      <c r="DI69">
        <v>18</v>
      </c>
      <c r="EH69">
        <f t="shared" si="181"/>
        <v>90</v>
      </c>
      <c r="EI69">
        <f t="shared" si="182"/>
        <v>70</v>
      </c>
      <c r="EJ69">
        <f t="shared" si="183"/>
        <v>20</v>
      </c>
      <c r="EK69">
        <f t="shared" si="184"/>
        <v>5</v>
      </c>
      <c r="EL69">
        <f t="shared" si="185"/>
        <v>3</v>
      </c>
      <c r="EM69">
        <f t="shared" si="186"/>
        <v>2</v>
      </c>
      <c r="EN69" s="90">
        <f t="shared" si="187"/>
        <v>22.222222222222221</v>
      </c>
      <c r="EO69" s="90" t="e">
        <f t="shared" si="188"/>
        <v>#VALUE!</v>
      </c>
      <c r="EP69" s="80">
        <f t="shared" si="189"/>
        <v>40</v>
      </c>
    </row>
    <row r="70" spans="1:153" ht="15.6" thickTop="1" thickBot="1" x14ac:dyDescent="0.35">
      <c r="A70" s="62">
        <f t="shared" si="179"/>
        <v>68</v>
      </c>
      <c r="B70" s="100" t="s">
        <v>528</v>
      </c>
      <c r="C70" s="62" t="str">
        <f t="shared" si="168"/>
        <v>68:  fixed vol other sample &gt; dry &gt; &gt; LOI = %SM, DB, LOI (Vol=100.00)</v>
      </c>
      <c r="D70" s="63">
        <f t="shared" si="180"/>
        <v>5</v>
      </c>
      <c r="E70" s="62">
        <v>1</v>
      </c>
      <c r="F70" s="62">
        <v>3</v>
      </c>
      <c r="G70" s="62">
        <v>4</v>
      </c>
      <c r="H70" s="62">
        <v>5</v>
      </c>
      <c r="I70" s="62">
        <v>6</v>
      </c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4">
        <f t="shared" si="190"/>
        <v>6</v>
      </c>
      <c r="Z70" s="66" t="s">
        <v>529</v>
      </c>
      <c r="AA70" s="66" t="s">
        <v>531</v>
      </c>
      <c r="AB70" s="66" t="s">
        <v>530</v>
      </c>
      <c r="AC70" s="66" t="s">
        <v>516</v>
      </c>
      <c r="AD70" s="66" t="s">
        <v>517</v>
      </c>
      <c r="AE70" s="66" t="s">
        <v>518</v>
      </c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71" t="s">
        <v>519</v>
      </c>
      <c r="BE70" s="71" t="s">
        <v>520</v>
      </c>
      <c r="BF70" t="s">
        <v>525</v>
      </c>
      <c r="BG70" s="71" t="s">
        <v>521</v>
      </c>
      <c r="BH70" s="71" t="s">
        <v>522</v>
      </c>
      <c r="BI70" s="75" t="s">
        <v>527</v>
      </c>
      <c r="BJ70" s="71" t="s">
        <v>523</v>
      </c>
      <c r="BK70" s="71" t="s">
        <v>524</v>
      </c>
      <c r="BL70" s="71" t="s">
        <v>526</v>
      </c>
      <c r="BM70" s="71"/>
      <c r="BN70" s="71"/>
      <c r="BO70" s="71"/>
      <c r="BP70" s="71"/>
      <c r="BQ70" s="71"/>
      <c r="BR70" s="71"/>
      <c r="BS70" s="71"/>
      <c r="BT70" s="71"/>
      <c r="BU70" s="71"/>
      <c r="BV70" s="71"/>
      <c r="BW70" s="71"/>
      <c r="BX70" s="71"/>
      <c r="BY70" s="71"/>
      <c r="BZ70" s="71"/>
      <c r="CA70" s="71"/>
      <c r="CB70" s="71"/>
      <c r="CC70" s="71"/>
      <c r="CD70" s="71"/>
      <c r="CE70" s="71"/>
      <c r="CF70" s="71"/>
      <c r="CG70" s="71"/>
      <c r="CH70" s="71"/>
      <c r="CI70" s="71"/>
      <c r="CJ70" s="71"/>
      <c r="CK70" s="71"/>
      <c r="CL70" s="71"/>
      <c r="CM70" s="71"/>
      <c r="CN70" s="71"/>
      <c r="CO70" s="71"/>
      <c r="CP70" s="71"/>
      <c r="CQ70" s="71"/>
      <c r="CR70" s="71"/>
      <c r="CS70" s="71"/>
      <c r="CT70" s="71"/>
      <c r="CU70" s="71"/>
      <c r="CV70" s="71"/>
      <c r="CW70" s="71"/>
      <c r="CX70" s="71"/>
      <c r="CY70" s="71"/>
      <c r="CZ70" s="71"/>
      <c r="DA70" s="71"/>
      <c r="DB70" s="71"/>
      <c r="DC70" s="74">
        <f t="shared" si="169"/>
        <v>68</v>
      </c>
      <c r="DD70">
        <v>10</v>
      </c>
      <c r="DE70">
        <v>100</v>
      </c>
      <c r="DF70">
        <v>80</v>
      </c>
      <c r="DG70">
        <v>15</v>
      </c>
      <c r="DH70">
        <v>20</v>
      </c>
      <c r="DI70">
        <v>18</v>
      </c>
      <c r="EH70">
        <f t="shared" si="181"/>
        <v>90</v>
      </c>
      <c r="EI70">
        <f t="shared" si="182"/>
        <v>70</v>
      </c>
      <c r="EJ70">
        <f t="shared" si="183"/>
        <v>20</v>
      </c>
      <c r="EK70">
        <f t="shared" si="184"/>
        <v>5</v>
      </c>
      <c r="EL70">
        <f t="shared" si="185"/>
        <v>3</v>
      </c>
      <c r="EM70">
        <f t="shared" si="186"/>
        <v>2</v>
      </c>
      <c r="EN70" s="90">
        <f t="shared" si="187"/>
        <v>22.222222222222221</v>
      </c>
      <c r="EO70" s="90" t="e">
        <f t="shared" si="188"/>
        <v>#VALUE!</v>
      </c>
      <c r="EP70" s="80">
        <f t="shared" si="189"/>
        <v>40</v>
      </c>
    </row>
    <row r="71" spans="1:153" ht="15.6" thickTop="1" thickBot="1" x14ac:dyDescent="0.35">
      <c r="A71" s="62">
        <f t="shared" si="179"/>
        <v>69</v>
      </c>
      <c r="B71" s="100" t="s">
        <v>549</v>
      </c>
      <c r="C71" s="62" t="str">
        <f t="shared" si="168"/>
        <v>69: Labcell soil core &gt; dry &gt; ring &gt; stones &gt; LOI = %SM, DB, Stones, LOI (Vol=248.82)</v>
      </c>
      <c r="D71" s="63">
        <f t="shared" si="180"/>
        <v>7</v>
      </c>
      <c r="E71" s="62">
        <v>1</v>
      </c>
      <c r="F71" s="62">
        <v>2</v>
      </c>
      <c r="G71" s="62">
        <v>3</v>
      </c>
      <c r="H71" s="62">
        <v>4</v>
      </c>
      <c r="I71" s="62">
        <v>5</v>
      </c>
      <c r="J71" s="62">
        <v>6</v>
      </c>
      <c r="K71" s="62">
        <v>7</v>
      </c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4">
        <f t="shared" si="190"/>
        <v>7</v>
      </c>
      <c r="Z71" s="66" t="s">
        <v>513</v>
      </c>
      <c r="AA71" s="66" t="s">
        <v>514</v>
      </c>
      <c r="AB71" s="94" t="s">
        <v>515</v>
      </c>
      <c r="AC71" s="96" t="s">
        <v>546</v>
      </c>
      <c r="AD71" s="95" t="s">
        <v>516</v>
      </c>
      <c r="AE71" s="66" t="s">
        <v>517</v>
      </c>
      <c r="AF71" s="66" t="s">
        <v>518</v>
      </c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71" t="s">
        <v>519</v>
      </c>
      <c r="BE71" s="71" t="s">
        <v>520</v>
      </c>
      <c r="BF71" t="s">
        <v>525</v>
      </c>
      <c r="BG71" s="75" t="s">
        <v>547</v>
      </c>
      <c r="BH71" s="75" t="s">
        <v>548</v>
      </c>
      <c r="BI71" s="71" t="s">
        <v>521</v>
      </c>
      <c r="BJ71" s="71" t="s">
        <v>522</v>
      </c>
      <c r="BK71" s="75" t="s">
        <v>527</v>
      </c>
      <c r="BL71" s="71" t="s">
        <v>523</v>
      </c>
      <c r="BM71" s="71" t="s">
        <v>524</v>
      </c>
      <c r="BN71" s="75" t="s">
        <v>442</v>
      </c>
      <c r="BO71" s="71" t="s">
        <v>439</v>
      </c>
      <c r="BP71" s="75" t="s">
        <v>440</v>
      </c>
      <c r="BQ71" s="71" t="s">
        <v>526</v>
      </c>
      <c r="BR71" s="71"/>
      <c r="BS71" s="71"/>
      <c r="BT71" s="71"/>
      <c r="BU71" s="71"/>
      <c r="BV71" s="71"/>
      <c r="BW71" s="71"/>
      <c r="BX71" s="71"/>
      <c r="BY71" s="71"/>
      <c r="BZ71" s="71"/>
      <c r="CA71" s="71"/>
      <c r="CB71" s="71"/>
      <c r="CC71" s="71"/>
      <c r="CD71" s="71"/>
      <c r="CE71" s="71"/>
      <c r="CF71" s="71"/>
      <c r="CG71" s="71"/>
      <c r="CH71" s="71"/>
      <c r="CI71" s="71"/>
      <c r="CJ71" s="71"/>
      <c r="CK71" s="71"/>
      <c r="CL71" s="71"/>
      <c r="CM71" s="71"/>
      <c r="CN71" s="71"/>
      <c r="CO71" s="71"/>
      <c r="CP71" s="71"/>
      <c r="CQ71" s="71"/>
      <c r="CR71" s="71"/>
      <c r="CS71" s="71"/>
      <c r="CT71" s="71"/>
      <c r="CU71" s="71"/>
      <c r="CV71" s="71"/>
      <c r="CW71" s="71"/>
      <c r="CX71" s="71"/>
      <c r="CY71" s="71"/>
      <c r="CZ71" s="71"/>
      <c r="DA71" s="71"/>
      <c r="DB71" s="71"/>
      <c r="DC71" s="74">
        <f t="shared" si="169"/>
        <v>69</v>
      </c>
      <c r="DD71">
        <v>100</v>
      </c>
      <c r="DE71">
        <v>80</v>
      </c>
      <c r="DF71">
        <v>10</v>
      </c>
      <c r="DG71">
        <v>5</v>
      </c>
      <c r="DH71">
        <v>15</v>
      </c>
      <c r="DI71">
        <v>20</v>
      </c>
      <c r="DJ71">
        <v>18</v>
      </c>
      <c r="EH71" s="91">
        <f>DD71-DF71</f>
        <v>90</v>
      </c>
      <c r="EI71" s="91">
        <f>DE71-DF71</f>
        <v>70</v>
      </c>
      <c r="EJ71" s="91">
        <f>EH71-EI71</f>
        <v>20</v>
      </c>
      <c r="EK71" s="91">
        <f>DG71</f>
        <v>5</v>
      </c>
      <c r="EL71" s="91">
        <f>EI71-EK71</f>
        <v>65</v>
      </c>
      <c r="EM71" s="91">
        <f>DI71-DH71</f>
        <v>5</v>
      </c>
      <c r="EN71" s="91">
        <f>DJ71-DH71</f>
        <v>3</v>
      </c>
      <c r="EO71" s="91">
        <f>EM71-EN71</f>
        <v>2</v>
      </c>
      <c r="EP71" s="92">
        <f>EJ71/EI71*100</f>
        <v>28.571428571428569</v>
      </c>
      <c r="EQ71" s="92" t="e">
        <f>EI71/VALUE(MID($A$1,FIND("Vol=",$A$1)+4,LEN($A$1)-(FIND("Vol=",$A$1)+4)))</f>
        <v>#VALUE!</v>
      </c>
      <c r="ER71" s="91" t="e">
        <f>100*(1-(EQ71/2.65))</f>
        <v>#VALUE!</v>
      </c>
      <c r="ES71" s="91">
        <f>EK71/EI71*100</f>
        <v>7.1428571428571423</v>
      </c>
      <c r="ET71" s="91">
        <f>EL71/EI71*100</f>
        <v>92.857142857142861</v>
      </c>
      <c r="EU71" s="93">
        <f>EO71/EM71*100</f>
        <v>40</v>
      </c>
    </row>
    <row r="72" spans="1:153" ht="15.6" thickTop="1" thickBot="1" x14ac:dyDescent="0.35">
      <c r="A72" s="62">
        <f t="shared" si="179"/>
        <v>70</v>
      </c>
      <c r="B72" s="100" t="s">
        <v>550</v>
      </c>
      <c r="C72" s="62" t="str">
        <f t="shared" si="168"/>
        <v>70: UK pitman Soil core &gt; dry &gt; ring &gt; stones &gt; LOI = %SM, DB, sotnes, LOI (Vol=219.34)</v>
      </c>
      <c r="D72" s="63">
        <f t="shared" si="180"/>
        <v>7</v>
      </c>
      <c r="E72" s="62">
        <v>1</v>
      </c>
      <c r="F72" s="62">
        <v>2</v>
      </c>
      <c r="G72" s="62">
        <v>3</v>
      </c>
      <c r="H72" s="62">
        <v>4</v>
      </c>
      <c r="I72" s="62">
        <v>5</v>
      </c>
      <c r="J72" s="62">
        <v>6</v>
      </c>
      <c r="K72" s="62">
        <v>7</v>
      </c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4">
        <f t="shared" si="190"/>
        <v>7</v>
      </c>
      <c r="Z72" s="66" t="s">
        <v>513</v>
      </c>
      <c r="AA72" s="66" t="s">
        <v>514</v>
      </c>
      <c r="AB72" s="66" t="s">
        <v>515</v>
      </c>
      <c r="AC72" s="96" t="s">
        <v>546</v>
      </c>
      <c r="AD72" s="66" t="s">
        <v>516</v>
      </c>
      <c r="AE72" s="66" t="s">
        <v>517</v>
      </c>
      <c r="AF72" s="66" t="s">
        <v>518</v>
      </c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71" t="s">
        <v>519</v>
      </c>
      <c r="BE72" s="71" t="s">
        <v>520</v>
      </c>
      <c r="BF72" t="s">
        <v>525</v>
      </c>
      <c r="BG72" s="75" t="s">
        <v>547</v>
      </c>
      <c r="BH72" s="75" t="s">
        <v>548</v>
      </c>
      <c r="BI72" s="71" t="s">
        <v>521</v>
      </c>
      <c r="BJ72" s="71" t="s">
        <v>522</v>
      </c>
      <c r="BK72" s="75" t="s">
        <v>527</v>
      </c>
      <c r="BL72" s="71" t="s">
        <v>523</v>
      </c>
      <c r="BM72" s="71" t="s">
        <v>524</v>
      </c>
      <c r="BN72" s="75" t="s">
        <v>442</v>
      </c>
      <c r="BO72" s="71" t="s">
        <v>439</v>
      </c>
      <c r="BP72" s="75" t="s">
        <v>440</v>
      </c>
      <c r="BQ72" s="71" t="s">
        <v>526</v>
      </c>
      <c r="BR72" s="71"/>
      <c r="BS72" s="71"/>
      <c r="BT72" s="71"/>
      <c r="BU72" s="71"/>
      <c r="BV72" s="71"/>
      <c r="BW72" s="71"/>
      <c r="BX72" s="71"/>
      <c r="BY72" s="71"/>
      <c r="BZ72" s="71"/>
      <c r="CA72" s="71"/>
      <c r="CB72" s="71"/>
      <c r="CC72" s="71"/>
      <c r="CD72" s="71"/>
      <c r="CE72" s="71"/>
      <c r="CF72" s="71"/>
      <c r="CG72" s="71"/>
      <c r="CH72" s="71"/>
      <c r="CI72" s="71"/>
      <c r="CJ72" s="71"/>
      <c r="CK72" s="71"/>
      <c r="CL72" s="71"/>
      <c r="CM72" s="71"/>
      <c r="CN72" s="71"/>
      <c r="CO72" s="71"/>
      <c r="CP72" s="71"/>
      <c r="CQ72" s="71"/>
      <c r="CR72" s="71"/>
      <c r="CS72" s="71"/>
      <c r="CT72" s="71"/>
      <c r="CU72" s="71"/>
      <c r="CV72" s="71"/>
      <c r="CW72" s="71"/>
      <c r="CX72" s="71"/>
      <c r="CY72" s="71"/>
      <c r="CZ72" s="71"/>
      <c r="DA72" s="71"/>
      <c r="DB72" s="71"/>
      <c r="DC72" s="74">
        <f t="shared" si="169"/>
        <v>70</v>
      </c>
      <c r="DD72">
        <v>100</v>
      </c>
      <c r="DE72">
        <v>80</v>
      </c>
      <c r="DF72">
        <v>10</v>
      </c>
      <c r="DG72">
        <v>5</v>
      </c>
      <c r="DH72">
        <v>15</v>
      </c>
      <c r="DI72">
        <v>20</v>
      </c>
      <c r="DJ72">
        <v>18</v>
      </c>
      <c r="EH72" s="91">
        <f t="shared" ref="EH72:EH73" si="191">DD72-DF72</f>
        <v>90</v>
      </c>
      <c r="EI72" s="91">
        <f t="shared" ref="EI72:EI73" si="192">DE72-DF72</f>
        <v>70</v>
      </c>
      <c r="EJ72" s="91">
        <f t="shared" ref="EJ72:EJ73" si="193">EH72-EI72</f>
        <v>20</v>
      </c>
      <c r="EK72" s="91">
        <f t="shared" ref="EK72:EK77" si="194">DG72</f>
        <v>5</v>
      </c>
      <c r="EL72" s="91">
        <f t="shared" ref="EL72:EL77" si="195">EI72-EK72</f>
        <v>65</v>
      </c>
      <c r="EM72" s="91">
        <f t="shared" ref="EM72:EM73" si="196">DI72-DH72</f>
        <v>5</v>
      </c>
      <c r="EN72" s="91">
        <f t="shared" ref="EN72:EN77" si="197">DJ72-DH72</f>
        <v>3</v>
      </c>
      <c r="EO72" s="91">
        <f t="shared" ref="EO72:EO73" si="198">EM72-EN72</f>
        <v>2</v>
      </c>
      <c r="EP72" s="92">
        <f t="shared" ref="EP72:EP73" si="199">EJ72/EI72*100</f>
        <v>28.571428571428569</v>
      </c>
      <c r="EQ72" s="92" t="e">
        <f t="shared" ref="EQ72:EQ73" si="200">EI72/VALUE(MID($A$1,FIND("Vol=",$A$1)+4,LEN($A$1)-(FIND("Vol=",$A$1)+4)))</f>
        <v>#VALUE!</v>
      </c>
      <c r="ER72" s="91" t="e">
        <f t="shared" ref="ER72:ER77" si="201">100*(1-(EQ72/2.65))</f>
        <v>#VALUE!</v>
      </c>
      <c r="ES72" s="91">
        <f t="shared" ref="ES72:ES73" si="202">EK72/EI72*100</f>
        <v>7.1428571428571423</v>
      </c>
      <c r="ET72" s="91">
        <f t="shared" ref="ET72:ET73" si="203">EL72/EI72*100</f>
        <v>92.857142857142861</v>
      </c>
      <c r="EU72" s="93">
        <f t="shared" ref="EU72:EU73" si="204">EO72/EM72*100</f>
        <v>40</v>
      </c>
    </row>
    <row r="73" spans="1:153" ht="18.75" customHeight="1" thickTop="1" thickBot="1" x14ac:dyDescent="0.35">
      <c r="A73" s="62">
        <f t="shared" si="179"/>
        <v>71</v>
      </c>
      <c r="B73" s="100" t="s">
        <v>552</v>
      </c>
      <c r="C73" s="62" t="str">
        <f t="shared" ref="C73:C78" si="205">CONCATENATE(A73,": ",B73)</f>
        <v>71: US pitman Soil core &gt; dry &gt; ring &gt; stones &gt; LOI = %SM, DB, stones, LOI (Vol=68.20)</v>
      </c>
      <c r="D73" s="63">
        <f t="shared" si="180"/>
        <v>7</v>
      </c>
      <c r="E73" s="62">
        <v>1</v>
      </c>
      <c r="F73" s="62">
        <v>2</v>
      </c>
      <c r="G73" s="62">
        <v>3</v>
      </c>
      <c r="H73" s="62">
        <v>4</v>
      </c>
      <c r="I73" s="62">
        <v>5</v>
      </c>
      <c r="J73" s="62">
        <v>6</v>
      </c>
      <c r="K73" s="62">
        <v>7</v>
      </c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4">
        <f t="shared" si="190"/>
        <v>7</v>
      </c>
      <c r="Z73" s="66" t="s">
        <v>513</v>
      </c>
      <c r="AA73" s="66" t="s">
        <v>514</v>
      </c>
      <c r="AB73" s="66" t="s">
        <v>515</v>
      </c>
      <c r="AC73" s="96" t="s">
        <v>546</v>
      </c>
      <c r="AD73" s="66" t="s">
        <v>516</v>
      </c>
      <c r="AE73" s="66" t="s">
        <v>517</v>
      </c>
      <c r="AF73" s="66" t="s">
        <v>518</v>
      </c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71" t="s">
        <v>519</v>
      </c>
      <c r="BE73" s="71" t="s">
        <v>520</v>
      </c>
      <c r="BF73" t="s">
        <v>525</v>
      </c>
      <c r="BG73" s="75" t="s">
        <v>547</v>
      </c>
      <c r="BH73" s="75" t="s">
        <v>548</v>
      </c>
      <c r="BI73" s="71" t="s">
        <v>521</v>
      </c>
      <c r="BJ73" s="71" t="s">
        <v>522</v>
      </c>
      <c r="BK73" s="75" t="s">
        <v>527</v>
      </c>
      <c r="BL73" s="71" t="s">
        <v>523</v>
      </c>
      <c r="BM73" s="71" t="s">
        <v>524</v>
      </c>
      <c r="BN73" s="75" t="s">
        <v>442</v>
      </c>
      <c r="BO73" s="71" t="s">
        <v>439</v>
      </c>
      <c r="BP73" s="75" t="s">
        <v>440</v>
      </c>
      <c r="BQ73" s="71" t="s">
        <v>526</v>
      </c>
      <c r="BR73" s="71"/>
      <c r="BS73" s="71"/>
      <c r="BT73" s="71"/>
      <c r="BU73" s="71"/>
      <c r="BV73" s="71"/>
      <c r="BW73" s="71"/>
      <c r="BX73" s="71"/>
      <c r="BY73" s="71"/>
      <c r="BZ73" s="71"/>
      <c r="CA73" s="71"/>
      <c r="CB73" s="71"/>
      <c r="CC73" s="71"/>
      <c r="CD73" s="71"/>
      <c r="CE73" s="71"/>
      <c r="CF73" s="71"/>
      <c r="CG73" s="71"/>
      <c r="CH73" s="71"/>
      <c r="CI73" s="71"/>
      <c r="CJ73" s="71"/>
      <c r="CK73" s="71"/>
      <c r="CL73" s="71"/>
      <c r="CM73" s="71"/>
      <c r="CN73" s="71"/>
      <c r="CO73" s="71"/>
      <c r="CP73" s="71"/>
      <c r="CQ73" s="71"/>
      <c r="CR73" s="71"/>
      <c r="CS73" s="71"/>
      <c r="CT73" s="71"/>
      <c r="CU73" s="71"/>
      <c r="CV73" s="71"/>
      <c r="CW73" s="71"/>
      <c r="CX73" s="71"/>
      <c r="CY73" s="71"/>
      <c r="CZ73" s="71"/>
      <c r="DA73" s="71"/>
      <c r="DB73" s="71"/>
      <c r="DC73" s="74">
        <f t="shared" ref="DC73:DC78" si="206">A73</f>
        <v>71</v>
      </c>
      <c r="DD73">
        <v>100</v>
      </c>
      <c r="DE73">
        <v>80</v>
      </c>
      <c r="DF73">
        <v>10</v>
      </c>
      <c r="DG73">
        <v>5</v>
      </c>
      <c r="DH73">
        <v>15</v>
      </c>
      <c r="DI73">
        <v>20</v>
      </c>
      <c r="DJ73">
        <v>18</v>
      </c>
      <c r="EH73" s="91">
        <f t="shared" si="191"/>
        <v>90</v>
      </c>
      <c r="EI73" s="91">
        <f t="shared" si="192"/>
        <v>70</v>
      </c>
      <c r="EJ73" s="91">
        <f t="shared" si="193"/>
        <v>20</v>
      </c>
      <c r="EK73" s="91">
        <f t="shared" si="194"/>
        <v>5</v>
      </c>
      <c r="EL73" s="91">
        <f t="shared" si="195"/>
        <v>65</v>
      </c>
      <c r="EM73" s="91">
        <f t="shared" si="196"/>
        <v>5</v>
      </c>
      <c r="EN73" s="91">
        <f t="shared" si="197"/>
        <v>3</v>
      </c>
      <c r="EO73" s="91">
        <f t="shared" si="198"/>
        <v>2</v>
      </c>
      <c r="EP73" s="92">
        <f t="shared" si="199"/>
        <v>28.571428571428569</v>
      </c>
      <c r="EQ73" s="92" t="e">
        <f t="shared" si="200"/>
        <v>#VALUE!</v>
      </c>
      <c r="ER73" s="91" t="e">
        <f t="shared" si="201"/>
        <v>#VALUE!</v>
      </c>
      <c r="ES73" s="91">
        <f t="shared" si="202"/>
        <v>7.1428571428571423</v>
      </c>
      <c r="ET73" s="91">
        <f t="shared" si="203"/>
        <v>92.857142857142861</v>
      </c>
      <c r="EU73" s="93">
        <f t="shared" si="204"/>
        <v>40</v>
      </c>
    </row>
    <row r="74" spans="1:153" ht="15.6" thickTop="1" thickBot="1" x14ac:dyDescent="0.35">
      <c r="A74" s="62">
        <f t="shared" si="179"/>
        <v>72</v>
      </c>
      <c r="B74" s="100" t="s">
        <v>554</v>
      </c>
      <c r="C74" s="62" t="str">
        <f t="shared" si="205"/>
        <v>72: fixed vol shallow sample &gt; dry &gt; stones &gt; LOI = %SM, DB, stones, LOI (Vol=76.97)</v>
      </c>
      <c r="D74" s="63">
        <f t="shared" si="180"/>
        <v>6</v>
      </c>
      <c r="E74" s="62">
        <v>1</v>
      </c>
      <c r="F74" s="62">
        <v>3</v>
      </c>
      <c r="G74" s="62">
        <v>4</v>
      </c>
      <c r="H74" s="62">
        <v>5</v>
      </c>
      <c r="I74" s="62">
        <v>6</v>
      </c>
      <c r="J74" s="62">
        <v>7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4">
        <f t="shared" si="190"/>
        <v>7</v>
      </c>
      <c r="Z74" s="66" t="s">
        <v>529</v>
      </c>
      <c r="AA74" s="66" t="s">
        <v>531</v>
      </c>
      <c r="AB74" s="66" t="s">
        <v>530</v>
      </c>
      <c r="AC74" s="96" t="s">
        <v>546</v>
      </c>
      <c r="AD74" s="66" t="s">
        <v>516</v>
      </c>
      <c r="AE74" s="66" t="s">
        <v>517</v>
      </c>
      <c r="AF74" s="66" t="s">
        <v>518</v>
      </c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71" t="s">
        <v>519</v>
      </c>
      <c r="BE74" s="71" t="s">
        <v>520</v>
      </c>
      <c r="BF74" t="s">
        <v>525</v>
      </c>
      <c r="BG74" s="75" t="s">
        <v>547</v>
      </c>
      <c r="BH74" s="75" t="s">
        <v>548</v>
      </c>
      <c r="BI74" s="71" t="s">
        <v>521</v>
      </c>
      <c r="BJ74" s="71" t="s">
        <v>522</v>
      </c>
      <c r="BK74" s="75" t="s">
        <v>527</v>
      </c>
      <c r="BL74" s="71" t="s">
        <v>523</v>
      </c>
      <c r="BM74" s="71" t="s">
        <v>524</v>
      </c>
      <c r="BN74" s="75" t="s">
        <v>442</v>
      </c>
      <c r="BO74" s="71" t="s">
        <v>439</v>
      </c>
      <c r="BP74" s="75" t="s">
        <v>440</v>
      </c>
      <c r="BQ74" s="71" t="s">
        <v>526</v>
      </c>
      <c r="BR74" s="71"/>
      <c r="BS74" s="71"/>
      <c r="BT74" s="71"/>
      <c r="BU74" s="71"/>
      <c r="BV74" s="71"/>
      <c r="BW74" s="71"/>
      <c r="BX74" s="71"/>
      <c r="BY74" s="71"/>
      <c r="BZ74" s="71"/>
      <c r="CA74" s="71"/>
      <c r="CB74" s="71"/>
      <c r="CC74" s="71"/>
      <c r="CD74" s="71"/>
      <c r="CE74" s="71"/>
      <c r="CF74" s="71"/>
      <c r="CG74" s="71"/>
      <c r="CH74" s="71"/>
      <c r="CI74" s="71"/>
      <c r="CJ74" s="71"/>
      <c r="CK74" s="71"/>
      <c r="CL74" s="71"/>
      <c r="CM74" s="71"/>
      <c r="CN74" s="71"/>
      <c r="CO74" s="71"/>
      <c r="CP74" s="71"/>
      <c r="CQ74" s="71"/>
      <c r="CR74" s="71"/>
      <c r="CS74" s="71"/>
      <c r="CT74" s="71"/>
      <c r="CU74" s="71"/>
      <c r="CV74" s="71"/>
      <c r="CW74" s="71"/>
      <c r="CX74" s="71"/>
      <c r="CY74" s="71"/>
      <c r="CZ74" s="71"/>
      <c r="DA74" s="71"/>
      <c r="DB74" s="71"/>
      <c r="DC74" s="74">
        <f t="shared" si="206"/>
        <v>72</v>
      </c>
      <c r="DD74">
        <v>10</v>
      </c>
      <c r="DE74">
        <v>100</v>
      </c>
      <c r="DF74">
        <v>80</v>
      </c>
      <c r="DG74">
        <v>5</v>
      </c>
      <c r="DH74">
        <v>15</v>
      </c>
      <c r="DI74">
        <v>20</v>
      </c>
      <c r="DJ74">
        <v>18</v>
      </c>
      <c r="EH74">
        <f>DE74-DD74</f>
        <v>90</v>
      </c>
      <c r="EI74">
        <f>DF74-DD74</f>
        <v>70</v>
      </c>
      <c r="EJ74">
        <f>EH74-EI74</f>
        <v>20</v>
      </c>
      <c r="EK74" s="91">
        <f t="shared" si="194"/>
        <v>5</v>
      </c>
      <c r="EL74" s="91">
        <f t="shared" si="195"/>
        <v>65</v>
      </c>
      <c r="EM74">
        <f>DI74-DH74</f>
        <v>5</v>
      </c>
      <c r="EN74" s="91">
        <f t="shared" si="197"/>
        <v>3</v>
      </c>
      <c r="EO74">
        <f>EM74-EN74</f>
        <v>2</v>
      </c>
      <c r="EP74" s="90">
        <f>EJ74/EI74*100</f>
        <v>28.571428571428569</v>
      </c>
      <c r="EQ74" s="90" t="e">
        <f>EI74/VALUE(MID($A$1,FIND("Vol=",$A$1)+4,LEN($A$1)-(FIND("Vol=",$A$1)+4)))</f>
        <v>#VALUE!</v>
      </c>
      <c r="ER74" s="91" t="e">
        <f t="shared" si="201"/>
        <v>#VALUE!</v>
      </c>
      <c r="ES74" s="91">
        <f t="shared" ref="ES74:ES77" si="207">EK74/EI74*100</f>
        <v>7.1428571428571423</v>
      </c>
      <c r="ET74" s="91">
        <f t="shared" ref="ET74:ET77" si="208">EL74/EI74*100</f>
        <v>92.857142857142861</v>
      </c>
      <c r="EU74" s="80">
        <f>EO74/EM74*100</f>
        <v>40</v>
      </c>
    </row>
    <row r="75" spans="1:153" ht="15.6" thickTop="1" thickBot="1" x14ac:dyDescent="0.35">
      <c r="A75" s="62">
        <f t="shared" si="179"/>
        <v>73</v>
      </c>
      <c r="B75" s="100" t="s">
        <v>557</v>
      </c>
      <c r="C75" s="62" t="str">
        <f t="shared" si="205"/>
        <v>73: fixed vol deep sample &gt; dry &gt; stones &gt; LOI = %SM, DB, stones, LOI (Vol=192.42)</v>
      </c>
      <c r="D75" s="63">
        <f t="shared" ref="D75:D78" si="209">COUNT(E75:X75)</f>
        <v>6</v>
      </c>
      <c r="E75" s="62">
        <v>1</v>
      </c>
      <c r="F75" s="62">
        <v>3</v>
      </c>
      <c r="G75" s="62">
        <v>4</v>
      </c>
      <c r="H75" s="62">
        <v>5</v>
      </c>
      <c r="I75" s="62">
        <v>6</v>
      </c>
      <c r="J75" s="62">
        <v>7</v>
      </c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4">
        <f t="shared" si="190"/>
        <v>7</v>
      </c>
      <c r="Z75" s="66" t="s">
        <v>529</v>
      </c>
      <c r="AA75" s="66" t="s">
        <v>531</v>
      </c>
      <c r="AB75" s="66" t="s">
        <v>530</v>
      </c>
      <c r="AC75" s="96" t="s">
        <v>546</v>
      </c>
      <c r="AD75" s="66" t="s">
        <v>516</v>
      </c>
      <c r="AE75" s="66" t="s">
        <v>517</v>
      </c>
      <c r="AF75" s="66" t="s">
        <v>518</v>
      </c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71" t="s">
        <v>519</v>
      </c>
      <c r="BE75" s="71" t="s">
        <v>520</v>
      </c>
      <c r="BF75" t="s">
        <v>525</v>
      </c>
      <c r="BG75" s="75" t="s">
        <v>547</v>
      </c>
      <c r="BH75" s="75" t="s">
        <v>548</v>
      </c>
      <c r="BI75" s="71" t="s">
        <v>521</v>
      </c>
      <c r="BJ75" s="71" t="s">
        <v>522</v>
      </c>
      <c r="BK75" s="75" t="s">
        <v>527</v>
      </c>
      <c r="BL75" s="71" t="s">
        <v>523</v>
      </c>
      <c r="BM75" s="71" t="s">
        <v>524</v>
      </c>
      <c r="BN75" s="75" t="s">
        <v>442</v>
      </c>
      <c r="BO75" s="71" t="s">
        <v>439</v>
      </c>
      <c r="BP75" s="75" t="s">
        <v>440</v>
      </c>
      <c r="BQ75" s="71" t="s">
        <v>526</v>
      </c>
      <c r="BR75" s="71"/>
      <c r="BS75" s="71"/>
      <c r="BT75" s="71"/>
      <c r="BU75" s="71"/>
      <c r="BV75" s="71"/>
      <c r="BW75" s="71"/>
      <c r="BX75" s="71"/>
      <c r="BY75" s="71"/>
      <c r="BZ75" s="71"/>
      <c r="CA75" s="71"/>
      <c r="CB75" s="71"/>
      <c r="CC75" s="71"/>
      <c r="CD75" s="71"/>
      <c r="CE75" s="71"/>
      <c r="CF75" s="71"/>
      <c r="CG75" s="71"/>
      <c r="CH75" s="71"/>
      <c r="CI75" s="71"/>
      <c r="CJ75" s="71"/>
      <c r="CK75" s="71"/>
      <c r="CL75" s="71"/>
      <c r="CM75" s="71"/>
      <c r="CN75" s="71"/>
      <c r="CO75" s="71"/>
      <c r="CP75" s="71"/>
      <c r="CQ75" s="71"/>
      <c r="CR75" s="71"/>
      <c r="CS75" s="71"/>
      <c r="CT75" s="71"/>
      <c r="CU75" s="71"/>
      <c r="CV75" s="71"/>
      <c r="CW75" s="71"/>
      <c r="CX75" s="71"/>
      <c r="CY75" s="71"/>
      <c r="CZ75" s="71"/>
      <c r="DA75" s="71"/>
      <c r="DB75" s="71"/>
      <c r="DC75" s="74">
        <f t="shared" si="206"/>
        <v>73</v>
      </c>
      <c r="DD75">
        <v>10</v>
      </c>
      <c r="DE75">
        <v>100</v>
      </c>
      <c r="DF75">
        <v>80</v>
      </c>
      <c r="DG75">
        <v>5</v>
      </c>
      <c r="DH75">
        <v>15</v>
      </c>
      <c r="DI75">
        <v>20</v>
      </c>
      <c r="DJ75">
        <v>18</v>
      </c>
      <c r="EH75">
        <f t="shared" ref="EH75:EH77" si="210">DE75-DD75</f>
        <v>90</v>
      </c>
      <c r="EI75">
        <f t="shared" ref="EI75:EI77" si="211">DF75-DD75</f>
        <v>70</v>
      </c>
      <c r="EJ75">
        <f t="shared" ref="EJ75:EJ77" si="212">EH75-EI75</f>
        <v>20</v>
      </c>
      <c r="EK75" s="91">
        <f t="shared" si="194"/>
        <v>5</v>
      </c>
      <c r="EL75" s="91">
        <f t="shared" si="195"/>
        <v>65</v>
      </c>
      <c r="EM75">
        <f t="shared" ref="EM75:EM77" si="213">DI75-DH75</f>
        <v>5</v>
      </c>
      <c r="EN75" s="91">
        <f t="shared" si="197"/>
        <v>3</v>
      </c>
      <c r="EO75">
        <f>EM75-EN75</f>
        <v>2</v>
      </c>
      <c r="EP75" s="90">
        <f t="shared" ref="EP75:EP77" si="214">EJ75/EI75*100</f>
        <v>28.571428571428569</v>
      </c>
      <c r="EQ75" s="90" t="e">
        <f>EI75/VALUE(MID($A$1,FIND("Vol=",$A$1)+4,LEN($A$1)-(FIND("Vol=",$A$1)+4)))</f>
        <v>#VALUE!</v>
      </c>
      <c r="ER75" s="91" t="e">
        <f t="shared" si="201"/>
        <v>#VALUE!</v>
      </c>
      <c r="ES75" s="91">
        <f t="shared" si="207"/>
        <v>7.1428571428571423</v>
      </c>
      <c r="ET75" s="91">
        <f t="shared" si="208"/>
        <v>92.857142857142861</v>
      </c>
      <c r="EU75" s="80">
        <f>EO75/EM75*100</f>
        <v>40</v>
      </c>
    </row>
    <row r="76" spans="1:153" ht="15.6" thickTop="1" thickBot="1" x14ac:dyDescent="0.35">
      <c r="A76" s="62">
        <f t="shared" si="179"/>
        <v>74</v>
      </c>
      <c r="B76" s="100" t="s">
        <v>558</v>
      </c>
      <c r="C76" s="62" t="str">
        <f t="shared" si="205"/>
        <v>74:  fixed vol new sample &gt; dry &gt; stones &gt; LOI = %SM, DB, stones, LOI (Vol=192.42)</v>
      </c>
      <c r="D76" s="63">
        <f t="shared" si="209"/>
        <v>6</v>
      </c>
      <c r="E76" s="62">
        <v>1</v>
      </c>
      <c r="F76" s="62">
        <v>3</v>
      </c>
      <c r="G76" s="62">
        <v>4</v>
      </c>
      <c r="H76" s="62">
        <v>5</v>
      </c>
      <c r="I76" s="62">
        <v>6</v>
      </c>
      <c r="J76" s="62">
        <v>7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4">
        <f t="shared" ref="Y76:Y77" si="215">COUNTA(Z76:BC76)</f>
        <v>7</v>
      </c>
      <c r="Z76" s="66" t="s">
        <v>529</v>
      </c>
      <c r="AA76" s="66" t="s">
        <v>531</v>
      </c>
      <c r="AB76" s="66" t="s">
        <v>530</v>
      </c>
      <c r="AC76" s="96" t="s">
        <v>546</v>
      </c>
      <c r="AD76" s="66" t="s">
        <v>516</v>
      </c>
      <c r="AE76" s="66" t="s">
        <v>517</v>
      </c>
      <c r="AF76" s="66" t="s">
        <v>518</v>
      </c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71" t="s">
        <v>519</v>
      </c>
      <c r="BE76" s="71" t="s">
        <v>520</v>
      </c>
      <c r="BF76" t="s">
        <v>525</v>
      </c>
      <c r="BG76" s="75" t="s">
        <v>547</v>
      </c>
      <c r="BH76" s="75" t="s">
        <v>548</v>
      </c>
      <c r="BI76" s="71" t="s">
        <v>521</v>
      </c>
      <c r="BJ76" s="71" t="s">
        <v>522</v>
      </c>
      <c r="BK76" s="75" t="s">
        <v>527</v>
      </c>
      <c r="BL76" s="71" t="s">
        <v>523</v>
      </c>
      <c r="BM76" s="71" t="s">
        <v>524</v>
      </c>
      <c r="BN76" s="75" t="s">
        <v>442</v>
      </c>
      <c r="BO76" s="71" t="s">
        <v>439</v>
      </c>
      <c r="BP76" s="75" t="s">
        <v>440</v>
      </c>
      <c r="BQ76" s="71" t="s">
        <v>526</v>
      </c>
      <c r="BR76" s="71"/>
      <c r="BS76" s="71"/>
      <c r="BT76" s="71"/>
      <c r="BU76" s="71"/>
      <c r="BV76" s="71"/>
      <c r="BW76" s="71"/>
      <c r="BX76" s="71"/>
      <c r="BY76" s="71"/>
      <c r="BZ76" s="71"/>
      <c r="CA76" s="71"/>
      <c r="CB76" s="71"/>
      <c r="CC76" s="71"/>
      <c r="CD76" s="71"/>
      <c r="CE76" s="71"/>
      <c r="CF76" s="71"/>
      <c r="CG76" s="71"/>
      <c r="CH76" s="71"/>
      <c r="CI76" s="71"/>
      <c r="CJ76" s="71"/>
      <c r="CK76" s="71"/>
      <c r="CL76" s="71"/>
      <c r="CM76" s="71"/>
      <c r="CN76" s="71"/>
      <c r="CO76" s="71"/>
      <c r="CP76" s="71"/>
      <c r="CQ76" s="71"/>
      <c r="CR76" s="71"/>
      <c r="CS76" s="71"/>
      <c r="CT76" s="71"/>
      <c r="CU76" s="71"/>
      <c r="CV76" s="71"/>
      <c r="CW76" s="71"/>
      <c r="CX76" s="71"/>
      <c r="CY76" s="71"/>
      <c r="CZ76" s="71"/>
      <c r="DA76" s="71"/>
      <c r="DB76" s="71"/>
      <c r="DC76" s="74">
        <f t="shared" si="206"/>
        <v>74</v>
      </c>
      <c r="DD76">
        <v>10</v>
      </c>
      <c r="DE76">
        <v>100</v>
      </c>
      <c r="DF76">
        <v>80</v>
      </c>
      <c r="DG76">
        <v>5</v>
      </c>
      <c r="DH76">
        <v>15</v>
      </c>
      <c r="DI76">
        <v>20</v>
      </c>
      <c r="DJ76">
        <v>18</v>
      </c>
      <c r="EH76">
        <f t="shared" si="210"/>
        <v>90</v>
      </c>
      <c r="EI76">
        <f t="shared" si="211"/>
        <v>70</v>
      </c>
      <c r="EJ76">
        <f t="shared" si="212"/>
        <v>20</v>
      </c>
      <c r="EK76" s="91">
        <f t="shared" si="194"/>
        <v>5</v>
      </c>
      <c r="EL76" s="91">
        <f t="shared" si="195"/>
        <v>65</v>
      </c>
      <c r="EM76">
        <f t="shared" si="213"/>
        <v>5</v>
      </c>
      <c r="EN76" s="91">
        <f t="shared" si="197"/>
        <v>3</v>
      </c>
      <c r="EO76">
        <f>EM76-EN76</f>
        <v>2</v>
      </c>
      <c r="EP76" s="90">
        <f t="shared" si="214"/>
        <v>28.571428571428569</v>
      </c>
      <c r="EQ76" s="90" t="e">
        <f>EI76/VALUE(MID($A$1,FIND("Vol=",$A$1)+4,LEN($A$1)-(FIND("Vol=",$A$1)+4)))</f>
        <v>#VALUE!</v>
      </c>
      <c r="ER76" s="91" t="e">
        <f t="shared" si="201"/>
        <v>#VALUE!</v>
      </c>
      <c r="ES76" s="91">
        <f t="shared" si="207"/>
        <v>7.1428571428571423</v>
      </c>
      <c r="ET76" s="91">
        <f t="shared" si="208"/>
        <v>92.857142857142861</v>
      </c>
      <c r="EU76" s="80">
        <f>EO76/EM76*100</f>
        <v>40</v>
      </c>
    </row>
    <row r="77" spans="1:153" ht="15.6" thickTop="1" thickBot="1" x14ac:dyDescent="0.35">
      <c r="A77" s="62">
        <f t="shared" si="179"/>
        <v>75</v>
      </c>
      <c r="B77" s="100" t="s">
        <v>545</v>
      </c>
      <c r="C77" s="62" t="str">
        <f t="shared" si="205"/>
        <v>75:  fixed vol other sample &gt; dry &gt; stones &gt; LOI = %SM, DB, stones, LOI (Vol=100.00)</v>
      </c>
      <c r="D77" s="63">
        <f t="shared" si="209"/>
        <v>6</v>
      </c>
      <c r="E77" s="62">
        <v>1</v>
      </c>
      <c r="F77" s="62">
        <v>3</v>
      </c>
      <c r="G77" s="62">
        <v>4</v>
      </c>
      <c r="H77" s="62">
        <v>5</v>
      </c>
      <c r="I77" s="62">
        <v>6</v>
      </c>
      <c r="J77" s="62">
        <v>7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4">
        <f t="shared" si="215"/>
        <v>7</v>
      </c>
      <c r="Z77" s="66" t="s">
        <v>529</v>
      </c>
      <c r="AA77" s="66" t="s">
        <v>531</v>
      </c>
      <c r="AB77" s="66" t="s">
        <v>530</v>
      </c>
      <c r="AC77" s="96" t="s">
        <v>546</v>
      </c>
      <c r="AD77" s="66" t="s">
        <v>516</v>
      </c>
      <c r="AE77" s="66" t="s">
        <v>517</v>
      </c>
      <c r="AF77" s="66" t="s">
        <v>518</v>
      </c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71" t="s">
        <v>519</v>
      </c>
      <c r="BE77" s="71" t="s">
        <v>520</v>
      </c>
      <c r="BF77" t="s">
        <v>525</v>
      </c>
      <c r="BG77" s="75" t="s">
        <v>547</v>
      </c>
      <c r="BH77" s="75" t="s">
        <v>548</v>
      </c>
      <c r="BI77" s="71" t="s">
        <v>521</v>
      </c>
      <c r="BJ77" s="71" t="s">
        <v>522</v>
      </c>
      <c r="BK77" s="75" t="s">
        <v>527</v>
      </c>
      <c r="BL77" s="71" t="s">
        <v>523</v>
      </c>
      <c r="BM77" s="71" t="s">
        <v>524</v>
      </c>
      <c r="BN77" s="75" t="s">
        <v>442</v>
      </c>
      <c r="BO77" s="71" t="s">
        <v>439</v>
      </c>
      <c r="BP77" s="75" t="s">
        <v>440</v>
      </c>
      <c r="BQ77" s="71" t="s">
        <v>526</v>
      </c>
      <c r="BR77" s="71"/>
      <c r="BS77" s="71"/>
      <c r="BT77" s="71"/>
      <c r="BU77" s="71"/>
      <c r="BV77" s="71"/>
      <c r="BW77" s="71"/>
      <c r="BX77" s="71"/>
      <c r="BY77" s="71"/>
      <c r="BZ77" s="71"/>
      <c r="CA77" s="71"/>
      <c r="CB77" s="71"/>
      <c r="CC77" s="71"/>
      <c r="CD77" s="71"/>
      <c r="CE77" s="71"/>
      <c r="CF77" s="71"/>
      <c r="CG77" s="71"/>
      <c r="CH77" s="71"/>
      <c r="CI77" s="71"/>
      <c r="CJ77" s="71"/>
      <c r="CK77" s="71"/>
      <c r="CL77" s="71"/>
      <c r="CM77" s="71"/>
      <c r="CN77" s="71"/>
      <c r="CO77" s="71"/>
      <c r="CP77" s="71"/>
      <c r="CQ77" s="71"/>
      <c r="CR77" s="71"/>
      <c r="CS77" s="71"/>
      <c r="CT77" s="71"/>
      <c r="CU77" s="71"/>
      <c r="CV77" s="71"/>
      <c r="CW77" s="71"/>
      <c r="CX77" s="71"/>
      <c r="CY77" s="71"/>
      <c r="CZ77" s="71"/>
      <c r="DA77" s="71"/>
      <c r="DB77" s="71"/>
      <c r="DC77" s="74">
        <f t="shared" si="206"/>
        <v>75</v>
      </c>
      <c r="DD77">
        <v>10</v>
      </c>
      <c r="DE77">
        <v>100</v>
      </c>
      <c r="DF77">
        <v>80</v>
      </c>
      <c r="DG77">
        <v>5</v>
      </c>
      <c r="DH77">
        <v>15</v>
      </c>
      <c r="DI77">
        <v>20</v>
      </c>
      <c r="DJ77">
        <v>18</v>
      </c>
      <c r="EH77">
        <f t="shared" si="210"/>
        <v>90</v>
      </c>
      <c r="EI77">
        <f t="shared" si="211"/>
        <v>70</v>
      </c>
      <c r="EJ77">
        <f t="shared" si="212"/>
        <v>20</v>
      </c>
      <c r="EK77" s="91">
        <f t="shared" si="194"/>
        <v>5</v>
      </c>
      <c r="EL77" s="91">
        <f t="shared" si="195"/>
        <v>65</v>
      </c>
      <c r="EM77">
        <f t="shared" si="213"/>
        <v>5</v>
      </c>
      <c r="EN77" s="91">
        <f t="shared" si="197"/>
        <v>3</v>
      </c>
      <c r="EO77">
        <f>EM77-EN77</f>
        <v>2</v>
      </c>
      <c r="EP77" s="90">
        <f t="shared" si="214"/>
        <v>28.571428571428569</v>
      </c>
      <c r="EQ77" s="90" t="e">
        <f>EI77/VALUE(MID($A$1,FIND("Vol=",$A$1)+4,LEN($A$1)-(FIND("Vol=",$A$1)+4)))</f>
        <v>#VALUE!</v>
      </c>
      <c r="ER77" s="91" t="e">
        <f t="shared" si="201"/>
        <v>#VALUE!</v>
      </c>
      <c r="ES77" s="91">
        <f t="shared" si="207"/>
        <v>7.1428571428571423</v>
      </c>
      <c r="ET77" s="91">
        <f t="shared" si="208"/>
        <v>92.857142857142861</v>
      </c>
      <c r="EU77" s="80">
        <f>EO77/EM77*100</f>
        <v>40</v>
      </c>
    </row>
    <row r="78" spans="1:153" ht="15.6" thickTop="1" thickBot="1" x14ac:dyDescent="0.35">
      <c r="A78" s="62">
        <f t="shared" si="179"/>
        <v>76</v>
      </c>
      <c r="B78" s="100" t="s">
        <v>564</v>
      </c>
      <c r="C78" s="62" t="str">
        <f t="shared" si="205"/>
        <v>76: Labcell soil core in 6x9 bag-in-tray &gt; dry &gt; stones &gt; LOI = %SM, DB, Stones, LOI (Vol=248.82)</v>
      </c>
      <c r="D78" s="63">
        <f t="shared" si="209"/>
        <v>6</v>
      </c>
      <c r="E78" s="62">
        <v>1</v>
      </c>
      <c r="F78" s="62">
        <v>2</v>
      </c>
      <c r="G78" s="62">
        <v>3</v>
      </c>
      <c r="H78" s="62">
        <v>4</v>
      </c>
      <c r="I78" s="62">
        <v>5</v>
      </c>
      <c r="J78" s="62">
        <v>6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4">
        <f>COUNTA(Z78:BC78)</f>
        <v>6</v>
      </c>
      <c r="Z78" s="66" t="s">
        <v>561</v>
      </c>
      <c r="AA78" s="66" t="s">
        <v>562</v>
      </c>
      <c r="AB78" s="96" t="s">
        <v>649</v>
      </c>
      <c r="AC78" s="95" t="s">
        <v>516</v>
      </c>
      <c r="AD78" s="66" t="s">
        <v>517</v>
      </c>
      <c r="AE78" s="66" t="s">
        <v>518</v>
      </c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75" t="s">
        <v>559</v>
      </c>
      <c r="BE78" s="75" t="s">
        <v>560</v>
      </c>
      <c r="BF78" s="71" t="s">
        <v>519</v>
      </c>
      <c r="BG78" s="71" t="s">
        <v>520</v>
      </c>
      <c r="BH78" t="s">
        <v>525</v>
      </c>
      <c r="BI78" s="75" t="s">
        <v>547</v>
      </c>
      <c r="BJ78" s="75" t="s">
        <v>548</v>
      </c>
      <c r="BK78" s="71" t="s">
        <v>521</v>
      </c>
      <c r="BL78" s="71" t="s">
        <v>522</v>
      </c>
      <c r="BM78" s="75" t="s">
        <v>527</v>
      </c>
      <c r="BN78" s="71" t="s">
        <v>523</v>
      </c>
      <c r="BO78" s="71" t="s">
        <v>524</v>
      </c>
      <c r="BP78" s="75" t="s">
        <v>442</v>
      </c>
      <c r="BQ78" s="71" t="s">
        <v>439</v>
      </c>
      <c r="BR78" s="75" t="s">
        <v>440</v>
      </c>
      <c r="BS78" s="71" t="s">
        <v>526</v>
      </c>
      <c r="BT78" s="71"/>
      <c r="BU78" s="71"/>
      <c r="BV78" s="71"/>
      <c r="BW78" s="71"/>
      <c r="BX78" s="71"/>
      <c r="BY78" s="71"/>
      <c r="BZ78" s="71"/>
      <c r="CA78" s="71"/>
      <c r="CB78" s="71"/>
      <c r="CC78" s="71"/>
      <c r="CD78" s="71"/>
      <c r="CE78" s="71"/>
      <c r="CF78" s="71"/>
      <c r="CG78" s="71"/>
      <c r="CH78" s="71"/>
      <c r="CI78" s="71"/>
      <c r="CJ78" s="71"/>
      <c r="CK78" s="71"/>
      <c r="CL78" s="71"/>
      <c r="CM78" s="71"/>
      <c r="CN78" s="71"/>
      <c r="CO78" s="71"/>
      <c r="CP78" s="71"/>
      <c r="CQ78" s="71"/>
      <c r="CR78" s="71"/>
      <c r="CS78" s="71"/>
      <c r="CT78" s="71"/>
      <c r="CU78" s="71"/>
      <c r="CV78" s="71"/>
      <c r="CW78" s="71"/>
      <c r="CX78" s="71"/>
      <c r="CY78" s="71"/>
      <c r="CZ78" s="71"/>
      <c r="DA78" s="71"/>
      <c r="DB78" s="71"/>
      <c r="DC78" s="74">
        <f t="shared" si="206"/>
        <v>76</v>
      </c>
      <c r="DD78">
        <v>100</v>
      </c>
      <c r="DE78">
        <v>80</v>
      </c>
      <c r="DF78">
        <v>5</v>
      </c>
      <c r="DG78">
        <v>15</v>
      </c>
      <c r="DH78">
        <v>20</v>
      </c>
      <c r="DI78">
        <v>18</v>
      </c>
      <c r="EH78">
        <v>3.3507799999999999</v>
      </c>
      <c r="EI78">
        <v>3.3352599999999999</v>
      </c>
      <c r="EJ78">
        <f>DD78-EH78-EI78</f>
        <v>93.313959999999994</v>
      </c>
      <c r="EK78">
        <f>DE78-EI78</f>
        <v>76.664739999999995</v>
      </c>
      <c r="EL78">
        <f>EJ78-EK78</f>
        <v>16.64922</v>
      </c>
      <c r="EM78">
        <f>DF78-EI78</f>
        <v>1.6647400000000001</v>
      </c>
      <c r="EN78">
        <f>EK78-EM78</f>
        <v>75</v>
      </c>
      <c r="EO78">
        <f>DH78-DG78</f>
        <v>5</v>
      </c>
      <c r="EP78">
        <f>DI78-DG78</f>
        <v>3</v>
      </c>
      <c r="EQ78">
        <f>EO78-EP78</f>
        <v>2</v>
      </c>
      <c r="ER78" s="90">
        <f>EL78/EK78*100</f>
        <v>21.716919668676894</v>
      </c>
      <c r="ES78" s="90" t="e">
        <f>EK78/VALUE(MID($A$1,FIND("Vol=",$A$1)+4,LEN($A$1)-(FIND("Vol=",$A$1)+4)))</f>
        <v>#VALUE!</v>
      </c>
      <c r="ET78" t="e">
        <f>100*(1-(ES78/2.65))</f>
        <v>#VALUE!</v>
      </c>
      <c r="EU78">
        <f>EM78/EK78*100</f>
        <v>2.171454569597445</v>
      </c>
      <c r="EV78">
        <f>EN78/EK78*100</f>
        <v>97.828545430402556</v>
      </c>
      <c r="EW78" s="80">
        <f>EQ78/EO78*100</f>
        <v>40</v>
      </c>
    </row>
    <row r="79" spans="1:153" ht="15.6" thickTop="1" thickBot="1" x14ac:dyDescent="0.35">
      <c r="A79" s="62">
        <f t="shared" si="179"/>
        <v>77</v>
      </c>
      <c r="B79" s="100" t="s">
        <v>563</v>
      </c>
      <c r="C79" s="62" t="str">
        <f t="shared" ref="C79:C80" si="216">CONCATENATE(A79,": ",B79)</f>
        <v>77: Labcell soil core in 5x7 bag-in-tray &gt; dry &gt; stones &gt; LOI = %SM, DB, Stones, LOI (Vol=248.82)</v>
      </c>
      <c r="D79" s="63">
        <f t="shared" ref="D79:D80" si="217">COUNT(E79:X79)</f>
        <v>6</v>
      </c>
      <c r="E79" s="62">
        <v>1</v>
      </c>
      <c r="F79" s="62">
        <v>2</v>
      </c>
      <c r="G79" s="62">
        <v>3</v>
      </c>
      <c r="H79" s="62">
        <v>4</v>
      </c>
      <c r="I79" s="62">
        <v>5</v>
      </c>
      <c r="J79" s="62">
        <v>6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4">
        <f>COUNTA(Z79:BC79)</f>
        <v>6</v>
      </c>
      <c r="Z79" s="66" t="s">
        <v>561</v>
      </c>
      <c r="AA79" s="66" t="s">
        <v>562</v>
      </c>
      <c r="AB79" s="96" t="s">
        <v>546</v>
      </c>
      <c r="AC79" s="95" t="s">
        <v>516</v>
      </c>
      <c r="AD79" s="66" t="s">
        <v>517</v>
      </c>
      <c r="AE79" s="66" t="s">
        <v>518</v>
      </c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75" t="s">
        <v>559</v>
      </c>
      <c r="BE79" s="75" t="s">
        <v>560</v>
      </c>
      <c r="BF79" s="71" t="s">
        <v>519</v>
      </c>
      <c r="BG79" s="71" t="s">
        <v>520</v>
      </c>
      <c r="BH79" t="s">
        <v>525</v>
      </c>
      <c r="BI79" s="75" t="s">
        <v>547</v>
      </c>
      <c r="BJ79" s="75" t="s">
        <v>548</v>
      </c>
      <c r="BK79" s="71" t="s">
        <v>521</v>
      </c>
      <c r="BL79" s="71" t="s">
        <v>522</v>
      </c>
      <c r="BM79" s="75" t="s">
        <v>527</v>
      </c>
      <c r="BN79" s="71" t="s">
        <v>523</v>
      </c>
      <c r="BO79" s="71" t="s">
        <v>524</v>
      </c>
      <c r="BP79" s="75" t="s">
        <v>442</v>
      </c>
      <c r="BQ79" s="71" t="s">
        <v>439</v>
      </c>
      <c r="BR79" s="75" t="s">
        <v>440</v>
      </c>
      <c r="BS79" s="71" t="s">
        <v>526</v>
      </c>
      <c r="BT79" s="71"/>
      <c r="BU79" s="71"/>
      <c r="BV79" s="71"/>
      <c r="BW79" s="71"/>
      <c r="BX79" s="71"/>
      <c r="BY79" s="71"/>
      <c r="BZ79" s="71"/>
      <c r="CA79" s="71"/>
      <c r="CB79" s="71"/>
      <c r="CC79" s="71"/>
      <c r="CD79" s="71"/>
      <c r="CE79" s="71"/>
      <c r="CF79" s="71"/>
      <c r="CG79" s="71"/>
      <c r="CH79" s="71"/>
      <c r="CI79" s="71"/>
      <c r="CJ79" s="71"/>
      <c r="CK79" s="71"/>
      <c r="CL79" s="71"/>
      <c r="CM79" s="71"/>
      <c r="CN79" s="71"/>
      <c r="CO79" s="71"/>
      <c r="CP79" s="71"/>
      <c r="CQ79" s="71"/>
      <c r="CR79" s="71"/>
      <c r="CS79" s="71"/>
      <c r="CT79" s="71"/>
      <c r="CU79" s="71"/>
      <c r="CV79" s="71"/>
      <c r="CW79" s="71"/>
      <c r="CX79" s="71"/>
      <c r="CY79" s="71"/>
      <c r="CZ79" s="71"/>
      <c r="DA79" s="71"/>
      <c r="DB79" s="71"/>
      <c r="DC79" s="74">
        <f t="shared" ref="DC79:DC80" si="218">A79</f>
        <v>77</v>
      </c>
      <c r="DD79">
        <v>100</v>
      </c>
      <c r="DE79">
        <v>80</v>
      </c>
      <c r="DF79">
        <v>5</v>
      </c>
      <c r="DG79">
        <v>15</v>
      </c>
      <c r="DH79">
        <v>20</v>
      </c>
      <c r="DI79">
        <v>18</v>
      </c>
      <c r="EH79">
        <v>3.3507799999999999</v>
      </c>
      <c r="EI79">
        <v>3.3352599999999999</v>
      </c>
      <c r="EJ79" s="91">
        <f>DD79-EH79-EI79</f>
        <v>93.313959999999994</v>
      </c>
      <c r="EK79" s="91">
        <f>DE79-EI79</f>
        <v>76.664739999999995</v>
      </c>
      <c r="EL79" s="91">
        <f>EJ79-EK79</f>
        <v>16.64922</v>
      </c>
      <c r="EM79" s="91">
        <f>DF79</f>
        <v>5</v>
      </c>
      <c r="EN79" s="91">
        <f>EK79-EM79</f>
        <v>71.664739999999995</v>
      </c>
      <c r="EO79" s="91">
        <f>DH79-DG79</f>
        <v>5</v>
      </c>
      <c r="EP79" s="91">
        <f>DI79-DG79</f>
        <v>3</v>
      </c>
      <c r="EQ79" s="91">
        <f>EO79-EP79</f>
        <v>2</v>
      </c>
      <c r="ER79" s="92">
        <f>EL79/EK79*100</f>
        <v>21.716919668676894</v>
      </c>
      <c r="ES79" s="92" t="e">
        <f>EK79/VALUE(MID($A$1,FIND("Vol=",$A$1)+4,LEN($A$1)-(FIND("Vol=",$A$1)+4)))</f>
        <v>#VALUE!</v>
      </c>
      <c r="ET79" s="91" t="e">
        <f>100*(1-(ES79/2.65))</f>
        <v>#VALUE!</v>
      </c>
      <c r="EU79" s="91">
        <f>EM79/EK79*100</f>
        <v>6.5219030286935045</v>
      </c>
      <c r="EV79" s="91">
        <f>EN79/EK79*100</f>
        <v>93.478096971306499</v>
      </c>
      <c r="EW79" s="93">
        <f>EQ79/EO79*100</f>
        <v>40</v>
      </c>
    </row>
    <row r="80" spans="1:153" ht="15.6" thickTop="1" thickBot="1" x14ac:dyDescent="0.35">
      <c r="A80" s="62">
        <f t="shared" si="179"/>
        <v>78</v>
      </c>
      <c r="B80" s="100" t="s">
        <v>643</v>
      </c>
      <c r="C80" s="62" t="str">
        <f t="shared" si="216"/>
        <v>78: Root corer soil core in 6x9 bag-in-tray &gt; dry &gt; stones &gt; LOI = %SM, DB, Stones, LOI (Vol=248.82)</v>
      </c>
      <c r="D80" s="63">
        <f t="shared" si="217"/>
        <v>6</v>
      </c>
      <c r="E80" s="62">
        <v>1</v>
      </c>
      <c r="F80" s="62">
        <v>2</v>
      </c>
      <c r="G80" s="62">
        <v>3</v>
      </c>
      <c r="H80" s="62">
        <v>4</v>
      </c>
      <c r="I80" s="62">
        <v>5</v>
      </c>
      <c r="J80" s="62">
        <v>6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4">
        <f>COUNTA(Z80:BC80)</f>
        <v>6</v>
      </c>
      <c r="Z80" s="66" t="s">
        <v>561</v>
      </c>
      <c r="AA80" s="66" t="s">
        <v>562</v>
      </c>
      <c r="AB80" s="96" t="s">
        <v>546</v>
      </c>
      <c r="AC80" s="95" t="s">
        <v>516</v>
      </c>
      <c r="AD80" s="66" t="s">
        <v>517</v>
      </c>
      <c r="AE80" s="66" t="s">
        <v>518</v>
      </c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75" t="s">
        <v>559</v>
      </c>
      <c r="BE80" s="75" t="s">
        <v>560</v>
      </c>
      <c r="BF80" s="71" t="s">
        <v>519</v>
      </c>
      <c r="BG80" s="71" t="s">
        <v>520</v>
      </c>
      <c r="BH80" t="s">
        <v>525</v>
      </c>
      <c r="BI80" s="75" t="s">
        <v>547</v>
      </c>
      <c r="BJ80" s="75" t="s">
        <v>548</v>
      </c>
      <c r="BK80" s="71" t="s">
        <v>521</v>
      </c>
      <c r="BL80" s="71" t="s">
        <v>522</v>
      </c>
      <c r="BM80" s="75" t="s">
        <v>527</v>
      </c>
      <c r="BN80" s="71" t="s">
        <v>523</v>
      </c>
      <c r="BO80" s="71" t="s">
        <v>524</v>
      </c>
      <c r="BP80" s="75" t="s">
        <v>442</v>
      </c>
      <c r="BQ80" s="71" t="s">
        <v>439</v>
      </c>
      <c r="BR80" s="75" t="s">
        <v>440</v>
      </c>
      <c r="BS80" s="71" t="s">
        <v>526</v>
      </c>
      <c r="BT80" s="71"/>
      <c r="BU80" s="71"/>
      <c r="BV80" s="71"/>
      <c r="BW80" s="71"/>
      <c r="BX80" s="71"/>
      <c r="BY80" s="71"/>
      <c r="BZ80" s="71"/>
      <c r="CA80" s="71"/>
      <c r="CB80" s="71"/>
      <c r="CC80" s="71"/>
      <c r="CD80" s="71"/>
      <c r="CE80" s="71"/>
      <c r="CF80" s="71"/>
      <c r="CG80" s="71"/>
      <c r="CH80" s="71"/>
      <c r="CI80" s="71"/>
      <c r="CJ80" s="71"/>
      <c r="CK80" s="71"/>
      <c r="CL80" s="71"/>
      <c r="CM80" s="71"/>
      <c r="CN80" s="71"/>
      <c r="CO80" s="71"/>
      <c r="CP80" s="71"/>
      <c r="CQ80" s="71"/>
      <c r="CR80" s="71"/>
      <c r="CS80" s="71"/>
      <c r="CT80" s="71"/>
      <c r="CU80" s="71"/>
      <c r="CV80" s="71"/>
      <c r="CW80" s="71"/>
      <c r="CX80" s="71"/>
      <c r="CY80" s="71"/>
      <c r="CZ80" s="71"/>
      <c r="DA80" s="71"/>
      <c r="DB80" s="71"/>
      <c r="DC80" s="74">
        <f t="shared" si="218"/>
        <v>78</v>
      </c>
      <c r="DD80">
        <v>100</v>
      </c>
      <c r="DE80">
        <v>80</v>
      </c>
      <c r="DF80">
        <v>5</v>
      </c>
      <c r="DG80">
        <v>15</v>
      </c>
      <c r="DH80">
        <v>20</v>
      </c>
      <c r="DI80">
        <v>18</v>
      </c>
      <c r="EH80">
        <v>3.3507799999999999</v>
      </c>
      <c r="EI80">
        <v>3.3352599999999999</v>
      </c>
      <c r="EJ80" s="91">
        <f>DD80-EH80-EI80</f>
        <v>93.313959999999994</v>
      </c>
      <c r="EK80" s="91">
        <f>DE80-EI80</f>
        <v>76.664739999999995</v>
      </c>
      <c r="EL80" s="91">
        <f>EJ80-EK80</f>
        <v>16.64922</v>
      </c>
      <c r="EM80" s="91">
        <f>DF80</f>
        <v>5</v>
      </c>
      <c r="EN80" s="91">
        <f>EK80-EM80</f>
        <v>71.664739999999995</v>
      </c>
      <c r="EO80" s="91">
        <f>DH80-DG80</f>
        <v>5</v>
      </c>
      <c r="EP80" s="91">
        <f>DI80-DG80</f>
        <v>3</v>
      </c>
      <c r="EQ80" s="91">
        <f>EO80-EP80</f>
        <v>2</v>
      </c>
      <c r="ER80" s="92">
        <f>EL80/EK80*100</f>
        <v>21.716919668676894</v>
      </c>
      <c r="ES80" s="92" t="e">
        <f>EK80/VALUE(MID($A$1,FIND("Vol=",$A$1)+4,LEN($A$1)-(FIND("Vol=",$A$1)+4)))</f>
        <v>#VALUE!</v>
      </c>
      <c r="ET80" s="91" t="e">
        <f>100*(1-(ES80/2.65))</f>
        <v>#VALUE!</v>
      </c>
      <c r="EU80" s="91">
        <f>EM80/EK80*100</f>
        <v>6.5219030286935045</v>
      </c>
      <c r="EV80" s="91">
        <f>EN80/EK80*100</f>
        <v>93.478096971306499</v>
      </c>
      <c r="EW80" s="93">
        <f>EQ80/EO80*100</f>
        <v>40</v>
      </c>
    </row>
    <row r="81" spans="1:157" ht="15.6" thickTop="1" thickBot="1" x14ac:dyDescent="0.35">
      <c r="A81" s="62">
        <f t="shared" si="179"/>
        <v>79</v>
      </c>
      <c r="B81" s="100" t="s">
        <v>565</v>
      </c>
      <c r="C81" s="62" t="str">
        <f t="shared" ref="C81:C86" si="219">CONCATENATE(A80,": ",B81)</f>
        <v>78: variable soil core in bag-in-tray &gt; dry &gt; stones &gt; LOI = %SM, DB, Stones, LOI</v>
      </c>
      <c r="D81" s="63">
        <f t="shared" ref="D81" si="220">COUNT(E81:X81)</f>
        <v>6</v>
      </c>
      <c r="E81" s="62">
        <v>1</v>
      </c>
      <c r="F81" s="62">
        <v>2</v>
      </c>
      <c r="G81" s="62">
        <v>3</v>
      </c>
      <c r="H81" s="62">
        <v>4</v>
      </c>
      <c r="I81" s="62">
        <v>5</v>
      </c>
      <c r="J81" s="62">
        <v>6</v>
      </c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4">
        <f>COUNTA(Z81:BC81)</f>
        <v>6</v>
      </c>
      <c r="Z81" s="66" t="s">
        <v>561</v>
      </c>
      <c r="AA81" s="66" t="s">
        <v>562</v>
      </c>
      <c r="AB81" s="96" t="s">
        <v>546</v>
      </c>
      <c r="AC81" s="95" t="s">
        <v>516</v>
      </c>
      <c r="AD81" s="66" t="s">
        <v>517</v>
      </c>
      <c r="AE81" s="66" t="s">
        <v>518</v>
      </c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75" t="s">
        <v>559</v>
      </c>
      <c r="BE81" s="75" t="s">
        <v>560</v>
      </c>
      <c r="BF81" s="71" t="s">
        <v>566</v>
      </c>
      <c r="BG81" s="71" t="s">
        <v>519</v>
      </c>
      <c r="BH81" s="71" t="s">
        <v>520</v>
      </c>
      <c r="BI81" t="s">
        <v>525</v>
      </c>
      <c r="BJ81" s="75" t="s">
        <v>547</v>
      </c>
      <c r="BK81" s="75" t="s">
        <v>548</v>
      </c>
      <c r="BL81" s="71" t="s">
        <v>521</v>
      </c>
      <c r="BM81" s="71" t="s">
        <v>522</v>
      </c>
      <c r="BN81" s="75" t="s">
        <v>527</v>
      </c>
      <c r="BO81" s="71" t="s">
        <v>523</v>
      </c>
      <c r="BP81" s="71" t="s">
        <v>524</v>
      </c>
      <c r="BQ81" s="75" t="s">
        <v>442</v>
      </c>
      <c r="BR81" s="71" t="s">
        <v>439</v>
      </c>
      <c r="BS81" s="75" t="s">
        <v>440</v>
      </c>
      <c r="BT81" s="71" t="s">
        <v>526</v>
      </c>
      <c r="BU81" s="71"/>
      <c r="BV81" s="71"/>
      <c r="BW81" s="71"/>
      <c r="BX81" s="71"/>
      <c r="BY81" s="71"/>
      <c r="BZ81" s="71"/>
      <c r="CA81" s="71"/>
      <c r="CB81" s="71"/>
      <c r="CC81" s="71"/>
      <c r="CD81" s="71"/>
      <c r="CE81" s="71"/>
      <c r="CF81" s="71"/>
      <c r="CG81" s="71"/>
      <c r="CH81" s="71"/>
      <c r="CI81" s="71"/>
      <c r="CJ81" s="71"/>
      <c r="CK81" s="71"/>
      <c r="CL81" s="71"/>
      <c r="CM81" s="71"/>
      <c r="CN81" s="71"/>
      <c r="CO81" s="71"/>
      <c r="CP81" s="71"/>
      <c r="CQ81" s="71"/>
      <c r="CR81" s="71"/>
      <c r="CS81" s="71"/>
      <c r="CT81" s="71"/>
      <c r="CU81" s="71"/>
      <c r="CV81" s="71"/>
      <c r="CW81" s="71"/>
      <c r="CX81" s="71"/>
      <c r="CY81" s="71"/>
      <c r="CZ81" s="71"/>
      <c r="DA81" s="71"/>
      <c r="DB81" s="71"/>
      <c r="DC81" s="74">
        <f t="shared" ref="DC81:DC86" si="221">A80</f>
        <v>78</v>
      </c>
      <c r="DD81">
        <v>100</v>
      </c>
      <c r="DE81">
        <v>80</v>
      </c>
      <c r="DF81">
        <v>5</v>
      </c>
      <c r="DG81">
        <v>15</v>
      </c>
      <c r="DH81">
        <v>20</v>
      </c>
      <c r="DI81">
        <v>18</v>
      </c>
      <c r="EH81">
        <v>3.3507799999999999</v>
      </c>
      <c r="EI81">
        <v>3.3352599999999999</v>
      </c>
      <c r="EJ81">
        <v>219.34</v>
      </c>
      <c r="EK81" s="91">
        <f>DD81-EH81-EI81</f>
        <v>93.313959999999994</v>
      </c>
      <c r="EL81" s="91">
        <f>DE81-EI81</f>
        <v>76.664739999999995</v>
      </c>
      <c r="EM81" s="91">
        <f>EK81-EL81</f>
        <v>16.64922</v>
      </c>
      <c r="EN81" s="91">
        <f>DF81</f>
        <v>5</v>
      </c>
      <c r="EO81" s="91">
        <f>EL81-EN81</f>
        <v>71.664739999999995</v>
      </c>
      <c r="EP81" s="91">
        <f>DH81-DG81</f>
        <v>5</v>
      </c>
      <c r="EQ81" s="91">
        <f>DI81-DG81</f>
        <v>3</v>
      </c>
      <c r="ER81" s="91">
        <f>EP81-EQ81</f>
        <v>2</v>
      </c>
      <c r="ES81" s="92">
        <f>EM81/EL81*100</f>
        <v>21.716919668676894</v>
      </c>
      <c r="ET81" s="92">
        <f>EL81/EJ81</f>
        <v>0.3495246649038023</v>
      </c>
      <c r="EU81" s="91">
        <f>100*(1-(ET81/2.65))</f>
        <v>86.810390003630104</v>
      </c>
      <c r="EV81" s="91">
        <f>EN81/EL81*100</f>
        <v>6.5219030286935045</v>
      </c>
      <c r="EW81" s="91">
        <f>EO81/EL81*100</f>
        <v>93.478096971306499</v>
      </c>
      <c r="EX81" s="93">
        <f>ER81/EP81*100</f>
        <v>40</v>
      </c>
    </row>
    <row r="82" spans="1:157" ht="15.6" thickTop="1" thickBot="1" x14ac:dyDescent="0.35">
      <c r="A82" s="62">
        <f t="shared" si="179"/>
        <v>80</v>
      </c>
      <c r="B82" s="62" t="s">
        <v>536</v>
      </c>
      <c r="C82" s="62" t="str">
        <f t="shared" si="219"/>
        <v>79: Fixed vol peat Db-LOI: Cruc &gt; dry+peat &gt; burnt (Vol=10.00)</v>
      </c>
      <c r="D82" s="63">
        <f t="shared" ref="D82:D84" si="222">COUNT(E82:X82)</f>
        <v>3</v>
      </c>
      <c r="E82" s="62">
        <v>1</v>
      </c>
      <c r="F82" s="62">
        <v>2</v>
      </c>
      <c r="G82" s="62">
        <v>3</v>
      </c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4">
        <f t="shared" ref="Y82:Y84" si="223">COUNTA(Z82:BC82)</f>
        <v>3</v>
      </c>
      <c r="Z82" s="66" t="s">
        <v>516</v>
      </c>
      <c r="AA82" s="66" t="s">
        <v>532</v>
      </c>
      <c r="AB82" s="66" t="s">
        <v>533</v>
      </c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71" t="s">
        <v>534</v>
      </c>
      <c r="BE82" s="71" t="s">
        <v>535</v>
      </c>
      <c r="BF82" s="71" t="s">
        <v>339</v>
      </c>
      <c r="BG82" s="71" t="s">
        <v>524</v>
      </c>
      <c r="BH82" s="71" t="s">
        <v>526</v>
      </c>
      <c r="BI82" s="71"/>
      <c r="BJ82" s="71"/>
      <c r="BK82" s="71"/>
      <c r="BL82" s="71"/>
      <c r="BM82" s="71"/>
      <c r="BN82" s="71"/>
      <c r="BO82" s="71"/>
      <c r="BP82" s="71"/>
      <c r="BQ82" s="71"/>
      <c r="BR82" s="71"/>
      <c r="BS82" s="71"/>
      <c r="BT82" s="71"/>
      <c r="BU82" s="71"/>
      <c r="BV82" s="71"/>
      <c r="BW82" s="71"/>
      <c r="BX82" s="71"/>
      <c r="BY82" s="71"/>
      <c r="BZ82" s="71"/>
      <c r="CA82" s="71"/>
      <c r="CB82" s="71"/>
      <c r="CC82" s="71"/>
      <c r="CD82" s="71"/>
      <c r="CE82" s="71"/>
      <c r="CF82" s="71"/>
      <c r="CG82" s="71"/>
      <c r="CH82" s="71"/>
      <c r="CI82" s="71"/>
      <c r="CJ82" s="71"/>
      <c r="CK82" s="71"/>
      <c r="CL82" s="71"/>
      <c r="CM82" s="71"/>
      <c r="CN82" s="71"/>
      <c r="CO82" s="71"/>
      <c r="CP82" s="71"/>
      <c r="CQ82" s="71"/>
      <c r="CR82" s="71"/>
      <c r="CS82" s="71"/>
      <c r="CT82" s="71"/>
      <c r="CU82" s="71"/>
      <c r="CV82" s="71"/>
      <c r="CW82" s="71"/>
      <c r="CX82" s="71"/>
      <c r="CY82" s="71"/>
      <c r="CZ82" s="71"/>
      <c r="DA82" s="71"/>
      <c r="DB82" s="71"/>
      <c r="DC82" s="74">
        <f t="shared" si="221"/>
        <v>79</v>
      </c>
      <c r="DD82">
        <v>10</v>
      </c>
      <c r="DE82">
        <v>15</v>
      </c>
      <c r="DF82">
        <v>12</v>
      </c>
      <c r="EH82">
        <f t="shared" ref="EH82:EH84" si="224">DE82-DD82</f>
        <v>5</v>
      </c>
      <c r="EI82">
        <f t="shared" ref="EI82:EI84" si="225">DF82-DD82</f>
        <v>2</v>
      </c>
      <c r="EJ82">
        <f t="shared" ref="EJ82" si="226">EH82-EI82</f>
        <v>3</v>
      </c>
      <c r="EK82" s="90" t="e">
        <f>EH82/VALUE(MID($A$1,FIND("Vol=",$A$1)+4,LEN($A$1)-(FIND("Vol=",$A$1)+4)))</f>
        <v>#VALUE!</v>
      </c>
      <c r="EL82" s="90">
        <f>EJ82/EH82*100</f>
        <v>60</v>
      </c>
    </row>
    <row r="83" spans="1:157" ht="15.6" thickTop="1" thickBot="1" x14ac:dyDescent="0.35">
      <c r="A83" s="62">
        <f t="shared" si="179"/>
        <v>81</v>
      </c>
      <c r="B83" s="62" t="s">
        <v>537</v>
      </c>
      <c r="C83" s="62" t="str">
        <f t="shared" si="219"/>
        <v>80: Fixed vol peat %SM-Db-%LOI: Cruc &gt; wet wt &gt; dry &gt; burnt (Vol=10.00)</v>
      </c>
      <c r="D83" s="63">
        <f t="shared" si="222"/>
        <v>4</v>
      </c>
      <c r="E83" s="62">
        <v>1</v>
      </c>
      <c r="F83" s="62">
        <v>2</v>
      </c>
      <c r="G83" s="62">
        <v>3</v>
      </c>
      <c r="H83" s="62">
        <v>4</v>
      </c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4">
        <f t="shared" si="223"/>
        <v>4</v>
      </c>
      <c r="Z83" s="66" t="s">
        <v>516</v>
      </c>
      <c r="AA83" s="66" t="s">
        <v>538</v>
      </c>
      <c r="AB83" s="66" t="s">
        <v>539</v>
      </c>
      <c r="AC83" s="66" t="s">
        <v>540</v>
      </c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71" t="s">
        <v>541</v>
      </c>
      <c r="BE83" s="71" t="s">
        <v>534</v>
      </c>
      <c r="BF83" t="s">
        <v>525</v>
      </c>
      <c r="BG83" s="71" t="s">
        <v>535</v>
      </c>
      <c r="BH83" s="71" t="s">
        <v>542</v>
      </c>
      <c r="BI83" s="71" t="s">
        <v>543</v>
      </c>
      <c r="BJ83" s="71" t="s">
        <v>524</v>
      </c>
      <c r="BK83" s="71" t="s">
        <v>526</v>
      </c>
      <c r="BL83" s="71"/>
      <c r="BM83" s="71"/>
      <c r="BN83" s="71"/>
      <c r="BO83" s="71"/>
      <c r="BP83" s="71"/>
      <c r="BQ83" s="71"/>
      <c r="BR83" s="71"/>
      <c r="BS83" s="71"/>
      <c r="BT83" s="71"/>
      <c r="BU83" s="71"/>
      <c r="BV83" s="71"/>
      <c r="BW83" s="71"/>
      <c r="BX83" s="71"/>
      <c r="BY83" s="71"/>
      <c r="BZ83" s="71"/>
      <c r="CA83" s="71"/>
      <c r="CB83" s="71"/>
      <c r="CC83" s="71"/>
      <c r="CD83" s="71"/>
      <c r="CE83" s="71"/>
      <c r="CF83" s="71"/>
      <c r="CG83" s="71"/>
      <c r="CH83" s="71"/>
      <c r="CI83" s="71"/>
      <c r="CJ83" s="71"/>
      <c r="CK83" s="71"/>
      <c r="CL83" s="71"/>
      <c r="CM83" s="71"/>
      <c r="CN83" s="71"/>
      <c r="CO83" s="71"/>
      <c r="CP83" s="71"/>
      <c r="CQ83" s="71"/>
      <c r="CR83" s="71"/>
      <c r="CS83" s="71"/>
      <c r="CT83" s="71"/>
      <c r="CU83" s="71"/>
      <c r="CV83" s="71"/>
      <c r="CW83" s="71"/>
      <c r="CX83" s="71"/>
      <c r="CY83" s="71"/>
      <c r="CZ83" s="71"/>
      <c r="DA83" s="71"/>
      <c r="DB83" s="71"/>
      <c r="DC83" s="74">
        <f t="shared" si="221"/>
        <v>80</v>
      </c>
      <c r="DD83">
        <v>10</v>
      </c>
      <c r="DE83">
        <v>15</v>
      </c>
      <c r="DF83">
        <v>14</v>
      </c>
      <c r="DG83">
        <v>12</v>
      </c>
      <c r="EH83">
        <f t="shared" si="224"/>
        <v>5</v>
      </c>
      <c r="EI83">
        <f t="shared" si="225"/>
        <v>4</v>
      </c>
      <c r="EJ83">
        <f>EH83-EI83</f>
        <v>1</v>
      </c>
      <c r="EK83">
        <f>DG83-DD83</f>
        <v>2</v>
      </c>
      <c r="EL83">
        <f>EI83-EK83</f>
        <v>2</v>
      </c>
      <c r="EM83">
        <f>EJ83/EI83*100</f>
        <v>25</v>
      </c>
      <c r="EN83" t="e">
        <f>EI83/VALUE(MID($A$1,FIND("Vol=",$A$1)+4,LEN($A$1)-(FIND("Vol=",$A$1)+4)))</f>
        <v>#VALUE!</v>
      </c>
      <c r="EO83">
        <f>EL83/EI83*100</f>
        <v>50</v>
      </c>
    </row>
    <row r="84" spans="1:157" ht="22.2" thickTop="1" thickBot="1" x14ac:dyDescent="0.45">
      <c r="A84" s="62">
        <f t="shared" si="179"/>
        <v>82</v>
      </c>
      <c r="B84" s="62" t="s">
        <v>544</v>
      </c>
      <c r="C84" s="62" t="str">
        <f t="shared" si="219"/>
        <v>81: Fixed vol peat %SM-Db-%LOI: Cruc » wet wt &gt; dry &gt; burnt (Vol=10.00)</v>
      </c>
      <c r="D84" s="63">
        <f t="shared" si="222"/>
        <v>3</v>
      </c>
      <c r="E84" s="62">
        <v>1</v>
      </c>
      <c r="F84" s="62">
        <v>3</v>
      </c>
      <c r="G84" s="62">
        <v>4</v>
      </c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4">
        <f t="shared" si="223"/>
        <v>4</v>
      </c>
      <c r="Z84" s="66" t="s">
        <v>516</v>
      </c>
      <c r="AA84" s="66" t="s">
        <v>538</v>
      </c>
      <c r="AB84" s="66" t="s">
        <v>539</v>
      </c>
      <c r="AC84" s="66" t="s">
        <v>540</v>
      </c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71" t="s">
        <v>541</v>
      </c>
      <c r="BE84" s="71" t="s">
        <v>534</v>
      </c>
      <c r="BF84" t="s">
        <v>525</v>
      </c>
      <c r="BG84" s="71" t="s">
        <v>535</v>
      </c>
      <c r="BH84" s="71" t="s">
        <v>542</v>
      </c>
      <c r="BI84" s="71" t="s">
        <v>543</v>
      </c>
      <c r="BJ84" s="71" t="s">
        <v>524</v>
      </c>
      <c r="BK84" s="71" t="s">
        <v>526</v>
      </c>
      <c r="BL84" s="71"/>
      <c r="BM84" s="71"/>
      <c r="BN84" s="71"/>
      <c r="BO84" s="71"/>
      <c r="BP84" s="71"/>
      <c r="BQ84" s="71"/>
      <c r="BR84" s="71"/>
      <c r="BS84" s="71"/>
      <c r="BT84" s="71"/>
      <c r="BU84" s="71"/>
      <c r="BV84" s="71"/>
      <c r="BW84" s="71"/>
      <c r="BX84" s="71"/>
      <c r="BY84" s="71"/>
      <c r="BZ84" s="71"/>
      <c r="CA84" s="71"/>
      <c r="CB84" s="71"/>
      <c r="CC84" s="71"/>
      <c r="CD84" s="71"/>
      <c r="CE84" s="71"/>
      <c r="CF84" s="71"/>
      <c r="CG84" s="71"/>
      <c r="CH84" s="71"/>
      <c r="CI84" s="71"/>
      <c r="CJ84" s="71"/>
      <c r="CK84" s="71"/>
      <c r="CL84" s="71"/>
      <c r="CM84" s="71"/>
      <c r="CN84" s="71"/>
      <c r="CO84" s="71"/>
      <c r="CP84" s="71"/>
      <c r="CQ84" s="71"/>
      <c r="CR84" s="71"/>
      <c r="CS84" s="71"/>
      <c r="CT84" s="71"/>
      <c r="CU84" s="71"/>
      <c r="CV84" s="71"/>
      <c r="CW84" s="71"/>
      <c r="CX84" s="71"/>
      <c r="CY84" s="71"/>
      <c r="CZ84" s="71"/>
      <c r="DA84" s="71"/>
      <c r="DB84" s="71"/>
      <c r="DC84" s="74">
        <f t="shared" si="221"/>
        <v>81</v>
      </c>
      <c r="DD84">
        <v>10</v>
      </c>
      <c r="DE84">
        <v>15</v>
      </c>
      <c r="DF84">
        <v>14</v>
      </c>
      <c r="DG84">
        <v>12</v>
      </c>
      <c r="EH84">
        <f t="shared" si="224"/>
        <v>5</v>
      </c>
      <c r="EI84">
        <f t="shared" si="225"/>
        <v>4</v>
      </c>
      <c r="EJ84">
        <f>EH84-EI84</f>
        <v>1</v>
      </c>
      <c r="EK84">
        <f>DG84-DD84</f>
        <v>2</v>
      </c>
      <c r="EL84">
        <f>EI84-EK84</f>
        <v>2</v>
      </c>
      <c r="EM84">
        <f>EJ84/EI84*100</f>
        <v>25</v>
      </c>
      <c r="EN84" t="e">
        <f>EI84/VALUE(MID($A$1,FIND("Vol=",$A$1)+4,LEN($A$1)-(FIND("Vol=",$A$1)+4)))</f>
        <v>#VALUE!</v>
      </c>
      <c r="EO84">
        <f>EL84/EI84*100</f>
        <v>50</v>
      </c>
    </row>
    <row r="85" spans="1:157" ht="15.6" thickTop="1" thickBot="1" x14ac:dyDescent="0.35">
      <c r="A85" s="62">
        <f t="shared" si="179"/>
        <v>83</v>
      </c>
      <c r="B85" s="62" t="s">
        <v>603</v>
      </c>
      <c r="C85" s="62" t="str">
        <f t="shared" si="219"/>
        <v>82: Andy Cheung pot &gt; SM tin &gt; SM tin+wet &gt; empty bkrs &gt; SM tin+dry &gt; bkrs + dry sediment &gt; MT jar &gt; LOI</v>
      </c>
      <c r="D85" s="63">
        <f>COUNT(E85:X85)</f>
        <v>4</v>
      </c>
      <c r="E85" s="62">
        <v>1</v>
      </c>
      <c r="F85" s="62">
        <v>4</v>
      </c>
      <c r="G85" s="62">
        <v>10</v>
      </c>
      <c r="H85" s="62">
        <v>11</v>
      </c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4">
        <f>COUNTA(Z85:BC85)</f>
        <v>27</v>
      </c>
      <c r="Z85" s="66" t="s">
        <v>569</v>
      </c>
      <c r="AA85" s="66" t="s">
        <v>570</v>
      </c>
      <c r="AB85" s="66" t="s">
        <v>571</v>
      </c>
      <c r="AC85" s="66" t="s">
        <v>572</v>
      </c>
      <c r="AD85" s="66" t="s">
        <v>573</v>
      </c>
      <c r="AE85" s="66" t="s">
        <v>574</v>
      </c>
      <c r="AF85" s="66" t="s">
        <v>575</v>
      </c>
      <c r="AG85" s="66" t="s">
        <v>576</v>
      </c>
      <c r="AH85" s="66" t="s">
        <v>577</v>
      </c>
      <c r="AI85" s="66" t="s">
        <v>584</v>
      </c>
      <c r="AJ85" s="103" t="s">
        <v>600</v>
      </c>
      <c r="AK85" s="66" t="s">
        <v>578</v>
      </c>
      <c r="AL85" s="66" t="s">
        <v>579</v>
      </c>
      <c r="AM85" s="66" t="s">
        <v>580</v>
      </c>
      <c r="AN85" s="66" t="s">
        <v>581</v>
      </c>
      <c r="AO85" s="66" t="s">
        <v>582</v>
      </c>
      <c r="AP85" s="66" t="s">
        <v>583</v>
      </c>
      <c r="AQ85" s="66" t="s">
        <v>585</v>
      </c>
      <c r="AR85" s="66" t="s">
        <v>597</v>
      </c>
      <c r="AS85" s="66" t="s">
        <v>598</v>
      </c>
      <c r="AT85" s="66" t="s">
        <v>604</v>
      </c>
      <c r="AU85" s="66" t="s">
        <v>610</v>
      </c>
      <c r="AV85" s="66" t="s">
        <v>608</v>
      </c>
      <c r="AW85" s="66" t="s">
        <v>609</v>
      </c>
      <c r="AX85" s="66" t="s">
        <v>605</v>
      </c>
      <c r="AY85" s="66" t="s">
        <v>606</v>
      </c>
      <c r="AZ85" s="66" t="s">
        <v>607</v>
      </c>
      <c r="BA85" s="66"/>
      <c r="BB85" s="66"/>
      <c r="BC85" s="66"/>
      <c r="BD85" s="71" t="s">
        <v>586</v>
      </c>
      <c r="BE85" s="71" t="s">
        <v>588</v>
      </c>
      <c r="BF85" s="75" t="s">
        <v>589</v>
      </c>
      <c r="BG85" s="75" t="s">
        <v>599</v>
      </c>
      <c r="BH85" s="71" t="s">
        <v>590</v>
      </c>
      <c r="BI85" s="71" t="s">
        <v>587</v>
      </c>
      <c r="BJ85" s="75" t="s">
        <v>601</v>
      </c>
      <c r="BK85" s="75" t="s">
        <v>602</v>
      </c>
      <c r="BL85" s="66" t="s">
        <v>591</v>
      </c>
      <c r="BM85" s="66" t="s">
        <v>592</v>
      </c>
      <c r="BN85" s="66" t="s">
        <v>593</v>
      </c>
      <c r="BO85" s="66" t="s">
        <v>594</v>
      </c>
      <c r="BP85" s="66" t="s">
        <v>595</v>
      </c>
      <c r="BQ85" s="66" t="s">
        <v>596</v>
      </c>
      <c r="BR85" s="71" t="s">
        <v>611</v>
      </c>
      <c r="BS85" s="71" t="s">
        <v>612</v>
      </c>
      <c r="BT85" s="71" t="s">
        <v>613</v>
      </c>
      <c r="BU85" s="71" t="s">
        <v>614</v>
      </c>
      <c r="BV85" s="71" t="s">
        <v>615</v>
      </c>
      <c r="BW85" s="71" t="s">
        <v>616</v>
      </c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4">
        <f t="shared" si="221"/>
        <v>82</v>
      </c>
      <c r="DD85">
        <v>300</v>
      </c>
      <c r="DE85">
        <v>10</v>
      </c>
      <c r="DF85">
        <v>15</v>
      </c>
      <c r="DG85">
        <v>180</v>
      </c>
      <c r="DH85">
        <v>181</v>
      </c>
      <c r="DI85">
        <v>182</v>
      </c>
      <c r="DJ85">
        <v>183</v>
      </c>
      <c r="DK85">
        <v>184</v>
      </c>
      <c r="DL85">
        <v>185</v>
      </c>
      <c r="DM85">
        <v>13</v>
      </c>
      <c r="DN85">
        <v>250</v>
      </c>
      <c r="DO85">
        <f>+DG85+1</f>
        <v>181</v>
      </c>
      <c r="DP85">
        <f>+DH85+2</f>
        <v>183</v>
      </c>
      <c r="DQ85">
        <f>+DI85+3</f>
        <v>185</v>
      </c>
      <c r="DR85">
        <f>+DJ85+4</f>
        <v>187</v>
      </c>
      <c r="DS85">
        <f>+DK85+5</f>
        <v>189</v>
      </c>
      <c r="DT85">
        <f>+DL85+6</f>
        <v>191</v>
      </c>
      <c r="DU85">
        <v>150</v>
      </c>
      <c r="DV85">
        <v>5</v>
      </c>
      <c r="DW85">
        <v>5</v>
      </c>
      <c r="DX85">
        <v>5</v>
      </c>
      <c r="DY85">
        <v>10</v>
      </c>
      <c r="DZ85">
        <v>13</v>
      </c>
      <c r="EA85">
        <v>12</v>
      </c>
      <c r="EB85">
        <v>9</v>
      </c>
      <c r="EC85">
        <v>12</v>
      </c>
      <c r="ED85">
        <v>11</v>
      </c>
      <c r="EH85">
        <f>DD85-DU85</f>
        <v>150</v>
      </c>
      <c r="EI85">
        <f>DF85-DE85</f>
        <v>5</v>
      </c>
      <c r="EJ85">
        <f>DM85-DE85</f>
        <v>3</v>
      </c>
      <c r="EK85">
        <f>EI85-EJ85</f>
        <v>2</v>
      </c>
      <c r="EL85">
        <f>EK85/EJ85*100</f>
        <v>66.666666666666657</v>
      </c>
      <c r="EM85">
        <f>EH85*(1-(EL85/100))</f>
        <v>50.000000000000021</v>
      </c>
      <c r="EN85">
        <f>DD85-DN85</f>
        <v>50</v>
      </c>
      <c r="EO85">
        <f>EN85*(1-(EL85/100))</f>
        <v>16.666666666666675</v>
      </c>
      <c r="EP85">
        <f t="shared" ref="EP85:EU85" si="227">DO85-DG85</f>
        <v>1</v>
      </c>
      <c r="EQ85">
        <f t="shared" si="227"/>
        <v>2</v>
      </c>
      <c r="ER85">
        <f t="shared" si="227"/>
        <v>3</v>
      </c>
      <c r="ES85">
        <f t="shared" si="227"/>
        <v>4</v>
      </c>
      <c r="ET85">
        <f t="shared" si="227"/>
        <v>5</v>
      </c>
      <c r="EU85">
        <f t="shared" si="227"/>
        <v>6</v>
      </c>
      <c r="EV85">
        <f>DZ85-DY85</f>
        <v>3</v>
      </c>
      <c r="EW85">
        <f>DZ85-EA85</f>
        <v>1</v>
      </c>
      <c r="EX85">
        <f>EW85/EV85*100</f>
        <v>33.333333333333329</v>
      </c>
      <c r="EY85">
        <f>EC85-EB85</f>
        <v>3</v>
      </c>
      <c r="EZ85">
        <f>EC85-ED85</f>
        <v>1</v>
      </c>
      <c r="FA85">
        <f>EZ85/EY85*100</f>
        <v>33.333333333333329</v>
      </c>
    </row>
    <row r="86" spans="1:157" ht="15.6" thickTop="1" thickBot="1" x14ac:dyDescent="0.35">
      <c r="A86" s="62">
        <f t="shared" si="179"/>
        <v>84</v>
      </c>
      <c r="B86" s="62" t="s">
        <v>617</v>
      </c>
      <c r="C86" s="62" t="str">
        <f t="shared" si="219"/>
        <v>83: Settling tube - 10 drops</v>
      </c>
      <c r="D86" s="63">
        <f>COUNT(E86:X86)</f>
        <v>10</v>
      </c>
      <c r="E86" s="62">
        <v>1</v>
      </c>
      <c r="F86" s="62">
        <v>2</v>
      </c>
      <c r="G86" s="62">
        <v>3</v>
      </c>
      <c r="H86" s="62">
        <v>4</v>
      </c>
      <c r="I86" s="62">
        <v>5</v>
      </c>
      <c r="J86" s="62">
        <v>6</v>
      </c>
      <c r="K86" s="62">
        <v>7</v>
      </c>
      <c r="L86" s="62">
        <v>8</v>
      </c>
      <c r="M86" s="62">
        <v>9</v>
      </c>
      <c r="N86" s="62">
        <v>10</v>
      </c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4">
        <f>COUNTA(Z86:BC86)</f>
        <v>10</v>
      </c>
      <c r="Z86" s="66" t="s">
        <v>618</v>
      </c>
      <c r="AA86" s="66" t="s">
        <v>619</v>
      </c>
      <c r="AB86" s="66" t="s">
        <v>620</v>
      </c>
      <c r="AC86" s="66" t="s">
        <v>621</v>
      </c>
      <c r="AD86" s="66" t="s">
        <v>622</v>
      </c>
      <c r="AE86" s="66" t="s">
        <v>623</v>
      </c>
      <c r="AF86" s="66" t="s">
        <v>624</v>
      </c>
      <c r="AG86" s="66" t="s">
        <v>625</v>
      </c>
      <c r="AH86" s="66" t="s">
        <v>626</v>
      </c>
      <c r="AI86" s="66" t="s">
        <v>627</v>
      </c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4">
        <f t="shared" si="221"/>
        <v>83</v>
      </c>
    </row>
    <row r="87" spans="1:157" ht="15.6" thickTop="1" thickBot="1" x14ac:dyDescent="0.35">
      <c r="A87" s="62">
        <f t="shared" si="179"/>
        <v>85</v>
      </c>
      <c r="B87" s="62"/>
      <c r="C87" s="62" t="str">
        <f t="shared" si="168"/>
        <v xml:space="preserve">85: </v>
      </c>
      <c r="D87" s="63">
        <f t="shared" si="180"/>
        <v>0</v>
      </c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4">
        <f t="shared" si="190"/>
        <v>0</v>
      </c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71"/>
      <c r="BE87" s="71"/>
      <c r="BF87" s="71"/>
      <c r="BG87" s="71"/>
      <c r="BH87" s="71"/>
      <c r="BI87" s="71"/>
      <c r="BJ87" s="71"/>
      <c r="BK87" s="71"/>
      <c r="BL87" s="71"/>
      <c r="BM87" s="71"/>
      <c r="BN87" s="71"/>
      <c r="BO87" s="71"/>
      <c r="BP87" s="71"/>
      <c r="BQ87" s="71"/>
      <c r="BR87" s="71"/>
      <c r="BS87" s="71"/>
      <c r="BT87" s="71"/>
      <c r="BU87" s="71"/>
      <c r="BV87" s="71"/>
      <c r="BW87" s="71"/>
      <c r="BX87" s="71"/>
      <c r="BY87" s="71"/>
      <c r="BZ87" s="71"/>
      <c r="CA87" s="71"/>
      <c r="CB87" s="71"/>
      <c r="CC87" s="71"/>
      <c r="CD87" s="71"/>
      <c r="CE87" s="71"/>
      <c r="CF87" s="71"/>
      <c r="CG87" s="71"/>
      <c r="CH87" s="71"/>
      <c r="CI87" s="71"/>
      <c r="CJ87" s="71"/>
      <c r="CK87" s="71"/>
      <c r="CL87" s="71"/>
      <c r="CM87" s="71"/>
      <c r="CN87" s="71"/>
      <c r="CO87" s="71"/>
      <c r="CP87" s="71"/>
      <c r="CQ87" s="71"/>
      <c r="CR87" s="71"/>
      <c r="CS87" s="71"/>
      <c r="CT87" s="71"/>
      <c r="CU87" s="71"/>
      <c r="CV87" s="71"/>
      <c r="CW87" s="71"/>
      <c r="CX87" s="71"/>
      <c r="CY87" s="71"/>
      <c r="CZ87" s="71"/>
      <c r="DA87" s="71"/>
      <c r="DB87" s="71"/>
      <c r="DC87" s="74">
        <f t="shared" si="169"/>
        <v>85</v>
      </c>
    </row>
    <row r="88" spans="1:157" ht="15.6" thickTop="1" thickBot="1" x14ac:dyDescent="0.35">
      <c r="A88" s="62">
        <f t="shared" si="179"/>
        <v>86</v>
      </c>
      <c r="B88" s="62"/>
      <c r="C88" s="62" t="str">
        <f t="shared" si="168"/>
        <v xml:space="preserve">86: </v>
      </c>
      <c r="D88" s="63">
        <f t="shared" si="180"/>
        <v>0</v>
      </c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4">
        <f t="shared" si="190"/>
        <v>0</v>
      </c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71"/>
      <c r="BE88" s="71"/>
      <c r="BF88" s="71"/>
      <c r="BG88" s="71"/>
      <c r="BH88" s="71"/>
      <c r="BI88" s="71"/>
      <c r="BJ88" s="71"/>
      <c r="BK88" s="71"/>
      <c r="BL88" s="71"/>
      <c r="BM88" s="71"/>
      <c r="BN88" s="71"/>
      <c r="BO88" s="71"/>
      <c r="BP88" s="71"/>
      <c r="BQ88" s="71"/>
      <c r="BR88" s="71"/>
      <c r="BS88" s="71"/>
      <c r="BT88" s="71"/>
      <c r="BU88" s="71"/>
      <c r="BV88" s="71"/>
      <c r="BW88" s="71"/>
      <c r="BX88" s="71"/>
      <c r="BY88" s="71"/>
      <c r="BZ88" s="71"/>
      <c r="CA88" s="71"/>
      <c r="CB88" s="71"/>
      <c r="CC88" s="71"/>
      <c r="CD88" s="71"/>
      <c r="CE88" s="71"/>
      <c r="CF88" s="71"/>
      <c r="CG88" s="71"/>
      <c r="CH88" s="71"/>
      <c r="CI88" s="71"/>
      <c r="CJ88" s="71"/>
      <c r="CK88" s="71"/>
      <c r="CL88" s="71"/>
      <c r="CM88" s="71"/>
      <c r="CN88" s="71"/>
      <c r="CO88" s="71"/>
      <c r="CP88" s="71"/>
      <c r="CQ88" s="71"/>
      <c r="CR88" s="71"/>
      <c r="CS88" s="71"/>
      <c r="CT88" s="71"/>
      <c r="CU88" s="71"/>
      <c r="CV88" s="71"/>
      <c r="CW88" s="71"/>
      <c r="CX88" s="71"/>
      <c r="CY88" s="71"/>
      <c r="CZ88" s="71"/>
      <c r="DA88" s="71"/>
      <c r="DB88" s="71"/>
      <c r="DC88" s="74">
        <f t="shared" si="169"/>
        <v>86</v>
      </c>
    </row>
    <row r="89" spans="1:157" ht="15.6" thickTop="1" thickBot="1" x14ac:dyDescent="0.35">
      <c r="A89" s="62">
        <f t="shared" si="179"/>
        <v>87</v>
      </c>
      <c r="B89" s="62"/>
      <c r="C89" s="62" t="str">
        <f t="shared" si="168"/>
        <v xml:space="preserve">87: </v>
      </c>
      <c r="D89" s="63">
        <f t="shared" si="180"/>
        <v>0</v>
      </c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4">
        <f t="shared" si="190"/>
        <v>0</v>
      </c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71"/>
      <c r="BE89" s="71"/>
      <c r="BF89" s="71"/>
      <c r="BG89" s="71"/>
      <c r="BH89" s="71"/>
      <c r="BI89" s="71"/>
      <c r="BJ89" s="71"/>
      <c r="BK89" s="71"/>
      <c r="BL89" s="71"/>
      <c r="BM89" s="71"/>
      <c r="BN89" s="71"/>
      <c r="BO89" s="71"/>
      <c r="BP89" s="71"/>
      <c r="BQ89" s="71"/>
      <c r="BR89" s="71"/>
      <c r="BS89" s="71"/>
      <c r="BT89" s="71"/>
      <c r="BU89" s="71"/>
      <c r="BV89" s="71"/>
      <c r="BW89" s="71"/>
      <c r="BX89" s="71"/>
      <c r="BY89" s="71"/>
      <c r="BZ89" s="71"/>
      <c r="CA89" s="71"/>
      <c r="CB89" s="71"/>
      <c r="CC89" s="71"/>
      <c r="CD89" s="71"/>
      <c r="CE89" s="71"/>
      <c r="CF89" s="71"/>
      <c r="CG89" s="71"/>
      <c r="CH89" s="71"/>
      <c r="CI89" s="71"/>
      <c r="CJ89" s="71"/>
      <c r="CK89" s="71"/>
      <c r="CL89" s="71"/>
      <c r="CM89" s="71"/>
      <c r="CN89" s="71"/>
      <c r="CO89" s="71"/>
      <c r="CP89" s="71"/>
      <c r="CQ89" s="71"/>
      <c r="CR89" s="71"/>
      <c r="CS89" s="71"/>
      <c r="CT89" s="71"/>
      <c r="CU89" s="71"/>
      <c r="CV89" s="71"/>
      <c r="CW89" s="71"/>
      <c r="CX89" s="71"/>
      <c r="CY89" s="71"/>
      <c r="CZ89" s="71"/>
      <c r="DA89" s="71"/>
      <c r="DB89" s="71"/>
      <c r="DC89" s="74">
        <f t="shared" si="169"/>
        <v>87</v>
      </c>
    </row>
    <row r="90" spans="1:157" ht="15.6" thickTop="1" thickBot="1" x14ac:dyDescent="0.35">
      <c r="A90" s="62">
        <f t="shared" si="179"/>
        <v>88</v>
      </c>
      <c r="B90" s="62"/>
      <c r="C90" s="62" t="str">
        <f t="shared" si="168"/>
        <v xml:space="preserve">88: </v>
      </c>
      <c r="D90" s="63">
        <f t="shared" si="180"/>
        <v>0</v>
      </c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4">
        <f t="shared" si="190"/>
        <v>0</v>
      </c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71"/>
      <c r="BE90" s="71"/>
      <c r="BF90" s="71"/>
      <c r="BG90" s="71"/>
      <c r="BH90" s="71"/>
      <c r="BI90" s="71"/>
      <c r="BJ90" s="71"/>
      <c r="BK90" s="71"/>
      <c r="BL90" s="71"/>
      <c r="BM90" s="71"/>
      <c r="BN90" s="71"/>
      <c r="BO90" s="71"/>
      <c r="BP90" s="71"/>
      <c r="BQ90" s="71"/>
      <c r="BR90" s="71"/>
      <c r="BS90" s="71"/>
      <c r="BT90" s="71"/>
      <c r="BU90" s="71"/>
      <c r="BV90" s="71"/>
      <c r="BW90" s="71"/>
      <c r="BX90" s="71"/>
      <c r="BY90" s="71"/>
      <c r="BZ90" s="71"/>
      <c r="CA90" s="71"/>
      <c r="CB90" s="71"/>
      <c r="CC90" s="71"/>
      <c r="CD90" s="71"/>
      <c r="CE90" s="71"/>
      <c r="CF90" s="71"/>
      <c r="CG90" s="71"/>
      <c r="CH90" s="71"/>
      <c r="CI90" s="71"/>
      <c r="CJ90" s="71"/>
      <c r="CK90" s="71"/>
      <c r="CL90" s="71"/>
      <c r="CM90" s="71"/>
      <c r="CN90" s="71"/>
      <c r="CO90" s="71"/>
      <c r="CP90" s="71"/>
      <c r="CQ90" s="71"/>
      <c r="CR90" s="71"/>
      <c r="CS90" s="71"/>
      <c r="CT90" s="71"/>
      <c r="CU90" s="71"/>
      <c r="CV90" s="71"/>
      <c r="CW90" s="71"/>
      <c r="CX90" s="71"/>
      <c r="CY90" s="71"/>
      <c r="CZ90" s="71"/>
      <c r="DA90" s="71"/>
      <c r="DB90" s="71"/>
      <c r="DC90" s="74">
        <f t="shared" si="169"/>
        <v>88</v>
      </c>
    </row>
    <row r="91" spans="1:157" ht="15.6" thickTop="1" thickBot="1" x14ac:dyDescent="0.35">
      <c r="A91" s="62">
        <f t="shared" si="179"/>
        <v>89</v>
      </c>
      <c r="B91" s="62"/>
      <c r="C91" s="62" t="str">
        <f t="shared" si="168"/>
        <v xml:space="preserve">89: </v>
      </c>
      <c r="D91" s="63">
        <f t="shared" si="180"/>
        <v>0</v>
      </c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4">
        <f t="shared" si="190"/>
        <v>0</v>
      </c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71"/>
      <c r="BE91" s="71"/>
      <c r="BF91" s="71"/>
      <c r="BG91" s="71"/>
      <c r="BH91" s="71"/>
      <c r="BI91" s="71"/>
      <c r="BJ91" s="71"/>
      <c r="BK91" s="71"/>
      <c r="BL91" s="71"/>
      <c r="BM91" s="71"/>
      <c r="BN91" s="71"/>
      <c r="BO91" s="71"/>
      <c r="BP91" s="71"/>
      <c r="BQ91" s="71"/>
      <c r="BR91" s="71"/>
      <c r="BS91" s="71"/>
      <c r="BT91" s="71"/>
      <c r="BU91" s="71"/>
      <c r="BV91" s="71"/>
      <c r="BW91" s="71"/>
      <c r="BX91" s="71"/>
      <c r="BY91" s="71"/>
      <c r="BZ91" s="71"/>
      <c r="CA91" s="71"/>
      <c r="CB91" s="71"/>
      <c r="CC91" s="71"/>
      <c r="CD91" s="71"/>
      <c r="CE91" s="71"/>
      <c r="CF91" s="71"/>
      <c r="CG91" s="71"/>
      <c r="CH91" s="71"/>
      <c r="CI91" s="71"/>
      <c r="CJ91" s="71"/>
      <c r="CK91" s="71"/>
      <c r="CL91" s="71"/>
      <c r="CM91" s="71"/>
      <c r="CN91" s="71"/>
      <c r="CO91" s="71"/>
      <c r="CP91" s="71"/>
      <c r="CQ91" s="71"/>
      <c r="CR91" s="71"/>
      <c r="CS91" s="71"/>
      <c r="CT91" s="71"/>
      <c r="CU91" s="71"/>
      <c r="CV91" s="71"/>
      <c r="CW91" s="71"/>
      <c r="CX91" s="71"/>
      <c r="CY91" s="71"/>
      <c r="CZ91" s="71"/>
      <c r="DA91" s="71"/>
      <c r="DB91" s="71"/>
      <c r="DC91" s="74">
        <f t="shared" si="169"/>
        <v>89</v>
      </c>
    </row>
    <row r="92" spans="1:157" ht="15.6" thickTop="1" thickBot="1" x14ac:dyDescent="0.35">
      <c r="A92" s="62">
        <f t="shared" si="179"/>
        <v>90</v>
      </c>
      <c r="B92" s="62"/>
      <c r="C92" s="62" t="str">
        <f t="shared" si="168"/>
        <v xml:space="preserve">90: </v>
      </c>
      <c r="D92" s="63">
        <f t="shared" si="180"/>
        <v>0</v>
      </c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4">
        <f t="shared" si="190"/>
        <v>0</v>
      </c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71"/>
      <c r="BE92" s="71"/>
      <c r="BF92" s="71"/>
      <c r="BG92" s="71"/>
      <c r="BH92" s="71"/>
      <c r="BI92" s="71"/>
      <c r="BJ92" s="71"/>
      <c r="BK92" s="71"/>
      <c r="BL92" s="71"/>
      <c r="BM92" s="71"/>
      <c r="BN92" s="71"/>
      <c r="BO92" s="71"/>
      <c r="BP92" s="71"/>
      <c r="BQ92" s="71"/>
      <c r="BR92" s="71"/>
      <c r="BS92" s="71"/>
      <c r="BT92" s="71"/>
      <c r="BU92" s="71"/>
      <c r="BV92" s="71"/>
      <c r="BW92" s="71"/>
      <c r="BX92" s="71"/>
      <c r="BY92" s="71"/>
      <c r="BZ92" s="71"/>
      <c r="CA92" s="71"/>
      <c r="CB92" s="71"/>
      <c r="CC92" s="71"/>
      <c r="CD92" s="71"/>
      <c r="CE92" s="71"/>
      <c r="CF92" s="71"/>
      <c r="CG92" s="71"/>
      <c r="CH92" s="71"/>
      <c r="CI92" s="71"/>
      <c r="CJ92" s="71"/>
      <c r="CK92" s="71"/>
      <c r="CL92" s="71"/>
      <c r="CM92" s="71"/>
      <c r="CN92" s="71"/>
      <c r="CO92" s="71"/>
      <c r="CP92" s="71"/>
      <c r="CQ92" s="71"/>
      <c r="CR92" s="71"/>
      <c r="CS92" s="71"/>
      <c r="CT92" s="71"/>
      <c r="CU92" s="71"/>
      <c r="CV92" s="71"/>
      <c r="CW92" s="71"/>
      <c r="CX92" s="71"/>
      <c r="CY92" s="71"/>
      <c r="CZ92" s="71"/>
      <c r="DA92" s="71"/>
      <c r="DB92" s="71"/>
      <c r="DC92" s="74">
        <f t="shared" si="169"/>
        <v>90</v>
      </c>
    </row>
    <row r="93" spans="1:157" ht="15.6" thickTop="1" thickBot="1" x14ac:dyDescent="0.35">
      <c r="A93" s="62">
        <f t="shared" si="179"/>
        <v>91</v>
      </c>
      <c r="B93" s="62"/>
      <c r="C93" s="62" t="str">
        <f t="shared" si="168"/>
        <v xml:space="preserve">91: </v>
      </c>
      <c r="D93" s="63">
        <f t="shared" si="180"/>
        <v>0</v>
      </c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4">
        <f t="shared" si="190"/>
        <v>0</v>
      </c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71"/>
      <c r="BE93" s="71"/>
      <c r="BF93" s="71"/>
      <c r="BG93" s="71"/>
      <c r="BH93" s="71"/>
      <c r="BI93" s="71"/>
      <c r="BJ93" s="71"/>
      <c r="BK93" s="71"/>
      <c r="BL93" s="71"/>
      <c r="BM93" s="71"/>
      <c r="BN93" s="71"/>
      <c r="BO93" s="71"/>
      <c r="BP93" s="71"/>
      <c r="BQ93" s="71"/>
      <c r="BR93" s="71"/>
      <c r="BS93" s="71"/>
      <c r="BT93" s="71"/>
      <c r="BU93" s="71"/>
      <c r="BV93" s="71"/>
      <c r="BW93" s="71"/>
      <c r="BX93" s="71"/>
      <c r="BY93" s="71"/>
      <c r="BZ93" s="71"/>
      <c r="CA93" s="71"/>
      <c r="CB93" s="71"/>
      <c r="CC93" s="71"/>
      <c r="CD93" s="71"/>
      <c r="CE93" s="71"/>
      <c r="CF93" s="71"/>
      <c r="CG93" s="71"/>
      <c r="CH93" s="71"/>
      <c r="CI93" s="71"/>
      <c r="CJ93" s="71"/>
      <c r="CK93" s="71"/>
      <c r="CL93" s="71"/>
      <c r="CM93" s="71"/>
      <c r="CN93" s="71"/>
      <c r="CO93" s="71"/>
      <c r="CP93" s="71"/>
      <c r="CQ93" s="71"/>
      <c r="CR93" s="71"/>
      <c r="CS93" s="71"/>
      <c r="CT93" s="71"/>
      <c r="CU93" s="71"/>
      <c r="CV93" s="71"/>
      <c r="CW93" s="71"/>
      <c r="CX93" s="71"/>
      <c r="CY93" s="71"/>
      <c r="CZ93" s="71"/>
      <c r="DA93" s="71"/>
      <c r="DB93" s="71"/>
      <c r="DC93" s="74">
        <f t="shared" si="169"/>
        <v>91</v>
      </c>
    </row>
    <row r="94" spans="1:157" ht="15.6" thickTop="1" thickBot="1" x14ac:dyDescent="0.35">
      <c r="A94" s="62">
        <f t="shared" si="179"/>
        <v>92</v>
      </c>
      <c r="B94" s="62"/>
      <c r="C94" s="62" t="str">
        <f t="shared" si="168"/>
        <v xml:space="preserve">92: </v>
      </c>
      <c r="D94" s="63">
        <f t="shared" si="180"/>
        <v>0</v>
      </c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4">
        <f t="shared" si="190"/>
        <v>0</v>
      </c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71"/>
      <c r="BE94" s="71"/>
      <c r="BF94" s="71"/>
      <c r="BG94" s="71"/>
      <c r="BH94" s="71"/>
      <c r="BI94" s="71"/>
      <c r="BJ94" s="71"/>
      <c r="BK94" s="71"/>
      <c r="BL94" s="71"/>
      <c r="BM94" s="71"/>
      <c r="BN94" s="71"/>
      <c r="BO94" s="71"/>
      <c r="BP94" s="71"/>
      <c r="BQ94" s="71"/>
      <c r="BR94" s="71"/>
      <c r="BS94" s="71"/>
      <c r="BT94" s="71"/>
      <c r="BU94" s="71"/>
      <c r="BV94" s="71"/>
      <c r="BW94" s="71"/>
      <c r="BX94" s="71"/>
      <c r="BY94" s="71"/>
      <c r="BZ94" s="71"/>
      <c r="CA94" s="71"/>
      <c r="CB94" s="71"/>
      <c r="CC94" s="71"/>
      <c r="CD94" s="71"/>
      <c r="CE94" s="71"/>
      <c r="CF94" s="71"/>
      <c r="CG94" s="71"/>
      <c r="CH94" s="71"/>
      <c r="CI94" s="71"/>
      <c r="CJ94" s="71"/>
      <c r="CK94" s="71"/>
      <c r="CL94" s="71"/>
      <c r="CM94" s="71"/>
      <c r="CN94" s="71"/>
      <c r="CO94" s="71"/>
      <c r="CP94" s="71"/>
      <c r="CQ94" s="71"/>
      <c r="CR94" s="71"/>
      <c r="CS94" s="71"/>
      <c r="CT94" s="71"/>
      <c r="CU94" s="71"/>
      <c r="CV94" s="71"/>
      <c r="CW94" s="71"/>
      <c r="CX94" s="71"/>
      <c r="CY94" s="71"/>
      <c r="CZ94" s="71"/>
      <c r="DA94" s="71"/>
      <c r="DB94" s="71"/>
      <c r="DC94" s="74">
        <f t="shared" si="169"/>
        <v>92</v>
      </c>
    </row>
    <row r="95" spans="1:157" ht="15.6" thickTop="1" thickBot="1" x14ac:dyDescent="0.35">
      <c r="A95" s="62">
        <f t="shared" si="179"/>
        <v>93</v>
      </c>
      <c r="B95" s="62"/>
      <c r="C95" s="62" t="str">
        <f t="shared" si="168"/>
        <v xml:space="preserve">93: </v>
      </c>
      <c r="D95" s="63">
        <f t="shared" si="180"/>
        <v>0</v>
      </c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4">
        <f t="shared" si="190"/>
        <v>0</v>
      </c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71"/>
      <c r="BE95" s="71"/>
      <c r="BF95" s="71"/>
      <c r="BG95" s="71"/>
      <c r="BH95" s="71"/>
      <c r="BI95" s="71"/>
      <c r="BJ95" s="71"/>
      <c r="BK95" s="71"/>
      <c r="BL95" s="71"/>
      <c r="BM95" s="71"/>
      <c r="BN95" s="71"/>
      <c r="BO95" s="71"/>
      <c r="BP95" s="71"/>
      <c r="BQ95" s="71"/>
      <c r="BR95" s="71"/>
      <c r="BS95" s="71"/>
      <c r="BT95" s="71"/>
      <c r="BU95" s="71"/>
      <c r="BV95" s="71"/>
      <c r="BW95" s="71"/>
      <c r="BX95" s="71"/>
      <c r="BY95" s="71"/>
      <c r="BZ95" s="71"/>
      <c r="CA95" s="71"/>
      <c r="CB95" s="71"/>
      <c r="CC95" s="71"/>
      <c r="CD95" s="71"/>
      <c r="CE95" s="71"/>
      <c r="CF95" s="71"/>
      <c r="CG95" s="71"/>
      <c r="CH95" s="71"/>
      <c r="CI95" s="71"/>
      <c r="CJ95" s="71"/>
      <c r="CK95" s="71"/>
      <c r="CL95" s="71"/>
      <c r="CM95" s="71"/>
      <c r="CN95" s="71"/>
      <c r="CO95" s="71"/>
      <c r="CP95" s="71"/>
      <c r="CQ95" s="71"/>
      <c r="CR95" s="71"/>
      <c r="CS95" s="71"/>
      <c r="CT95" s="71"/>
      <c r="CU95" s="71"/>
      <c r="CV95" s="71"/>
      <c r="CW95" s="71"/>
      <c r="CX95" s="71"/>
      <c r="CY95" s="71"/>
      <c r="CZ95" s="71"/>
      <c r="DA95" s="71"/>
      <c r="DB95" s="71"/>
      <c r="DC95" s="74">
        <f t="shared" si="169"/>
        <v>93</v>
      </c>
    </row>
    <row r="96" spans="1:157" ht="15.6" thickTop="1" thickBot="1" x14ac:dyDescent="0.35">
      <c r="A96" s="62">
        <f t="shared" si="179"/>
        <v>94</v>
      </c>
      <c r="B96" s="62"/>
      <c r="C96" s="62" t="str">
        <f t="shared" si="168"/>
        <v xml:space="preserve">94: </v>
      </c>
      <c r="D96" s="63">
        <f t="shared" si="180"/>
        <v>0</v>
      </c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4">
        <f t="shared" si="190"/>
        <v>0</v>
      </c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71"/>
      <c r="BE96" s="71"/>
      <c r="BF96" s="71"/>
      <c r="BG96" s="71"/>
      <c r="BH96" s="71"/>
      <c r="BI96" s="71"/>
      <c r="BJ96" s="71"/>
      <c r="BK96" s="71"/>
      <c r="BL96" s="71"/>
      <c r="BM96" s="71"/>
      <c r="BN96" s="71"/>
      <c r="BO96" s="71"/>
      <c r="BP96" s="71"/>
      <c r="BQ96" s="71"/>
      <c r="BR96" s="71"/>
      <c r="BS96" s="71"/>
      <c r="BT96" s="71"/>
      <c r="BU96" s="71"/>
      <c r="BV96" s="71"/>
      <c r="BW96" s="71"/>
      <c r="BX96" s="71"/>
      <c r="BY96" s="71"/>
      <c r="BZ96" s="71"/>
      <c r="CA96" s="71"/>
      <c r="CB96" s="71"/>
      <c r="CC96" s="71"/>
      <c r="CD96" s="71"/>
      <c r="CE96" s="71"/>
      <c r="CF96" s="71"/>
      <c r="CG96" s="71"/>
      <c r="CH96" s="71"/>
      <c r="CI96" s="71"/>
      <c r="CJ96" s="71"/>
      <c r="CK96" s="71"/>
      <c r="CL96" s="71"/>
      <c r="CM96" s="71"/>
      <c r="CN96" s="71"/>
      <c r="CO96" s="71"/>
      <c r="CP96" s="71"/>
      <c r="CQ96" s="71"/>
      <c r="CR96" s="71"/>
      <c r="CS96" s="71"/>
      <c r="CT96" s="71"/>
      <c r="CU96" s="71"/>
      <c r="CV96" s="71"/>
      <c r="CW96" s="71"/>
      <c r="CX96" s="71"/>
      <c r="CY96" s="71"/>
      <c r="CZ96" s="71"/>
      <c r="DA96" s="71"/>
      <c r="DB96" s="71"/>
      <c r="DC96" s="74">
        <f t="shared" si="169"/>
        <v>94</v>
      </c>
    </row>
    <row r="97" spans="1:107" ht="15.6" thickTop="1" thickBot="1" x14ac:dyDescent="0.35">
      <c r="A97" s="62">
        <f t="shared" si="179"/>
        <v>95</v>
      </c>
      <c r="B97" s="62"/>
      <c r="C97" s="62" t="str">
        <f t="shared" si="168"/>
        <v xml:space="preserve">95: </v>
      </c>
      <c r="D97" s="63">
        <f t="shared" si="180"/>
        <v>0</v>
      </c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4">
        <f t="shared" si="190"/>
        <v>0</v>
      </c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71"/>
      <c r="BE97" s="71"/>
      <c r="BF97" s="71"/>
      <c r="BG97" s="71"/>
      <c r="BH97" s="71"/>
      <c r="BI97" s="71"/>
      <c r="BJ97" s="71"/>
      <c r="BK97" s="71"/>
      <c r="BL97" s="71"/>
      <c r="BM97" s="71"/>
      <c r="BN97" s="71"/>
      <c r="BO97" s="71"/>
      <c r="BP97" s="71"/>
      <c r="BQ97" s="71"/>
      <c r="BR97" s="71"/>
      <c r="BS97" s="71"/>
      <c r="BT97" s="71"/>
      <c r="BU97" s="71"/>
      <c r="BV97" s="71"/>
      <c r="BW97" s="71"/>
      <c r="BX97" s="71"/>
      <c r="BY97" s="71"/>
      <c r="BZ97" s="71"/>
      <c r="CA97" s="71"/>
      <c r="CB97" s="71"/>
      <c r="CC97" s="71"/>
      <c r="CD97" s="71"/>
      <c r="CE97" s="71"/>
      <c r="CF97" s="71"/>
      <c r="CG97" s="71"/>
      <c r="CH97" s="71"/>
      <c r="CI97" s="71"/>
      <c r="CJ97" s="71"/>
      <c r="CK97" s="71"/>
      <c r="CL97" s="71"/>
      <c r="CM97" s="71"/>
      <c r="CN97" s="71"/>
      <c r="CO97" s="71"/>
      <c r="CP97" s="71"/>
      <c r="CQ97" s="71"/>
      <c r="CR97" s="71"/>
      <c r="CS97" s="71"/>
      <c r="CT97" s="71"/>
      <c r="CU97" s="71"/>
      <c r="CV97" s="71"/>
      <c r="CW97" s="71"/>
      <c r="CX97" s="71"/>
      <c r="CY97" s="71"/>
      <c r="CZ97" s="71"/>
      <c r="DA97" s="71"/>
      <c r="DB97" s="71"/>
      <c r="DC97" s="74">
        <f t="shared" si="169"/>
        <v>95</v>
      </c>
    </row>
    <row r="98" spans="1:107" ht="15.6" thickTop="1" thickBot="1" x14ac:dyDescent="0.35">
      <c r="A98" s="62">
        <f t="shared" si="179"/>
        <v>96</v>
      </c>
      <c r="B98" s="62"/>
      <c r="C98" s="62" t="str">
        <f t="shared" si="168"/>
        <v xml:space="preserve">96: </v>
      </c>
      <c r="D98" s="63">
        <f t="shared" si="180"/>
        <v>0</v>
      </c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4">
        <f t="shared" si="190"/>
        <v>0</v>
      </c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71"/>
      <c r="BE98" s="71"/>
      <c r="BF98" s="71"/>
      <c r="BG98" s="71"/>
      <c r="BH98" s="71"/>
      <c r="BI98" s="71"/>
      <c r="BJ98" s="71"/>
      <c r="BK98" s="71"/>
      <c r="BL98" s="71"/>
      <c r="BM98" s="71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4">
        <f t="shared" si="169"/>
        <v>96</v>
      </c>
    </row>
    <row r="99" spans="1:107" ht="15.6" thickTop="1" thickBot="1" x14ac:dyDescent="0.35">
      <c r="A99" s="62">
        <f t="shared" si="179"/>
        <v>97</v>
      </c>
      <c r="B99" s="62"/>
      <c r="C99" s="62" t="str">
        <f t="shared" si="168"/>
        <v xml:space="preserve">97: </v>
      </c>
      <c r="D99" s="63">
        <f t="shared" si="180"/>
        <v>0</v>
      </c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4">
        <f t="shared" si="190"/>
        <v>0</v>
      </c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71"/>
      <c r="BE99" s="71"/>
      <c r="BF99" s="71"/>
      <c r="BG99" s="71"/>
      <c r="BH99" s="71"/>
      <c r="BI99" s="71"/>
      <c r="BJ99" s="71"/>
      <c r="BK99" s="71"/>
      <c r="BL99" s="71"/>
      <c r="BM99" s="71"/>
      <c r="BN99" s="71"/>
      <c r="BO99" s="71"/>
      <c r="BP99" s="71"/>
      <c r="BQ99" s="71"/>
      <c r="BR99" s="71"/>
      <c r="BS99" s="71"/>
      <c r="BT99" s="71"/>
      <c r="BU99" s="71"/>
      <c r="BV99" s="71"/>
      <c r="BW99" s="71"/>
      <c r="BX99" s="71"/>
      <c r="BY99" s="71"/>
      <c r="BZ99" s="71"/>
      <c r="CA99" s="71"/>
      <c r="CB99" s="71"/>
      <c r="CC99" s="71"/>
      <c r="CD99" s="71"/>
      <c r="CE99" s="71"/>
      <c r="CF99" s="71"/>
      <c r="CG99" s="71"/>
      <c r="CH99" s="71"/>
      <c r="CI99" s="71"/>
      <c r="CJ99" s="71"/>
      <c r="CK99" s="71"/>
      <c r="CL99" s="71"/>
      <c r="CM99" s="71"/>
      <c r="CN99" s="71"/>
      <c r="CO99" s="71"/>
      <c r="CP99" s="71"/>
      <c r="CQ99" s="71"/>
      <c r="CR99" s="71"/>
      <c r="CS99" s="71"/>
      <c r="CT99" s="71"/>
      <c r="CU99" s="71"/>
      <c r="CV99" s="71"/>
      <c r="CW99" s="71"/>
      <c r="CX99" s="71"/>
      <c r="CY99" s="71"/>
      <c r="CZ99" s="71"/>
      <c r="DA99" s="71"/>
      <c r="DB99" s="71"/>
      <c r="DC99" s="74">
        <f t="shared" si="169"/>
        <v>97</v>
      </c>
    </row>
    <row r="100" spans="1:107" ht="15.6" thickTop="1" thickBot="1" x14ac:dyDescent="0.35">
      <c r="A100" s="62">
        <f t="shared" si="179"/>
        <v>98</v>
      </c>
      <c r="B100" s="62"/>
      <c r="C100" s="62" t="str">
        <f t="shared" si="168"/>
        <v xml:space="preserve">98: </v>
      </c>
      <c r="D100" s="63">
        <f t="shared" si="180"/>
        <v>0</v>
      </c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4">
        <f t="shared" si="190"/>
        <v>0</v>
      </c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71"/>
      <c r="BE100" s="71"/>
      <c r="BF100" s="71"/>
      <c r="BG100" s="71"/>
      <c r="BH100" s="71"/>
      <c r="BI100" s="71"/>
      <c r="BJ100" s="71"/>
      <c r="BK100" s="71"/>
      <c r="BL100" s="71"/>
      <c r="BM100" s="71"/>
      <c r="BN100" s="71"/>
      <c r="BO100" s="71"/>
      <c r="BP100" s="71"/>
      <c r="BQ100" s="71"/>
      <c r="BR100" s="71"/>
      <c r="BS100" s="71"/>
      <c r="BT100" s="71"/>
      <c r="BU100" s="71"/>
      <c r="BV100" s="71"/>
      <c r="BW100" s="71"/>
      <c r="BX100" s="71"/>
      <c r="BY100" s="71"/>
      <c r="BZ100" s="71"/>
      <c r="CA100" s="71"/>
      <c r="CB100" s="71"/>
      <c r="CC100" s="71"/>
      <c r="CD100" s="71"/>
      <c r="CE100" s="71"/>
      <c r="CF100" s="71"/>
      <c r="CG100" s="71"/>
      <c r="CH100" s="71"/>
      <c r="CI100" s="71"/>
      <c r="CJ100" s="71"/>
      <c r="CK100" s="71"/>
      <c r="CL100" s="71"/>
      <c r="CM100" s="71"/>
      <c r="CN100" s="71"/>
      <c r="CO100" s="71"/>
      <c r="CP100" s="71"/>
      <c r="CQ100" s="71"/>
      <c r="CR100" s="71"/>
      <c r="CS100" s="71"/>
      <c r="CT100" s="71"/>
      <c r="CU100" s="71"/>
      <c r="CV100" s="71"/>
      <c r="CW100" s="71"/>
      <c r="CX100" s="71"/>
      <c r="CY100" s="71"/>
      <c r="CZ100" s="71"/>
      <c r="DA100" s="71"/>
      <c r="DB100" s="71"/>
      <c r="DC100" s="74">
        <f t="shared" si="169"/>
        <v>98</v>
      </c>
    </row>
    <row r="101" spans="1:107" ht="15.6" thickTop="1" thickBot="1" x14ac:dyDescent="0.35">
      <c r="A101" s="62">
        <f t="shared" si="179"/>
        <v>99</v>
      </c>
      <c r="B101" s="62"/>
      <c r="C101" s="62" t="str">
        <f t="shared" si="168"/>
        <v xml:space="preserve">99: </v>
      </c>
      <c r="D101" s="63">
        <f t="shared" si="180"/>
        <v>0</v>
      </c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4">
        <f t="shared" ref="Y101:Y102" si="228">COUNTA(Z101:BC101)</f>
        <v>0</v>
      </c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71"/>
      <c r="BE101" s="71"/>
      <c r="BF101" s="71"/>
      <c r="BG101" s="71"/>
      <c r="BH101" s="71"/>
      <c r="BI101" s="71"/>
      <c r="BJ101" s="71"/>
      <c r="BK101" s="71"/>
      <c r="BL101" s="71"/>
      <c r="BM101" s="71"/>
      <c r="BN101" s="71"/>
      <c r="BO101" s="71"/>
      <c r="BP101" s="71"/>
      <c r="BQ101" s="71"/>
      <c r="BR101" s="71"/>
      <c r="BS101" s="71"/>
      <c r="BT101" s="71"/>
      <c r="BU101" s="71"/>
      <c r="BV101" s="71"/>
      <c r="BW101" s="71"/>
      <c r="BX101" s="71"/>
      <c r="BY101" s="71"/>
      <c r="BZ101" s="71"/>
      <c r="CA101" s="71"/>
      <c r="CB101" s="71"/>
      <c r="CC101" s="71"/>
      <c r="CD101" s="71"/>
      <c r="CE101" s="71"/>
      <c r="CF101" s="71"/>
      <c r="CG101" s="71"/>
      <c r="CH101" s="71"/>
      <c r="CI101" s="71"/>
      <c r="CJ101" s="71"/>
      <c r="CK101" s="71"/>
      <c r="CL101" s="71"/>
      <c r="CM101" s="71"/>
      <c r="CN101" s="71"/>
      <c r="CO101" s="71"/>
      <c r="CP101" s="71"/>
      <c r="CQ101" s="71"/>
      <c r="CR101" s="71"/>
      <c r="CS101" s="71"/>
      <c r="CT101" s="71"/>
      <c r="CU101" s="71"/>
      <c r="CV101" s="71"/>
      <c r="CW101" s="71"/>
      <c r="CX101" s="71"/>
      <c r="CY101" s="71"/>
      <c r="CZ101" s="71"/>
      <c r="DA101" s="71"/>
      <c r="DB101" s="71"/>
      <c r="DC101" s="74">
        <f t="shared" si="169"/>
        <v>99</v>
      </c>
    </row>
    <row r="102" spans="1:107" ht="15.6" thickTop="1" thickBot="1" x14ac:dyDescent="0.35">
      <c r="A102" s="62">
        <f t="shared" si="179"/>
        <v>100</v>
      </c>
      <c r="B102" s="62"/>
      <c r="C102" s="62" t="str">
        <f t="shared" si="168"/>
        <v xml:space="preserve">100: </v>
      </c>
      <c r="D102" s="63">
        <f t="shared" si="180"/>
        <v>0</v>
      </c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4">
        <f t="shared" si="228"/>
        <v>0</v>
      </c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71"/>
      <c r="BE102" s="71"/>
      <c r="BF102" s="71"/>
      <c r="BG102" s="71"/>
      <c r="BH102" s="71"/>
      <c r="BI102" s="71"/>
      <c r="BJ102" s="71"/>
      <c r="BK102" s="71"/>
      <c r="BL102" s="71"/>
      <c r="BM102" s="71"/>
      <c r="BN102" s="71"/>
      <c r="BO102" s="71"/>
      <c r="BP102" s="71"/>
      <c r="BQ102" s="71"/>
      <c r="BR102" s="71"/>
      <c r="BS102" s="71"/>
      <c r="BT102" s="71"/>
      <c r="BU102" s="71"/>
      <c r="BV102" s="71"/>
      <c r="BW102" s="71"/>
      <c r="BX102" s="71"/>
      <c r="BY102" s="71"/>
      <c r="BZ102" s="71"/>
      <c r="CA102" s="71"/>
      <c r="CB102" s="71"/>
      <c r="CC102" s="71"/>
      <c r="CD102" s="71"/>
      <c r="CE102" s="71"/>
      <c r="CF102" s="71"/>
      <c r="CG102" s="71"/>
      <c r="CH102" s="71"/>
      <c r="CI102" s="71"/>
      <c r="CJ102" s="71"/>
      <c r="CK102" s="71"/>
      <c r="CL102" s="71"/>
      <c r="CM102" s="71"/>
      <c r="CN102" s="71"/>
      <c r="CO102" s="71"/>
      <c r="CP102" s="71"/>
      <c r="CQ102" s="71"/>
      <c r="CR102" s="71"/>
      <c r="CS102" s="71"/>
      <c r="CT102" s="71"/>
      <c r="CU102" s="71"/>
      <c r="CV102" s="71"/>
      <c r="CW102" s="71"/>
      <c r="CX102" s="71"/>
      <c r="CY102" s="71"/>
      <c r="CZ102" s="71"/>
      <c r="DA102" s="71"/>
      <c r="DB102" s="71"/>
      <c r="DC102" s="74">
        <f t="shared" si="169"/>
        <v>100</v>
      </c>
    </row>
    <row r="103" spans="1:107" ht="15.6" thickTop="1" thickBot="1" x14ac:dyDescent="0.3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71"/>
      <c r="BE103" s="71"/>
      <c r="BF103" s="71"/>
      <c r="BG103" s="71"/>
      <c r="BH103" s="71"/>
      <c r="BI103" s="71"/>
      <c r="BJ103" s="71"/>
      <c r="BK103" s="71"/>
      <c r="BL103" s="71"/>
      <c r="BM103" s="71"/>
      <c r="BN103" s="71"/>
      <c r="BO103" s="71"/>
      <c r="BP103" s="71"/>
      <c r="BQ103" s="71"/>
      <c r="BR103" s="71"/>
      <c r="BS103" s="71"/>
      <c r="BT103" s="71"/>
      <c r="BU103" s="71"/>
      <c r="BV103" s="71"/>
      <c r="BW103" s="71"/>
      <c r="BX103" s="71"/>
      <c r="BY103" s="71"/>
      <c r="BZ103" s="71"/>
      <c r="CA103" s="71"/>
      <c r="CB103" s="71"/>
      <c r="CC103" s="71"/>
      <c r="CD103" s="71"/>
      <c r="CE103" s="71"/>
      <c r="CF103" s="71"/>
      <c r="CG103" s="71"/>
      <c r="CH103" s="71"/>
      <c r="CI103" s="71"/>
      <c r="CJ103" s="71"/>
      <c r="CK103" s="71"/>
      <c r="CL103" s="71"/>
      <c r="CM103" s="71"/>
      <c r="CN103" s="71"/>
      <c r="CO103" s="71"/>
      <c r="CP103" s="71"/>
      <c r="CQ103" s="71"/>
      <c r="CR103" s="71"/>
      <c r="CS103" s="71"/>
      <c r="CT103" s="71"/>
      <c r="CU103" s="71"/>
      <c r="CV103" s="71"/>
      <c r="CW103" s="71"/>
      <c r="CX103" s="71"/>
      <c r="CY103" s="71"/>
      <c r="CZ103" s="71"/>
      <c r="DA103" s="71"/>
      <c r="DB103" s="71"/>
      <c r="DC103" s="74">
        <f t="shared" si="169"/>
        <v>0</v>
      </c>
    </row>
    <row r="104" spans="1:107" ht="15.6" thickTop="1" thickBot="1" x14ac:dyDescent="0.3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71"/>
      <c r="BE104" s="71"/>
      <c r="BF104" s="71"/>
      <c r="BG104" s="71"/>
      <c r="BH104" s="71"/>
      <c r="BI104" s="71"/>
      <c r="BJ104" s="71"/>
      <c r="BK104" s="71"/>
      <c r="BL104" s="71"/>
      <c r="BM104" s="71"/>
      <c r="BN104" s="71"/>
      <c r="BO104" s="71"/>
      <c r="BP104" s="71"/>
      <c r="BQ104" s="71"/>
      <c r="BR104" s="71"/>
      <c r="BS104" s="71"/>
      <c r="BT104" s="71"/>
      <c r="BU104" s="71"/>
      <c r="BV104" s="71"/>
      <c r="BW104" s="71"/>
      <c r="BX104" s="71"/>
      <c r="BY104" s="71"/>
      <c r="BZ104" s="71"/>
      <c r="CA104" s="71"/>
      <c r="CB104" s="71"/>
      <c r="CC104" s="71"/>
      <c r="CD104" s="71"/>
      <c r="CE104" s="71"/>
      <c r="CF104" s="71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71"/>
      <c r="CS104" s="71"/>
      <c r="CT104" s="71"/>
      <c r="CU104" s="71"/>
      <c r="CV104" s="71"/>
      <c r="CW104" s="71"/>
      <c r="CX104" s="71"/>
      <c r="CY104" s="71"/>
      <c r="CZ104" s="71"/>
      <c r="DA104" s="71"/>
      <c r="DB104" s="71"/>
      <c r="DC104" s="74">
        <f t="shared" si="169"/>
        <v>0</v>
      </c>
    </row>
    <row r="105" spans="1:107" ht="15.6" thickTop="1" thickBot="1" x14ac:dyDescent="0.3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71"/>
      <c r="BE105" s="71"/>
      <c r="BF105" s="71"/>
      <c r="BG105" s="71"/>
      <c r="BH105" s="71"/>
      <c r="BI105" s="71"/>
      <c r="BJ105" s="71"/>
      <c r="BK105" s="71"/>
      <c r="BL105" s="71"/>
      <c r="BM105" s="71"/>
      <c r="BN105" s="71"/>
      <c r="BO105" s="71"/>
      <c r="BP105" s="71"/>
      <c r="BQ105" s="71"/>
      <c r="BR105" s="71"/>
      <c r="BS105" s="71"/>
      <c r="BT105" s="71"/>
      <c r="BU105" s="71"/>
      <c r="BV105" s="71"/>
      <c r="BW105" s="71"/>
      <c r="BX105" s="71"/>
      <c r="BY105" s="71"/>
      <c r="BZ105" s="71"/>
      <c r="CA105" s="71"/>
      <c r="CB105" s="71"/>
      <c r="CC105" s="71"/>
      <c r="CD105" s="71"/>
      <c r="CE105" s="71"/>
      <c r="CF105" s="71"/>
      <c r="CG105" s="71"/>
      <c r="CH105" s="71"/>
      <c r="CI105" s="71"/>
      <c r="CJ105" s="71"/>
      <c r="CK105" s="71"/>
      <c r="CL105" s="71"/>
      <c r="CM105" s="71"/>
      <c r="CN105" s="71"/>
      <c r="CO105" s="71"/>
      <c r="CP105" s="71"/>
      <c r="CQ105" s="71"/>
      <c r="CR105" s="71"/>
      <c r="CS105" s="71"/>
      <c r="CT105" s="71"/>
      <c r="CU105" s="71"/>
      <c r="CV105" s="71"/>
      <c r="CW105" s="71"/>
      <c r="CX105" s="71"/>
      <c r="CY105" s="71"/>
      <c r="CZ105" s="71"/>
      <c r="DA105" s="71"/>
      <c r="DB105" s="71"/>
      <c r="DC105" s="74">
        <f t="shared" si="169"/>
        <v>0</v>
      </c>
    </row>
    <row r="106" spans="1:107" ht="15.6" thickTop="1" thickBot="1" x14ac:dyDescent="0.3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71"/>
      <c r="BE106" s="71"/>
      <c r="BF106" s="71"/>
      <c r="BG106" s="71"/>
      <c r="BH106" s="71"/>
      <c r="BI106" s="71"/>
      <c r="BJ106" s="71"/>
      <c r="BK106" s="71"/>
      <c r="BL106" s="71"/>
      <c r="BM106" s="71"/>
      <c r="BN106" s="71"/>
      <c r="BO106" s="71"/>
      <c r="BP106" s="71"/>
      <c r="BQ106" s="71"/>
      <c r="BR106" s="71"/>
      <c r="BS106" s="71"/>
      <c r="BT106" s="71"/>
      <c r="BU106" s="71"/>
      <c r="BV106" s="71"/>
      <c r="BW106" s="71"/>
      <c r="BX106" s="71"/>
      <c r="BY106" s="71"/>
      <c r="BZ106" s="71"/>
      <c r="CA106" s="71"/>
      <c r="CB106" s="71"/>
      <c r="CC106" s="71"/>
      <c r="CD106" s="71"/>
      <c r="CE106" s="71"/>
      <c r="CF106" s="71"/>
      <c r="CG106" s="71"/>
      <c r="CH106" s="71"/>
      <c r="CI106" s="71"/>
      <c r="CJ106" s="71"/>
      <c r="CK106" s="71"/>
      <c r="CL106" s="71"/>
      <c r="CM106" s="71"/>
      <c r="CN106" s="71"/>
      <c r="CO106" s="71"/>
      <c r="CP106" s="71"/>
      <c r="CQ106" s="71"/>
      <c r="CR106" s="71"/>
      <c r="CS106" s="71"/>
      <c r="CT106" s="71"/>
      <c r="CU106" s="71"/>
      <c r="CV106" s="71"/>
      <c r="CW106" s="71"/>
      <c r="CX106" s="71"/>
      <c r="CY106" s="71"/>
      <c r="CZ106" s="71"/>
      <c r="DA106" s="71"/>
      <c r="DB106" s="71"/>
      <c r="DC106" s="74">
        <f t="shared" si="169"/>
        <v>0</v>
      </c>
    </row>
    <row r="107" spans="1:107" ht="15.6" thickTop="1" thickBot="1" x14ac:dyDescent="0.3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71"/>
      <c r="BE107" s="71"/>
      <c r="BF107" s="71"/>
      <c r="BG107" s="71"/>
      <c r="BH107" s="71"/>
      <c r="BI107" s="71"/>
      <c r="BJ107" s="71"/>
      <c r="BK107" s="71"/>
      <c r="BL107" s="71"/>
      <c r="BM107" s="71"/>
      <c r="BN107" s="71"/>
      <c r="BO107" s="71"/>
      <c r="BP107" s="71"/>
      <c r="BQ107" s="71"/>
      <c r="BR107" s="71"/>
      <c r="BS107" s="71"/>
      <c r="BT107" s="71"/>
      <c r="BU107" s="71"/>
      <c r="BV107" s="71"/>
      <c r="BW107" s="71"/>
      <c r="BX107" s="71"/>
      <c r="BY107" s="71"/>
      <c r="BZ107" s="71"/>
      <c r="CA107" s="71"/>
      <c r="CB107" s="71"/>
      <c r="CC107" s="71"/>
      <c r="CD107" s="71"/>
      <c r="CE107" s="71"/>
      <c r="CF107" s="71"/>
      <c r="CG107" s="71"/>
      <c r="CH107" s="71"/>
      <c r="CI107" s="71"/>
      <c r="CJ107" s="71"/>
      <c r="CK107" s="71"/>
      <c r="CL107" s="71"/>
      <c r="CM107" s="71"/>
      <c r="CN107" s="71"/>
      <c r="CO107" s="71"/>
      <c r="CP107" s="71"/>
      <c r="CQ107" s="71"/>
      <c r="CR107" s="71"/>
      <c r="CS107" s="71"/>
      <c r="CT107" s="71"/>
      <c r="CU107" s="71"/>
      <c r="CV107" s="71"/>
      <c r="CW107" s="71"/>
      <c r="CX107" s="71"/>
      <c r="CY107" s="71"/>
      <c r="CZ107" s="71"/>
      <c r="DA107" s="71"/>
      <c r="DB107" s="71"/>
      <c r="DC107" s="74">
        <f t="shared" si="169"/>
        <v>0</v>
      </c>
    </row>
    <row r="108" spans="1:107" ht="15.6" thickTop="1" thickBot="1" x14ac:dyDescent="0.3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71"/>
      <c r="BE108" s="71"/>
      <c r="BF108" s="71"/>
      <c r="BG108" s="71"/>
      <c r="BH108" s="71"/>
      <c r="BI108" s="71"/>
      <c r="BJ108" s="71"/>
      <c r="BK108" s="71"/>
      <c r="BL108" s="71"/>
      <c r="BM108" s="71"/>
      <c r="BN108" s="71"/>
      <c r="BO108" s="71"/>
      <c r="BP108" s="71"/>
      <c r="BQ108" s="71"/>
      <c r="BR108" s="71"/>
      <c r="BS108" s="71"/>
      <c r="BT108" s="71"/>
      <c r="BU108" s="71"/>
      <c r="BV108" s="71"/>
      <c r="BW108" s="71"/>
      <c r="BX108" s="71"/>
      <c r="BY108" s="71"/>
      <c r="BZ108" s="71"/>
      <c r="CA108" s="71"/>
      <c r="CB108" s="71"/>
      <c r="CC108" s="71"/>
      <c r="CD108" s="71"/>
      <c r="CE108" s="71"/>
      <c r="CF108" s="71"/>
      <c r="CG108" s="71"/>
      <c r="CH108" s="71"/>
      <c r="CI108" s="71"/>
      <c r="CJ108" s="71"/>
      <c r="CK108" s="71"/>
      <c r="CL108" s="71"/>
      <c r="CM108" s="71"/>
      <c r="CN108" s="71"/>
      <c r="CO108" s="71"/>
      <c r="CP108" s="71"/>
      <c r="CQ108" s="71"/>
      <c r="CR108" s="71"/>
      <c r="CS108" s="71"/>
      <c r="CT108" s="71"/>
      <c r="CU108" s="71"/>
      <c r="CV108" s="71"/>
      <c r="CW108" s="71"/>
      <c r="CX108" s="71"/>
      <c r="CY108" s="71"/>
      <c r="CZ108" s="71"/>
      <c r="DA108" s="71"/>
      <c r="DB108" s="71"/>
      <c r="DC108" s="74">
        <f t="shared" si="169"/>
        <v>0</v>
      </c>
    </row>
    <row r="109" spans="1:107" ht="15.6" thickTop="1" thickBot="1" x14ac:dyDescent="0.3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71"/>
      <c r="BE109" s="71"/>
      <c r="BF109" s="71"/>
      <c r="BG109" s="71"/>
      <c r="BH109" s="71"/>
      <c r="BI109" s="71"/>
      <c r="BJ109" s="71"/>
      <c r="BK109" s="71"/>
      <c r="BL109" s="71"/>
      <c r="BM109" s="71"/>
      <c r="BN109" s="71"/>
      <c r="BO109" s="71"/>
      <c r="BP109" s="71"/>
      <c r="BQ109" s="71"/>
      <c r="BR109" s="71"/>
      <c r="BS109" s="71"/>
      <c r="BT109" s="71"/>
      <c r="BU109" s="71"/>
      <c r="BV109" s="71"/>
      <c r="BW109" s="71"/>
      <c r="BX109" s="71"/>
      <c r="BY109" s="71"/>
      <c r="BZ109" s="71"/>
      <c r="CA109" s="71"/>
      <c r="CB109" s="71"/>
      <c r="CC109" s="71"/>
      <c r="CD109" s="71"/>
      <c r="CE109" s="71"/>
      <c r="CF109" s="71"/>
      <c r="CG109" s="71"/>
      <c r="CH109" s="71"/>
      <c r="CI109" s="71"/>
      <c r="CJ109" s="71"/>
      <c r="CK109" s="71"/>
      <c r="CL109" s="71"/>
      <c r="CM109" s="71"/>
      <c r="CN109" s="71"/>
      <c r="CO109" s="71"/>
      <c r="CP109" s="71"/>
      <c r="CQ109" s="71"/>
      <c r="CR109" s="71"/>
      <c r="CS109" s="71"/>
      <c r="CT109" s="71"/>
      <c r="CU109" s="71"/>
      <c r="CV109" s="71"/>
      <c r="CW109" s="71"/>
      <c r="CX109" s="71"/>
      <c r="CY109" s="71"/>
      <c r="CZ109" s="71"/>
      <c r="DA109" s="71"/>
      <c r="DB109" s="71"/>
      <c r="DC109" s="74">
        <f t="shared" si="169"/>
        <v>0</v>
      </c>
    </row>
    <row r="110" spans="1:107" ht="15.6" thickTop="1" thickBot="1" x14ac:dyDescent="0.3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71"/>
      <c r="BE110" s="71"/>
      <c r="BF110" s="71"/>
      <c r="BG110" s="71"/>
      <c r="BH110" s="71"/>
      <c r="BI110" s="71"/>
      <c r="BJ110" s="71"/>
      <c r="BK110" s="71"/>
      <c r="BL110" s="71"/>
      <c r="BM110" s="71"/>
      <c r="BN110" s="71"/>
      <c r="BO110" s="71"/>
      <c r="BP110" s="71"/>
      <c r="BQ110" s="71"/>
      <c r="BR110" s="71"/>
      <c r="BS110" s="71"/>
      <c r="BT110" s="71"/>
      <c r="BU110" s="71"/>
      <c r="BV110" s="71"/>
      <c r="BW110" s="71"/>
      <c r="BX110" s="71"/>
      <c r="BY110" s="71"/>
      <c r="BZ110" s="71"/>
      <c r="CA110" s="71"/>
      <c r="CB110" s="71"/>
      <c r="CC110" s="71"/>
      <c r="CD110" s="71"/>
      <c r="CE110" s="71"/>
      <c r="CF110" s="71"/>
      <c r="CG110" s="71"/>
      <c r="CH110" s="71"/>
      <c r="CI110" s="71"/>
      <c r="CJ110" s="71"/>
      <c r="CK110" s="71"/>
      <c r="CL110" s="71"/>
      <c r="CM110" s="71"/>
      <c r="CN110" s="71"/>
      <c r="CO110" s="71"/>
      <c r="CP110" s="71"/>
      <c r="CQ110" s="71"/>
      <c r="CR110" s="71"/>
      <c r="CS110" s="71"/>
      <c r="CT110" s="71"/>
      <c r="CU110" s="71"/>
      <c r="CV110" s="71"/>
      <c r="CW110" s="71"/>
      <c r="CX110" s="71"/>
      <c r="CY110" s="71"/>
      <c r="CZ110" s="71"/>
      <c r="DA110" s="71"/>
      <c r="DB110" s="71"/>
      <c r="DC110" s="74">
        <f t="shared" si="169"/>
        <v>0</v>
      </c>
    </row>
    <row r="111" spans="1:107" ht="15.6" thickTop="1" thickBot="1" x14ac:dyDescent="0.3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71"/>
      <c r="BE111" s="71"/>
      <c r="BF111" s="71"/>
      <c r="BG111" s="71"/>
      <c r="BH111" s="71"/>
      <c r="BI111" s="71"/>
      <c r="BJ111" s="71"/>
      <c r="BK111" s="71"/>
      <c r="BL111" s="71"/>
      <c r="BM111" s="71"/>
      <c r="BN111" s="71"/>
      <c r="BO111" s="71"/>
      <c r="BP111" s="71"/>
      <c r="BQ111" s="71"/>
      <c r="BR111" s="71"/>
      <c r="BS111" s="71"/>
      <c r="BT111" s="71"/>
      <c r="BU111" s="71"/>
      <c r="BV111" s="71"/>
      <c r="BW111" s="71"/>
      <c r="BX111" s="71"/>
      <c r="BY111" s="71"/>
      <c r="BZ111" s="71"/>
      <c r="CA111" s="71"/>
      <c r="CB111" s="71"/>
      <c r="CC111" s="71"/>
      <c r="CD111" s="71"/>
      <c r="CE111" s="71"/>
      <c r="CF111" s="71"/>
      <c r="CG111" s="71"/>
      <c r="CH111" s="71"/>
      <c r="CI111" s="71"/>
      <c r="CJ111" s="71"/>
      <c r="CK111" s="71"/>
      <c r="CL111" s="71"/>
      <c r="CM111" s="71"/>
      <c r="CN111" s="71"/>
      <c r="CO111" s="71"/>
      <c r="CP111" s="71"/>
      <c r="CQ111" s="71"/>
      <c r="CR111" s="71"/>
      <c r="CS111" s="71"/>
      <c r="CT111" s="71"/>
      <c r="CU111" s="71"/>
      <c r="CV111" s="71"/>
      <c r="CW111" s="71"/>
      <c r="CX111" s="71"/>
      <c r="CY111" s="71"/>
      <c r="CZ111" s="71"/>
      <c r="DA111" s="71"/>
      <c r="DB111" s="71"/>
      <c r="DC111" s="74">
        <f t="shared" si="169"/>
        <v>0</v>
      </c>
    </row>
    <row r="112" spans="1:107" ht="15.6" thickTop="1" thickBot="1" x14ac:dyDescent="0.3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71"/>
      <c r="BE112" s="71"/>
      <c r="BF112" s="71"/>
      <c r="BG112" s="71"/>
      <c r="BH112" s="71"/>
      <c r="BI112" s="71"/>
      <c r="BJ112" s="71"/>
      <c r="BK112" s="71"/>
      <c r="BL112" s="71"/>
      <c r="BM112" s="71"/>
      <c r="BN112" s="71"/>
      <c r="BO112" s="71"/>
      <c r="BP112" s="71"/>
      <c r="BQ112" s="71"/>
      <c r="BR112" s="71"/>
      <c r="BS112" s="71"/>
      <c r="BT112" s="71"/>
      <c r="BU112" s="71"/>
      <c r="BV112" s="71"/>
      <c r="BW112" s="71"/>
      <c r="BX112" s="71"/>
      <c r="BY112" s="71"/>
      <c r="BZ112" s="71"/>
      <c r="CA112" s="71"/>
      <c r="CB112" s="71"/>
      <c r="CC112" s="71"/>
      <c r="CD112" s="71"/>
      <c r="CE112" s="71"/>
      <c r="CF112" s="71"/>
      <c r="CG112" s="71"/>
      <c r="CH112" s="71"/>
      <c r="CI112" s="71"/>
      <c r="CJ112" s="71"/>
      <c r="CK112" s="71"/>
      <c r="CL112" s="71"/>
      <c r="CM112" s="71"/>
      <c r="CN112" s="71"/>
      <c r="CO112" s="71"/>
      <c r="CP112" s="71"/>
      <c r="CQ112" s="71"/>
      <c r="CR112" s="71"/>
      <c r="CS112" s="71"/>
      <c r="CT112" s="71"/>
      <c r="CU112" s="71"/>
      <c r="CV112" s="71"/>
      <c r="CW112" s="71"/>
      <c r="CX112" s="71"/>
      <c r="CY112" s="71"/>
      <c r="CZ112" s="71"/>
      <c r="DA112" s="71"/>
      <c r="DB112" s="71"/>
      <c r="DC112" s="74">
        <f t="shared" si="169"/>
        <v>0</v>
      </c>
    </row>
    <row r="113" spans="1:107" ht="15.6" thickTop="1" thickBot="1" x14ac:dyDescent="0.3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71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71"/>
      <c r="BT113" s="71"/>
      <c r="BU113" s="71"/>
      <c r="BV113" s="71"/>
      <c r="BW113" s="71"/>
      <c r="BX113" s="71"/>
      <c r="BY113" s="71"/>
      <c r="BZ113" s="71"/>
      <c r="CA113" s="71"/>
      <c r="CB113" s="71"/>
      <c r="CC113" s="71"/>
      <c r="CD113" s="71"/>
      <c r="CE113" s="71"/>
      <c r="CF113" s="71"/>
      <c r="CG113" s="71"/>
      <c r="CH113" s="71"/>
      <c r="CI113" s="71"/>
      <c r="CJ113" s="71"/>
      <c r="CK113" s="71"/>
      <c r="CL113" s="71"/>
      <c r="CM113" s="71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71"/>
      <c r="DC113" s="74">
        <f t="shared" si="169"/>
        <v>0</v>
      </c>
    </row>
    <row r="114" spans="1:107" ht="15.6" thickTop="1" thickBot="1" x14ac:dyDescent="0.3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71"/>
      <c r="BE114" s="71"/>
      <c r="BF114" s="71"/>
      <c r="BG114" s="71"/>
      <c r="BH114" s="71"/>
      <c r="BI114" s="71"/>
      <c r="BJ114" s="71"/>
      <c r="BK114" s="71"/>
      <c r="BL114" s="71"/>
      <c r="BM114" s="71"/>
      <c r="BN114" s="71"/>
      <c r="BO114" s="71"/>
      <c r="BP114" s="71"/>
      <c r="BQ114" s="71"/>
      <c r="BR114" s="71"/>
      <c r="BS114" s="71"/>
      <c r="BT114" s="71"/>
      <c r="BU114" s="71"/>
      <c r="BV114" s="71"/>
      <c r="BW114" s="71"/>
      <c r="BX114" s="71"/>
      <c r="BY114" s="71"/>
      <c r="BZ114" s="71"/>
      <c r="CA114" s="71"/>
      <c r="CB114" s="71"/>
      <c r="CC114" s="71"/>
      <c r="CD114" s="71"/>
      <c r="CE114" s="71"/>
      <c r="CF114" s="71"/>
      <c r="CG114" s="71"/>
      <c r="CH114" s="71"/>
      <c r="CI114" s="71"/>
      <c r="CJ114" s="71"/>
      <c r="CK114" s="71"/>
      <c r="CL114" s="71"/>
      <c r="CM114" s="71"/>
      <c r="CN114" s="71"/>
      <c r="CO114" s="71"/>
      <c r="CP114" s="71"/>
      <c r="CQ114" s="71"/>
      <c r="CR114" s="71"/>
      <c r="CS114" s="71"/>
      <c r="CT114" s="71"/>
      <c r="CU114" s="71"/>
      <c r="CV114" s="71"/>
      <c r="CW114" s="71"/>
      <c r="CX114" s="71"/>
      <c r="CY114" s="71"/>
      <c r="CZ114" s="71"/>
      <c r="DA114" s="71"/>
      <c r="DB114" s="71"/>
      <c r="DC114" s="74">
        <f t="shared" si="169"/>
        <v>0</v>
      </c>
    </row>
    <row r="115" spans="1:107" ht="15.6" thickTop="1" thickBot="1" x14ac:dyDescent="0.3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71"/>
      <c r="BE115" s="71"/>
      <c r="BF115" s="71"/>
      <c r="BG115" s="71"/>
      <c r="BH115" s="71"/>
      <c r="BI115" s="71"/>
      <c r="BJ115" s="71"/>
      <c r="BK115" s="71"/>
      <c r="BL115" s="71"/>
      <c r="BM115" s="71"/>
      <c r="BN115" s="71"/>
      <c r="BO115" s="71"/>
      <c r="BP115" s="71"/>
      <c r="BQ115" s="71"/>
      <c r="BR115" s="71"/>
      <c r="BS115" s="71"/>
      <c r="BT115" s="71"/>
      <c r="BU115" s="71"/>
      <c r="BV115" s="71"/>
      <c r="BW115" s="71"/>
      <c r="BX115" s="71"/>
      <c r="BY115" s="71"/>
      <c r="BZ115" s="71"/>
      <c r="CA115" s="71"/>
      <c r="CB115" s="71"/>
      <c r="CC115" s="71"/>
      <c r="CD115" s="71"/>
      <c r="CE115" s="71"/>
      <c r="CF115" s="71"/>
      <c r="CG115" s="71"/>
      <c r="CH115" s="71"/>
      <c r="CI115" s="71"/>
      <c r="CJ115" s="71"/>
      <c r="CK115" s="71"/>
      <c r="CL115" s="71"/>
      <c r="CM115" s="71"/>
      <c r="CN115" s="71"/>
      <c r="CO115" s="71"/>
      <c r="CP115" s="71"/>
      <c r="CQ115" s="71"/>
      <c r="CR115" s="71"/>
      <c r="CS115" s="71"/>
      <c r="CT115" s="71"/>
      <c r="CU115" s="71"/>
      <c r="CV115" s="71"/>
      <c r="CW115" s="71"/>
      <c r="CX115" s="71"/>
      <c r="CY115" s="71"/>
      <c r="CZ115" s="71"/>
      <c r="DA115" s="71"/>
      <c r="DB115" s="71"/>
      <c r="DC115" s="74">
        <f t="shared" si="169"/>
        <v>0</v>
      </c>
    </row>
    <row r="116" spans="1:107" ht="15.6" thickTop="1" thickBot="1" x14ac:dyDescent="0.3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71"/>
      <c r="BE116" s="71"/>
      <c r="BF116" s="71"/>
      <c r="BG116" s="71"/>
      <c r="BH116" s="71"/>
      <c r="BI116" s="71"/>
      <c r="BJ116" s="71"/>
      <c r="BK116" s="71"/>
      <c r="BL116" s="71"/>
      <c r="BM116" s="71"/>
      <c r="BN116" s="71"/>
      <c r="BO116" s="71"/>
      <c r="BP116" s="71"/>
      <c r="BQ116" s="71"/>
      <c r="BR116" s="71"/>
      <c r="BS116" s="71"/>
      <c r="BT116" s="71"/>
      <c r="BU116" s="71"/>
      <c r="BV116" s="71"/>
      <c r="BW116" s="71"/>
      <c r="BX116" s="71"/>
      <c r="BY116" s="71"/>
      <c r="BZ116" s="71"/>
      <c r="CA116" s="71"/>
      <c r="CB116" s="71"/>
      <c r="CC116" s="71"/>
      <c r="CD116" s="71"/>
      <c r="CE116" s="71"/>
      <c r="CF116" s="71"/>
      <c r="CG116" s="71"/>
      <c r="CH116" s="71"/>
      <c r="CI116" s="71"/>
      <c r="CJ116" s="71"/>
      <c r="CK116" s="71"/>
      <c r="CL116" s="71"/>
      <c r="CM116" s="71"/>
      <c r="CN116" s="71"/>
      <c r="CO116" s="71"/>
      <c r="CP116" s="71"/>
      <c r="CQ116" s="71"/>
      <c r="CR116" s="71"/>
      <c r="CS116" s="71"/>
      <c r="CT116" s="71"/>
      <c r="CU116" s="71"/>
      <c r="CV116" s="71"/>
      <c r="CW116" s="71"/>
      <c r="CX116" s="71"/>
      <c r="CY116" s="71"/>
      <c r="CZ116" s="71"/>
      <c r="DA116" s="71"/>
      <c r="DB116" s="71"/>
      <c r="DC116" s="74">
        <f t="shared" si="169"/>
        <v>0</v>
      </c>
    </row>
    <row r="117" spans="1:107" ht="15.6" thickTop="1" thickBot="1" x14ac:dyDescent="0.3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71"/>
      <c r="BE117" s="71"/>
      <c r="BF117" s="71"/>
      <c r="BG117" s="71"/>
      <c r="BH117" s="71"/>
      <c r="BI117" s="71"/>
      <c r="BJ117" s="71"/>
      <c r="BK117" s="71"/>
      <c r="BL117" s="71"/>
      <c r="BM117" s="71"/>
      <c r="BN117" s="71"/>
      <c r="BO117" s="71"/>
      <c r="BP117" s="71"/>
      <c r="BQ117" s="71"/>
      <c r="BR117" s="71"/>
      <c r="BS117" s="71"/>
      <c r="BT117" s="71"/>
      <c r="BU117" s="71"/>
      <c r="BV117" s="71"/>
      <c r="BW117" s="71"/>
      <c r="BX117" s="71"/>
      <c r="BY117" s="71"/>
      <c r="BZ117" s="71"/>
      <c r="CA117" s="71"/>
      <c r="CB117" s="71"/>
      <c r="CC117" s="71"/>
      <c r="CD117" s="71"/>
      <c r="CE117" s="71"/>
      <c r="CF117" s="71"/>
      <c r="CG117" s="71"/>
      <c r="CH117" s="71"/>
      <c r="CI117" s="71"/>
      <c r="CJ117" s="71"/>
      <c r="CK117" s="71"/>
      <c r="CL117" s="71"/>
      <c r="CM117" s="71"/>
      <c r="CN117" s="71"/>
      <c r="CO117" s="71"/>
      <c r="CP117" s="71"/>
      <c r="CQ117" s="71"/>
      <c r="CR117" s="71"/>
      <c r="CS117" s="71"/>
      <c r="CT117" s="71"/>
      <c r="CU117" s="71"/>
      <c r="CV117" s="71"/>
      <c r="CW117" s="71"/>
      <c r="CX117" s="71"/>
      <c r="CY117" s="71"/>
      <c r="CZ117" s="71"/>
      <c r="DA117" s="71"/>
      <c r="DB117" s="71"/>
      <c r="DC117" s="74">
        <f t="shared" si="169"/>
        <v>0</v>
      </c>
    </row>
    <row r="118" spans="1:107" ht="15.6" thickTop="1" thickBot="1" x14ac:dyDescent="0.3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71"/>
      <c r="BE118" s="71"/>
      <c r="BF118" s="71"/>
      <c r="BG118" s="71"/>
      <c r="BH118" s="71"/>
      <c r="BI118" s="71"/>
      <c r="BJ118" s="71"/>
      <c r="BK118" s="71"/>
      <c r="BL118" s="71"/>
      <c r="BM118" s="71"/>
      <c r="BN118" s="71"/>
      <c r="BO118" s="71"/>
      <c r="BP118" s="71"/>
      <c r="BQ118" s="71"/>
      <c r="BR118" s="71"/>
      <c r="BS118" s="71"/>
      <c r="BT118" s="71"/>
      <c r="BU118" s="71"/>
      <c r="BV118" s="71"/>
      <c r="BW118" s="71"/>
      <c r="BX118" s="71"/>
      <c r="BY118" s="71"/>
      <c r="BZ118" s="71"/>
      <c r="CA118" s="71"/>
      <c r="CB118" s="71"/>
      <c r="CC118" s="71"/>
      <c r="CD118" s="71"/>
      <c r="CE118" s="71"/>
      <c r="CF118" s="71"/>
      <c r="CG118" s="71"/>
      <c r="CH118" s="71"/>
      <c r="CI118" s="71"/>
      <c r="CJ118" s="71"/>
      <c r="CK118" s="71"/>
      <c r="CL118" s="71"/>
      <c r="CM118" s="71"/>
      <c r="CN118" s="71"/>
      <c r="CO118" s="71"/>
      <c r="CP118" s="71"/>
      <c r="CQ118" s="71"/>
      <c r="CR118" s="71"/>
      <c r="CS118" s="71"/>
      <c r="CT118" s="71"/>
      <c r="CU118" s="71"/>
      <c r="CV118" s="71"/>
      <c r="CW118" s="71"/>
      <c r="CX118" s="71"/>
      <c r="CY118" s="71"/>
      <c r="CZ118" s="71"/>
      <c r="DA118" s="71"/>
      <c r="DB118" s="71"/>
      <c r="DC118" s="74">
        <f t="shared" si="169"/>
        <v>0</v>
      </c>
    </row>
    <row r="119" spans="1:107" ht="15.6" thickTop="1" thickBot="1" x14ac:dyDescent="0.3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71"/>
      <c r="BE119" s="71"/>
      <c r="BF119" s="71"/>
      <c r="BG119" s="71"/>
      <c r="BH119" s="71"/>
      <c r="BI119" s="71"/>
      <c r="BJ119" s="71"/>
      <c r="BK119" s="71"/>
      <c r="BL119" s="71"/>
      <c r="BM119" s="71"/>
      <c r="BN119" s="71"/>
      <c r="BO119" s="71"/>
      <c r="BP119" s="71"/>
      <c r="BQ119" s="71"/>
      <c r="BR119" s="71"/>
      <c r="BS119" s="71"/>
      <c r="BT119" s="71"/>
      <c r="BU119" s="71"/>
      <c r="BV119" s="71"/>
      <c r="BW119" s="71"/>
      <c r="BX119" s="71"/>
      <c r="BY119" s="71"/>
      <c r="BZ119" s="71"/>
      <c r="CA119" s="71"/>
      <c r="CB119" s="71"/>
      <c r="CC119" s="71"/>
      <c r="CD119" s="71"/>
      <c r="CE119" s="71"/>
      <c r="CF119" s="71"/>
      <c r="CG119" s="71"/>
      <c r="CH119" s="71"/>
      <c r="CI119" s="71"/>
      <c r="CJ119" s="71"/>
      <c r="CK119" s="71"/>
      <c r="CL119" s="71"/>
      <c r="CM119" s="71"/>
      <c r="CN119" s="71"/>
      <c r="CO119" s="71"/>
      <c r="CP119" s="71"/>
      <c r="CQ119" s="71"/>
      <c r="CR119" s="71"/>
      <c r="CS119" s="71"/>
      <c r="CT119" s="71"/>
      <c r="CU119" s="71"/>
      <c r="CV119" s="71"/>
      <c r="CW119" s="71"/>
      <c r="CX119" s="71"/>
      <c r="CY119" s="71"/>
      <c r="CZ119" s="71"/>
      <c r="DA119" s="71"/>
      <c r="DB119" s="71"/>
      <c r="DC119" s="74">
        <f t="shared" si="169"/>
        <v>0</v>
      </c>
    </row>
    <row r="120" spans="1:107" ht="15.6" thickTop="1" thickBot="1" x14ac:dyDescent="0.3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71"/>
      <c r="BE120" s="71"/>
      <c r="BF120" s="71"/>
      <c r="BG120" s="71"/>
      <c r="BH120" s="71"/>
      <c r="BI120" s="71"/>
      <c r="BJ120" s="71"/>
      <c r="BK120" s="71"/>
      <c r="BL120" s="71"/>
      <c r="BM120" s="71"/>
      <c r="BN120" s="71"/>
      <c r="BO120" s="71"/>
      <c r="BP120" s="71"/>
      <c r="BQ120" s="71"/>
      <c r="BR120" s="71"/>
      <c r="BS120" s="71"/>
      <c r="BT120" s="71"/>
      <c r="BU120" s="71"/>
      <c r="BV120" s="71"/>
      <c r="BW120" s="71"/>
      <c r="BX120" s="71"/>
      <c r="BY120" s="71"/>
      <c r="BZ120" s="71"/>
      <c r="CA120" s="71"/>
      <c r="CB120" s="71"/>
      <c r="CC120" s="71"/>
      <c r="CD120" s="71"/>
      <c r="CE120" s="71"/>
      <c r="CF120" s="71"/>
      <c r="CG120" s="71"/>
      <c r="CH120" s="71"/>
      <c r="CI120" s="71"/>
      <c r="CJ120" s="71"/>
      <c r="CK120" s="71"/>
      <c r="CL120" s="71"/>
      <c r="CM120" s="71"/>
      <c r="CN120" s="71"/>
      <c r="CO120" s="71"/>
      <c r="CP120" s="71"/>
      <c r="CQ120" s="71"/>
      <c r="CR120" s="71"/>
      <c r="CS120" s="71"/>
      <c r="CT120" s="71"/>
      <c r="CU120" s="71"/>
      <c r="CV120" s="71"/>
      <c r="CW120" s="71"/>
      <c r="CX120" s="71"/>
      <c r="CY120" s="71"/>
      <c r="CZ120" s="71"/>
      <c r="DA120" s="71"/>
      <c r="DB120" s="71"/>
      <c r="DC120" s="74">
        <f t="shared" si="169"/>
        <v>0</v>
      </c>
    </row>
    <row r="121" spans="1:107" ht="15.6" thickTop="1" thickBot="1" x14ac:dyDescent="0.3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71"/>
      <c r="BE121" s="71"/>
      <c r="BF121" s="71"/>
      <c r="BG121" s="71"/>
      <c r="BH121" s="71"/>
      <c r="BI121" s="71"/>
      <c r="BJ121" s="71"/>
      <c r="BK121" s="71"/>
      <c r="BL121" s="71"/>
      <c r="BM121" s="71"/>
      <c r="BN121" s="71"/>
      <c r="BO121" s="71"/>
      <c r="BP121" s="71"/>
      <c r="BQ121" s="71"/>
      <c r="BR121" s="71"/>
      <c r="BS121" s="71"/>
      <c r="BT121" s="71"/>
      <c r="BU121" s="71"/>
      <c r="BV121" s="71"/>
      <c r="BW121" s="71"/>
      <c r="BX121" s="71"/>
      <c r="BY121" s="71"/>
      <c r="BZ121" s="71"/>
      <c r="CA121" s="71"/>
      <c r="CB121" s="71"/>
      <c r="CC121" s="71"/>
      <c r="CD121" s="71"/>
      <c r="CE121" s="71"/>
      <c r="CF121" s="71"/>
      <c r="CG121" s="71"/>
      <c r="CH121" s="71"/>
      <c r="CI121" s="71"/>
      <c r="CJ121" s="71"/>
      <c r="CK121" s="71"/>
      <c r="CL121" s="71"/>
      <c r="CM121" s="71"/>
      <c r="CN121" s="71"/>
      <c r="CO121" s="71"/>
      <c r="CP121" s="71"/>
      <c r="CQ121" s="71"/>
      <c r="CR121" s="71"/>
      <c r="CS121" s="71"/>
      <c r="CT121" s="71"/>
      <c r="CU121" s="71"/>
      <c r="CV121" s="71"/>
      <c r="CW121" s="71"/>
      <c r="CX121" s="71"/>
      <c r="CY121" s="71"/>
      <c r="CZ121" s="71"/>
      <c r="DA121" s="71"/>
      <c r="DB121" s="71"/>
      <c r="DC121" s="74">
        <f t="shared" si="169"/>
        <v>0</v>
      </c>
    </row>
    <row r="122" spans="1:107" ht="15.6" thickTop="1" thickBot="1" x14ac:dyDescent="0.3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71"/>
      <c r="BE122" s="71"/>
      <c r="BF122" s="71"/>
      <c r="BG122" s="71"/>
      <c r="BH122" s="71"/>
      <c r="BI122" s="71"/>
      <c r="BJ122" s="71"/>
      <c r="BK122" s="71"/>
      <c r="BL122" s="71"/>
      <c r="BM122" s="71"/>
      <c r="BN122" s="71"/>
      <c r="BO122" s="71"/>
      <c r="BP122" s="71"/>
      <c r="BQ122" s="71"/>
      <c r="BR122" s="71"/>
      <c r="BS122" s="71"/>
      <c r="BT122" s="71"/>
      <c r="BU122" s="71"/>
      <c r="BV122" s="71"/>
      <c r="BW122" s="71"/>
      <c r="BX122" s="71"/>
      <c r="BY122" s="71"/>
      <c r="BZ122" s="71"/>
      <c r="CA122" s="71"/>
      <c r="CB122" s="71"/>
      <c r="CC122" s="71"/>
      <c r="CD122" s="71"/>
      <c r="CE122" s="71"/>
      <c r="CF122" s="71"/>
      <c r="CG122" s="71"/>
      <c r="CH122" s="71"/>
      <c r="CI122" s="71"/>
      <c r="CJ122" s="71"/>
      <c r="CK122" s="71"/>
      <c r="CL122" s="71"/>
      <c r="CM122" s="71"/>
      <c r="CN122" s="71"/>
      <c r="CO122" s="71"/>
      <c r="CP122" s="71"/>
      <c r="CQ122" s="71"/>
      <c r="CR122" s="71"/>
      <c r="CS122" s="71"/>
      <c r="CT122" s="71"/>
      <c r="CU122" s="71"/>
      <c r="CV122" s="71"/>
      <c r="CW122" s="71"/>
      <c r="CX122" s="71"/>
      <c r="CY122" s="71"/>
      <c r="CZ122" s="71"/>
      <c r="DA122" s="71"/>
      <c r="DB122" s="71"/>
      <c r="DC122" s="74">
        <f t="shared" si="169"/>
        <v>0</v>
      </c>
    </row>
    <row r="123" spans="1:107" ht="15.6" thickTop="1" thickBot="1" x14ac:dyDescent="0.3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71"/>
      <c r="BE123" s="71"/>
      <c r="BF123" s="71"/>
      <c r="BG123" s="71"/>
      <c r="BH123" s="71"/>
      <c r="BI123" s="71"/>
      <c r="BJ123" s="71"/>
      <c r="BK123" s="71"/>
      <c r="BL123" s="71"/>
      <c r="BM123" s="71"/>
      <c r="BN123" s="71"/>
      <c r="BO123" s="71"/>
      <c r="BP123" s="71"/>
      <c r="BQ123" s="71"/>
      <c r="BR123" s="71"/>
      <c r="BS123" s="71"/>
      <c r="BT123" s="71"/>
      <c r="BU123" s="71"/>
      <c r="BV123" s="71"/>
      <c r="BW123" s="71"/>
      <c r="BX123" s="71"/>
      <c r="BY123" s="71"/>
      <c r="BZ123" s="71"/>
      <c r="CA123" s="71"/>
      <c r="CB123" s="71"/>
      <c r="CC123" s="71"/>
      <c r="CD123" s="71"/>
      <c r="CE123" s="71"/>
      <c r="CF123" s="71"/>
      <c r="CG123" s="71"/>
      <c r="CH123" s="71"/>
      <c r="CI123" s="71"/>
      <c r="CJ123" s="71"/>
      <c r="CK123" s="71"/>
      <c r="CL123" s="71"/>
      <c r="CM123" s="71"/>
      <c r="CN123" s="71"/>
      <c r="CO123" s="71"/>
      <c r="CP123" s="71"/>
      <c r="CQ123" s="71"/>
      <c r="CR123" s="71"/>
      <c r="CS123" s="71"/>
      <c r="CT123" s="71"/>
      <c r="CU123" s="71"/>
      <c r="CV123" s="71"/>
      <c r="CW123" s="71"/>
      <c r="CX123" s="71"/>
      <c r="CY123" s="71"/>
      <c r="CZ123" s="71"/>
      <c r="DA123" s="71"/>
      <c r="DB123" s="71"/>
      <c r="DC123" s="74">
        <f t="shared" si="169"/>
        <v>0</v>
      </c>
    </row>
    <row r="124" spans="1:107" ht="15" thickTop="1" x14ac:dyDescent="0.3"/>
  </sheetData>
  <phoneticPr fontId="21" type="noConversion"/>
  <conditionalFormatting sqref="AA4">
    <cfRule type="cellIs" dxfId="551" priority="925" operator="equal">
      <formula>Z4</formula>
    </cfRule>
    <cfRule type="cellIs" dxfId="550" priority="926" operator="lessThan">
      <formula>Z4</formula>
    </cfRule>
    <cfRule type="cellIs" dxfId="549" priority="927" operator="greaterThan">
      <formula>Z4</formula>
    </cfRule>
  </conditionalFormatting>
  <conditionalFormatting sqref="AB4">
    <cfRule type="cellIs" dxfId="548" priority="913" operator="equal">
      <formula>AA4</formula>
    </cfRule>
    <cfRule type="cellIs" dxfId="547" priority="914" operator="lessThan">
      <formula>AA4</formula>
    </cfRule>
    <cfRule type="cellIs" dxfId="546" priority="915" operator="greaterThan">
      <formula>AA4</formula>
    </cfRule>
  </conditionalFormatting>
  <conditionalFormatting sqref="AC4">
    <cfRule type="cellIs" dxfId="545" priority="910" operator="equal">
      <formula>AB4</formula>
    </cfRule>
    <cfRule type="cellIs" dxfId="544" priority="911" operator="lessThan">
      <formula>AB4</formula>
    </cfRule>
    <cfRule type="cellIs" dxfId="543" priority="912" operator="greaterThan">
      <formula>AB4</formula>
    </cfRule>
  </conditionalFormatting>
  <conditionalFormatting sqref="AD4">
    <cfRule type="cellIs" dxfId="542" priority="907" operator="equal">
      <formula>AC4</formula>
    </cfRule>
    <cfRule type="cellIs" dxfId="541" priority="908" operator="lessThan">
      <formula>AC4</formula>
    </cfRule>
    <cfRule type="cellIs" dxfId="540" priority="909" operator="greaterThan">
      <formula>AC4</formula>
    </cfRule>
  </conditionalFormatting>
  <conditionalFormatting sqref="AE4">
    <cfRule type="cellIs" dxfId="539" priority="904" operator="equal">
      <formula>AD4</formula>
    </cfRule>
    <cfRule type="cellIs" dxfId="538" priority="905" operator="lessThan">
      <formula>AD4</formula>
    </cfRule>
    <cfRule type="cellIs" dxfId="537" priority="906" operator="greaterThan">
      <formula>AD4</formula>
    </cfRule>
  </conditionalFormatting>
  <conditionalFormatting sqref="AA5">
    <cfRule type="cellIs" dxfId="536" priority="901" operator="equal">
      <formula>Z5</formula>
    </cfRule>
    <cfRule type="cellIs" dxfId="535" priority="902" operator="lessThan">
      <formula>Z5</formula>
    </cfRule>
    <cfRule type="cellIs" dxfId="534" priority="903" operator="greaterThan">
      <formula>Z5</formula>
    </cfRule>
  </conditionalFormatting>
  <conditionalFormatting sqref="AB5">
    <cfRule type="cellIs" dxfId="533" priority="898" operator="equal">
      <formula>AA5</formula>
    </cfRule>
    <cfRule type="cellIs" dxfId="532" priority="899" operator="lessThan">
      <formula>AA5</formula>
    </cfRule>
    <cfRule type="cellIs" dxfId="531" priority="900" operator="greaterThan">
      <formula>AA5</formula>
    </cfRule>
  </conditionalFormatting>
  <conditionalFormatting sqref="AA6">
    <cfRule type="cellIs" dxfId="530" priority="895" operator="equal">
      <formula>Z6</formula>
    </cfRule>
    <cfRule type="cellIs" dxfId="529" priority="896" operator="lessThan">
      <formula>Z6</formula>
    </cfRule>
    <cfRule type="cellIs" dxfId="528" priority="897" operator="greaterThan">
      <formula>Z6</formula>
    </cfRule>
  </conditionalFormatting>
  <conditionalFormatting sqref="AB6">
    <cfRule type="cellIs" dxfId="527" priority="892" operator="equal">
      <formula>AA6</formula>
    </cfRule>
    <cfRule type="cellIs" dxfId="526" priority="893" operator="lessThan">
      <formula>AA6</formula>
    </cfRule>
    <cfRule type="cellIs" dxfId="525" priority="894" operator="greaterThan">
      <formula>AA6</formula>
    </cfRule>
  </conditionalFormatting>
  <conditionalFormatting sqref="AA7">
    <cfRule type="cellIs" dxfId="524" priority="889" operator="equal">
      <formula>Z7</formula>
    </cfRule>
    <cfRule type="cellIs" dxfId="523" priority="890" operator="lessThan">
      <formula>Z7</formula>
    </cfRule>
    <cfRule type="cellIs" dxfId="522" priority="891" operator="greaterThan">
      <formula>Z7</formula>
    </cfRule>
  </conditionalFormatting>
  <conditionalFormatting sqref="AB7">
    <cfRule type="cellIs" dxfId="521" priority="886" operator="equal">
      <formula>Z7</formula>
    </cfRule>
    <cfRule type="cellIs" dxfId="520" priority="887" operator="lessThan">
      <formula>Z7</formula>
    </cfRule>
    <cfRule type="cellIs" dxfId="519" priority="888" operator="greaterThan">
      <formula>Z7</formula>
    </cfRule>
  </conditionalFormatting>
  <conditionalFormatting sqref="AC7">
    <cfRule type="cellIs" dxfId="518" priority="883" operator="equal">
      <formula>AA7</formula>
    </cfRule>
    <cfRule type="cellIs" dxfId="517" priority="884" operator="lessThan">
      <formula>AA7</formula>
    </cfRule>
    <cfRule type="cellIs" dxfId="516" priority="885" operator="greaterThan">
      <formula>AA7</formula>
    </cfRule>
  </conditionalFormatting>
  <conditionalFormatting sqref="AA8">
    <cfRule type="cellIs" dxfId="515" priority="880" operator="equal">
      <formula>Z8</formula>
    </cfRule>
    <cfRule type="cellIs" dxfId="514" priority="881" operator="lessThan">
      <formula>Z8</formula>
    </cfRule>
    <cfRule type="cellIs" dxfId="513" priority="882" operator="greaterThan">
      <formula>Z8</formula>
    </cfRule>
  </conditionalFormatting>
  <conditionalFormatting sqref="AB8">
    <cfRule type="cellIs" dxfId="512" priority="877" operator="equal">
      <formula>AA8</formula>
    </cfRule>
    <cfRule type="cellIs" dxfId="511" priority="878" operator="lessThan">
      <formula>AA8</formula>
    </cfRule>
    <cfRule type="cellIs" dxfId="510" priority="879" operator="greaterThan">
      <formula>AA8</formula>
    </cfRule>
  </conditionalFormatting>
  <conditionalFormatting sqref="AA9">
    <cfRule type="cellIs" dxfId="509" priority="874" operator="equal">
      <formula>Z9</formula>
    </cfRule>
    <cfRule type="cellIs" dxfId="508" priority="875" operator="lessThan">
      <formula>Z9</formula>
    </cfRule>
    <cfRule type="cellIs" dxfId="507" priority="876" operator="greaterThan">
      <formula>Z9</formula>
    </cfRule>
  </conditionalFormatting>
  <conditionalFormatting sqref="AB9">
    <cfRule type="cellIs" dxfId="506" priority="871" operator="equal">
      <formula>AA9</formula>
    </cfRule>
    <cfRule type="cellIs" dxfId="505" priority="872" operator="lessThan">
      <formula>AA9</formula>
    </cfRule>
    <cfRule type="cellIs" dxfId="504" priority="873" operator="greaterThan">
      <formula>AA9</formula>
    </cfRule>
  </conditionalFormatting>
  <conditionalFormatting sqref="AA10">
    <cfRule type="cellIs" dxfId="503" priority="868" operator="equal">
      <formula>Z10</formula>
    </cfRule>
    <cfRule type="cellIs" dxfId="502" priority="869" operator="lessThan">
      <formula>Z10</formula>
    </cfRule>
    <cfRule type="cellIs" dxfId="501" priority="870" operator="greaterThan">
      <formula>Z10</formula>
    </cfRule>
  </conditionalFormatting>
  <conditionalFormatting sqref="AB10">
    <cfRule type="cellIs" dxfId="500" priority="865" operator="equal">
      <formula>AA10</formula>
    </cfRule>
    <cfRule type="cellIs" dxfId="499" priority="866" operator="lessThan">
      <formula>AA10</formula>
    </cfRule>
    <cfRule type="cellIs" dxfId="498" priority="867" operator="greaterThan">
      <formula>AA10</formula>
    </cfRule>
  </conditionalFormatting>
  <conditionalFormatting sqref="AC10">
    <cfRule type="cellIs" dxfId="497" priority="862" operator="equal">
      <formula>AB10</formula>
    </cfRule>
    <cfRule type="cellIs" dxfId="496" priority="863" operator="lessThan">
      <formula>AB10</formula>
    </cfRule>
    <cfRule type="cellIs" dxfId="495" priority="864" operator="greaterThan">
      <formula>AB10</formula>
    </cfRule>
  </conditionalFormatting>
  <conditionalFormatting sqref="AA11">
    <cfRule type="cellIs" dxfId="494" priority="859" operator="equal">
      <formula>Z11</formula>
    </cfRule>
    <cfRule type="cellIs" dxfId="493" priority="860" operator="lessThan">
      <formula>Z11</formula>
    </cfRule>
    <cfRule type="cellIs" dxfId="492" priority="861" operator="greaterThan">
      <formula>Z11</formula>
    </cfRule>
  </conditionalFormatting>
  <conditionalFormatting sqref="AB11">
    <cfRule type="cellIs" dxfId="491" priority="856" operator="equal">
      <formula>AA11</formula>
    </cfRule>
    <cfRule type="cellIs" dxfId="490" priority="857" operator="lessThan">
      <formula>AA11</formula>
    </cfRule>
    <cfRule type="cellIs" dxfId="489" priority="858" operator="greaterThan">
      <formula>AA11</formula>
    </cfRule>
  </conditionalFormatting>
  <conditionalFormatting sqref="AC11">
    <cfRule type="cellIs" dxfId="488" priority="853" operator="equal">
      <formula>AB11</formula>
    </cfRule>
    <cfRule type="cellIs" dxfId="487" priority="854" operator="lessThan">
      <formula>AB11</formula>
    </cfRule>
    <cfRule type="cellIs" dxfId="486" priority="855" operator="greaterThan">
      <formula>AB11</formula>
    </cfRule>
  </conditionalFormatting>
  <conditionalFormatting sqref="AA12">
    <cfRule type="cellIs" dxfId="485" priority="850" operator="equal">
      <formula>Z12</formula>
    </cfRule>
    <cfRule type="cellIs" dxfId="484" priority="851" operator="lessThan">
      <formula>Z12</formula>
    </cfRule>
    <cfRule type="cellIs" dxfId="483" priority="852" operator="greaterThan">
      <formula>Z12</formula>
    </cfRule>
  </conditionalFormatting>
  <conditionalFormatting sqref="AB12">
    <cfRule type="cellIs" dxfId="482" priority="847" operator="equal">
      <formula>AA12</formula>
    </cfRule>
    <cfRule type="cellIs" dxfId="481" priority="848" operator="lessThan">
      <formula>AA12</formula>
    </cfRule>
    <cfRule type="cellIs" dxfId="480" priority="849" operator="greaterThan">
      <formula>AA12</formula>
    </cfRule>
  </conditionalFormatting>
  <conditionalFormatting sqref="AC12">
    <cfRule type="cellIs" dxfId="479" priority="844" operator="equal">
      <formula>AB12</formula>
    </cfRule>
    <cfRule type="cellIs" dxfId="478" priority="845" operator="lessThan">
      <formula>AB12</formula>
    </cfRule>
    <cfRule type="cellIs" dxfId="477" priority="846" operator="greaterThan">
      <formula>AB12</formula>
    </cfRule>
  </conditionalFormatting>
  <conditionalFormatting sqref="AD12">
    <cfRule type="cellIs" dxfId="476" priority="841" operator="equal">
      <formula>AC12</formula>
    </cfRule>
    <cfRule type="cellIs" dxfId="475" priority="842" operator="lessThan">
      <formula>AC12</formula>
    </cfRule>
    <cfRule type="cellIs" dxfId="474" priority="843" operator="greaterThan">
      <formula>AC12</formula>
    </cfRule>
  </conditionalFormatting>
  <conditionalFormatting sqref="AA13">
    <cfRule type="cellIs" dxfId="473" priority="838" operator="equal">
      <formula>Z13</formula>
    </cfRule>
    <cfRule type="cellIs" dxfId="472" priority="839" operator="lessThan">
      <formula>Z13</formula>
    </cfRule>
    <cfRule type="cellIs" dxfId="471" priority="840" operator="greaterThan">
      <formula>Z13</formula>
    </cfRule>
  </conditionalFormatting>
  <conditionalFormatting sqref="AB13">
    <cfRule type="cellIs" dxfId="470" priority="835" operator="equal">
      <formula>AA13</formula>
    </cfRule>
    <cfRule type="cellIs" dxfId="469" priority="836" operator="lessThan">
      <formula>AA13</formula>
    </cfRule>
    <cfRule type="cellIs" dxfId="468" priority="837" operator="greaterThan">
      <formula>AA13</formula>
    </cfRule>
  </conditionalFormatting>
  <conditionalFormatting sqref="AC13">
    <cfRule type="cellIs" dxfId="467" priority="832" operator="equal">
      <formula>AB13</formula>
    </cfRule>
    <cfRule type="cellIs" dxfId="466" priority="833" operator="lessThan">
      <formula>AB13</formula>
    </cfRule>
    <cfRule type="cellIs" dxfId="465" priority="834" operator="greaterThan">
      <formula>AB13</formula>
    </cfRule>
  </conditionalFormatting>
  <conditionalFormatting sqref="AD13">
    <cfRule type="cellIs" dxfId="464" priority="829" operator="equal">
      <formula>AC13</formula>
    </cfRule>
    <cfRule type="cellIs" dxfId="463" priority="830" operator="lessThan">
      <formula>AC13</formula>
    </cfRule>
    <cfRule type="cellIs" dxfId="462" priority="831" operator="greaterThan">
      <formula>AC13</formula>
    </cfRule>
  </conditionalFormatting>
  <conditionalFormatting sqref="AE13">
    <cfRule type="cellIs" dxfId="461" priority="826" operator="equal">
      <formula>AD13</formula>
    </cfRule>
    <cfRule type="cellIs" dxfId="460" priority="827" operator="lessThan">
      <formula>AD13</formula>
    </cfRule>
    <cfRule type="cellIs" dxfId="459" priority="828" operator="greaterThan">
      <formula>AD13</formula>
    </cfRule>
  </conditionalFormatting>
  <conditionalFormatting sqref="AA15">
    <cfRule type="cellIs" dxfId="458" priority="823" operator="equal">
      <formula>Z15</formula>
    </cfRule>
    <cfRule type="cellIs" dxfId="457" priority="824" operator="lessThan">
      <formula>Z15</formula>
    </cfRule>
    <cfRule type="cellIs" dxfId="456" priority="825" operator="greaterThan">
      <formula>Z15</formula>
    </cfRule>
  </conditionalFormatting>
  <conditionalFormatting sqref="AB15">
    <cfRule type="cellIs" dxfId="455" priority="820" operator="equal">
      <formula>AA15</formula>
    </cfRule>
    <cfRule type="cellIs" dxfId="454" priority="821" operator="lessThan">
      <formula>AA15</formula>
    </cfRule>
    <cfRule type="cellIs" dxfId="453" priority="822" operator="greaterThan">
      <formula>AA15</formula>
    </cfRule>
  </conditionalFormatting>
  <conditionalFormatting sqref="AC15">
    <cfRule type="cellIs" dxfId="452" priority="817" operator="equal">
      <formula>AB15</formula>
    </cfRule>
    <cfRule type="cellIs" dxfId="451" priority="818" operator="lessThan">
      <formula>AB15</formula>
    </cfRule>
    <cfRule type="cellIs" dxfId="450" priority="819" operator="greaterThan">
      <formula>AB15</formula>
    </cfRule>
  </conditionalFormatting>
  <conditionalFormatting sqref="AD15">
    <cfRule type="cellIs" dxfId="449" priority="814" operator="equal">
      <formula>AC15</formula>
    </cfRule>
    <cfRule type="cellIs" dxfId="448" priority="815" operator="lessThan">
      <formula>AC15</formula>
    </cfRule>
    <cfRule type="cellIs" dxfId="447" priority="816" operator="greaterThan">
      <formula>AC15</formula>
    </cfRule>
  </conditionalFormatting>
  <conditionalFormatting sqref="AE15">
    <cfRule type="cellIs" dxfId="446" priority="811" operator="equal">
      <formula>AD15</formula>
    </cfRule>
    <cfRule type="cellIs" dxfId="445" priority="812" operator="lessThan">
      <formula>AD15</formula>
    </cfRule>
    <cfRule type="cellIs" dxfId="444" priority="813" operator="greaterThan">
      <formula>AD15</formula>
    </cfRule>
  </conditionalFormatting>
  <conditionalFormatting sqref="AA14">
    <cfRule type="cellIs" dxfId="443" priority="808" operator="equal">
      <formula>Z14</formula>
    </cfRule>
    <cfRule type="cellIs" dxfId="442" priority="809" operator="lessThan">
      <formula>Z14</formula>
    </cfRule>
    <cfRule type="cellIs" dxfId="441" priority="810" operator="greaterThan">
      <formula>Z14</formula>
    </cfRule>
  </conditionalFormatting>
  <conditionalFormatting sqref="AB14">
    <cfRule type="cellIs" dxfId="440" priority="805" operator="equal">
      <formula>AA14</formula>
    </cfRule>
    <cfRule type="cellIs" dxfId="439" priority="806" operator="lessThan">
      <formula>AA14</formula>
    </cfRule>
    <cfRule type="cellIs" dxfId="438" priority="807" operator="greaterThan">
      <formula>AA14</formula>
    </cfRule>
  </conditionalFormatting>
  <conditionalFormatting sqref="AC14">
    <cfRule type="cellIs" dxfId="437" priority="802" operator="equal">
      <formula>AB14</formula>
    </cfRule>
    <cfRule type="cellIs" dxfId="436" priority="803" operator="lessThan">
      <formula>AB14</formula>
    </cfRule>
    <cfRule type="cellIs" dxfId="435" priority="804" operator="greaterThan">
      <formula>AB14</formula>
    </cfRule>
  </conditionalFormatting>
  <conditionalFormatting sqref="AD14">
    <cfRule type="cellIs" dxfId="434" priority="799" operator="equal">
      <formula>AC14</formula>
    </cfRule>
    <cfRule type="cellIs" dxfId="433" priority="800" operator="lessThan">
      <formula>AC14</formula>
    </cfRule>
    <cfRule type="cellIs" dxfId="432" priority="801" operator="greaterThan">
      <formula>AC14</formula>
    </cfRule>
  </conditionalFormatting>
  <conditionalFormatting sqref="AA16">
    <cfRule type="cellIs" dxfId="431" priority="796" operator="equal">
      <formula>Z16</formula>
    </cfRule>
    <cfRule type="cellIs" dxfId="430" priority="797" operator="lessThan">
      <formula>Z16</formula>
    </cfRule>
    <cfRule type="cellIs" dxfId="429" priority="798" operator="greaterThan">
      <formula>Z16</formula>
    </cfRule>
  </conditionalFormatting>
  <conditionalFormatting sqref="AB16">
    <cfRule type="cellIs" dxfId="428" priority="793" operator="equal">
      <formula>AA16</formula>
    </cfRule>
    <cfRule type="cellIs" dxfId="427" priority="794" operator="lessThan">
      <formula>AA16</formula>
    </cfRule>
    <cfRule type="cellIs" dxfId="426" priority="795" operator="greaterThan">
      <formula>AA16</formula>
    </cfRule>
  </conditionalFormatting>
  <conditionalFormatting sqref="AA17">
    <cfRule type="cellIs" dxfId="425" priority="790" operator="equal">
      <formula>Z17</formula>
    </cfRule>
    <cfRule type="cellIs" dxfId="424" priority="791" operator="lessThan">
      <formula>Z17</formula>
    </cfRule>
    <cfRule type="cellIs" dxfId="423" priority="792" operator="greaterThan">
      <formula>Z17</formula>
    </cfRule>
  </conditionalFormatting>
  <conditionalFormatting sqref="AB17">
    <cfRule type="cellIs" dxfId="422" priority="787" operator="equal">
      <formula>AA17</formula>
    </cfRule>
    <cfRule type="cellIs" dxfId="421" priority="788" operator="lessThan">
      <formula>AA17</formula>
    </cfRule>
    <cfRule type="cellIs" dxfId="420" priority="789" operator="greaterThan">
      <formula>AA17</formula>
    </cfRule>
  </conditionalFormatting>
  <conditionalFormatting sqref="AA18">
    <cfRule type="cellIs" dxfId="419" priority="784" operator="equal">
      <formula>Z18</formula>
    </cfRule>
    <cfRule type="cellIs" dxfId="418" priority="785" operator="lessThan">
      <formula>Z18</formula>
    </cfRule>
    <cfRule type="cellIs" dxfId="417" priority="786" operator="greaterThan">
      <formula>Z18</formula>
    </cfRule>
  </conditionalFormatting>
  <conditionalFormatting sqref="AB18">
    <cfRule type="cellIs" dxfId="416" priority="781" operator="equal">
      <formula>AA18</formula>
    </cfRule>
    <cfRule type="cellIs" dxfId="415" priority="782" operator="lessThan">
      <formula>AA18</formula>
    </cfRule>
    <cfRule type="cellIs" dxfId="414" priority="783" operator="greaterThan">
      <formula>AA18</formula>
    </cfRule>
  </conditionalFormatting>
  <conditionalFormatting sqref="AC18">
    <cfRule type="cellIs" dxfId="413" priority="778" operator="equal">
      <formula>AB18</formula>
    </cfRule>
    <cfRule type="cellIs" dxfId="412" priority="779" operator="lessThan">
      <formula>AB18</formula>
    </cfRule>
    <cfRule type="cellIs" dxfId="411" priority="780" operator="greaterThan">
      <formula>AB18</formula>
    </cfRule>
  </conditionalFormatting>
  <conditionalFormatting sqref="AA20">
    <cfRule type="cellIs" dxfId="410" priority="775" operator="equal">
      <formula>Z20</formula>
    </cfRule>
    <cfRule type="cellIs" dxfId="409" priority="776" operator="lessThan">
      <formula>Z20</formula>
    </cfRule>
    <cfRule type="cellIs" dxfId="408" priority="777" operator="greaterThan">
      <formula>Z20</formula>
    </cfRule>
  </conditionalFormatting>
  <conditionalFormatting sqref="AB20">
    <cfRule type="cellIs" dxfId="407" priority="772" operator="equal">
      <formula>AA20</formula>
    </cfRule>
    <cfRule type="cellIs" dxfId="406" priority="773" operator="lessThan">
      <formula>AA20</formula>
    </cfRule>
    <cfRule type="cellIs" dxfId="405" priority="774" operator="greaterThan">
      <formula>AA20</formula>
    </cfRule>
  </conditionalFormatting>
  <conditionalFormatting sqref="AC20">
    <cfRule type="cellIs" dxfId="404" priority="769" operator="equal">
      <formula>AB20</formula>
    </cfRule>
    <cfRule type="cellIs" dxfId="403" priority="770" operator="lessThan">
      <formula>AB20</formula>
    </cfRule>
    <cfRule type="cellIs" dxfId="402" priority="771" operator="greaterThan">
      <formula>AB20</formula>
    </cfRule>
  </conditionalFormatting>
  <conditionalFormatting sqref="AA19">
    <cfRule type="cellIs" dxfId="401" priority="766" operator="equal">
      <formula>Z19</formula>
    </cfRule>
    <cfRule type="cellIs" dxfId="400" priority="767" operator="lessThan">
      <formula>Z19</formula>
    </cfRule>
    <cfRule type="cellIs" dxfId="399" priority="768" operator="greaterThan">
      <formula>Z19</formula>
    </cfRule>
  </conditionalFormatting>
  <conditionalFormatting sqref="AB19">
    <cfRule type="cellIs" dxfId="398" priority="763" operator="equal">
      <formula>AA19</formula>
    </cfRule>
    <cfRule type="cellIs" dxfId="397" priority="764" operator="lessThan">
      <formula>AA19</formula>
    </cfRule>
    <cfRule type="cellIs" dxfId="396" priority="765" operator="greaterThan">
      <formula>AA19</formula>
    </cfRule>
  </conditionalFormatting>
  <conditionalFormatting sqref="AC19">
    <cfRule type="cellIs" dxfId="395" priority="760" operator="equal">
      <formula>AB19</formula>
    </cfRule>
    <cfRule type="cellIs" dxfId="394" priority="761" operator="lessThan">
      <formula>AB19</formula>
    </cfRule>
    <cfRule type="cellIs" dxfId="393" priority="762" operator="greaterThan">
      <formula>AB19</formula>
    </cfRule>
  </conditionalFormatting>
  <conditionalFormatting sqref="AD19">
    <cfRule type="cellIs" dxfId="392" priority="757" operator="equal">
      <formula>AC19</formula>
    </cfRule>
    <cfRule type="cellIs" dxfId="391" priority="758" operator="lessThan">
      <formula>AC19</formula>
    </cfRule>
    <cfRule type="cellIs" dxfId="390" priority="759" operator="greaterThan">
      <formula>AC19</formula>
    </cfRule>
  </conditionalFormatting>
  <conditionalFormatting sqref="AA21">
    <cfRule type="cellIs" dxfId="389" priority="754" operator="equal">
      <formula>Z21</formula>
    </cfRule>
    <cfRule type="cellIs" dxfId="388" priority="755" operator="lessThan">
      <formula>Z21</formula>
    </cfRule>
    <cfRule type="cellIs" dxfId="387" priority="756" operator="greaterThan">
      <formula>Z21</formula>
    </cfRule>
  </conditionalFormatting>
  <conditionalFormatting sqref="AB21">
    <cfRule type="cellIs" dxfId="386" priority="751" operator="equal">
      <formula>AA21</formula>
    </cfRule>
    <cfRule type="cellIs" dxfId="385" priority="752" operator="lessThan">
      <formula>AA21</formula>
    </cfRule>
    <cfRule type="cellIs" dxfId="384" priority="753" operator="greaterThan">
      <formula>AA21</formula>
    </cfRule>
  </conditionalFormatting>
  <conditionalFormatting sqref="AC21">
    <cfRule type="cellIs" dxfId="383" priority="748" operator="equal">
      <formula>AB21</formula>
    </cfRule>
    <cfRule type="cellIs" dxfId="382" priority="749" operator="lessThan">
      <formula>AB21</formula>
    </cfRule>
    <cfRule type="cellIs" dxfId="381" priority="750" operator="greaterThan">
      <formula>AB21</formula>
    </cfRule>
  </conditionalFormatting>
  <conditionalFormatting sqref="AD21">
    <cfRule type="cellIs" dxfId="380" priority="745" operator="equal">
      <formula>AC21</formula>
    </cfRule>
    <cfRule type="cellIs" dxfId="379" priority="746" operator="lessThan">
      <formula>AC21</formula>
    </cfRule>
    <cfRule type="cellIs" dxfId="378" priority="747" operator="greaterThan">
      <formula>AC21</formula>
    </cfRule>
  </conditionalFormatting>
  <conditionalFormatting sqref="AA23">
    <cfRule type="cellIs" dxfId="377" priority="742" operator="equal">
      <formula>Z23</formula>
    </cfRule>
    <cfRule type="cellIs" dxfId="376" priority="743" operator="lessThan">
      <formula>Z23</formula>
    </cfRule>
    <cfRule type="cellIs" dxfId="375" priority="744" operator="greaterThan">
      <formula>Z23</formula>
    </cfRule>
  </conditionalFormatting>
  <conditionalFormatting sqref="AB23">
    <cfRule type="cellIs" dxfId="374" priority="739" operator="equal">
      <formula>AA23</formula>
    </cfRule>
    <cfRule type="cellIs" dxfId="373" priority="740" operator="lessThan">
      <formula>AA23</formula>
    </cfRule>
    <cfRule type="cellIs" dxfId="372" priority="741" operator="greaterThan">
      <formula>AA23</formula>
    </cfRule>
  </conditionalFormatting>
  <conditionalFormatting sqref="AC23">
    <cfRule type="cellIs" dxfId="371" priority="736" operator="equal">
      <formula>AB23</formula>
    </cfRule>
    <cfRule type="cellIs" dxfId="370" priority="737" operator="lessThan">
      <formula>AB23</formula>
    </cfRule>
    <cfRule type="cellIs" dxfId="369" priority="738" operator="greaterThan">
      <formula>AB23</formula>
    </cfRule>
  </conditionalFormatting>
  <conditionalFormatting sqref="AA25">
    <cfRule type="cellIs" dxfId="368" priority="733" operator="equal">
      <formula>Z25</formula>
    </cfRule>
    <cfRule type="cellIs" dxfId="367" priority="734" operator="lessThan">
      <formula>Z25</formula>
    </cfRule>
    <cfRule type="cellIs" dxfId="366" priority="735" operator="greaterThan">
      <formula>Z25</formula>
    </cfRule>
  </conditionalFormatting>
  <conditionalFormatting sqref="AB25">
    <cfRule type="cellIs" dxfId="365" priority="730" operator="equal">
      <formula>AA25</formula>
    </cfRule>
    <cfRule type="cellIs" dxfId="364" priority="731" operator="lessThan">
      <formula>AA25</formula>
    </cfRule>
    <cfRule type="cellIs" dxfId="363" priority="732" operator="greaterThan">
      <formula>AA25</formula>
    </cfRule>
  </conditionalFormatting>
  <conditionalFormatting sqref="AC25">
    <cfRule type="cellIs" dxfId="362" priority="727" operator="equal">
      <formula>AB25</formula>
    </cfRule>
    <cfRule type="cellIs" dxfId="361" priority="728" operator="lessThan">
      <formula>AB25</formula>
    </cfRule>
    <cfRule type="cellIs" dxfId="360" priority="729" operator="greaterThan">
      <formula>AB25</formula>
    </cfRule>
  </conditionalFormatting>
  <conditionalFormatting sqref="AA22">
    <cfRule type="cellIs" dxfId="359" priority="724" operator="equal">
      <formula>Z22</formula>
    </cfRule>
    <cfRule type="cellIs" dxfId="358" priority="725" operator="lessThan">
      <formula>Z22</formula>
    </cfRule>
    <cfRule type="cellIs" dxfId="357" priority="726" operator="greaterThan">
      <formula>Z22</formula>
    </cfRule>
  </conditionalFormatting>
  <conditionalFormatting sqref="AB22">
    <cfRule type="cellIs" dxfId="356" priority="721" operator="equal">
      <formula>AA22</formula>
    </cfRule>
    <cfRule type="cellIs" dxfId="355" priority="722" operator="lessThan">
      <formula>AA22</formula>
    </cfRule>
    <cfRule type="cellIs" dxfId="354" priority="723" operator="greaterThan">
      <formula>AA22</formula>
    </cfRule>
  </conditionalFormatting>
  <conditionalFormatting sqref="AA24">
    <cfRule type="cellIs" dxfId="353" priority="718" operator="equal">
      <formula>Z24</formula>
    </cfRule>
    <cfRule type="cellIs" dxfId="352" priority="719" operator="lessThan">
      <formula>Z24</formula>
    </cfRule>
    <cfRule type="cellIs" dxfId="351" priority="720" operator="greaterThan">
      <formula>Z24</formula>
    </cfRule>
  </conditionalFormatting>
  <conditionalFormatting sqref="AB24">
    <cfRule type="cellIs" dxfId="350" priority="715" operator="equal">
      <formula>AA24</formula>
    </cfRule>
    <cfRule type="cellIs" dxfId="349" priority="716" operator="lessThan">
      <formula>AA24</formula>
    </cfRule>
    <cfRule type="cellIs" dxfId="348" priority="717" operator="greaterThan">
      <formula>AA24</formula>
    </cfRule>
  </conditionalFormatting>
  <conditionalFormatting sqref="AA26">
    <cfRule type="cellIs" dxfId="347" priority="712" operator="equal">
      <formula>Z26</formula>
    </cfRule>
    <cfRule type="cellIs" dxfId="346" priority="713" operator="lessThan">
      <formula>Z26</formula>
    </cfRule>
    <cfRule type="cellIs" dxfId="345" priority="714" operator="greaterThan">
      <formula>Z26</formula>
    </cfRule>
  </conditionalFormatting>
  <conditionalFormatting sqref="AK27">
    <cfRule type="cellIs" dxfId="344" priority="706" operator="equal">
      <formula>Z27</formula>
    </cfRule>
    <cfRule type="cellIs" dxfId="343" priority="707" operator="lessThan">
      <formula>Z27</formula>
    </cfRule>
    <cfRule type="cellIs" dxfId="342" priority="708" operator="greaterThan">
      <formula>Z27</formula>
    </cfRule>
  </conditionalFormatting>
  <conditionalFormatting sqref="AH40">
    <cfRule type="cellIs" dxfId="341" priority="427" operator="lessThan">
      <formula>0</formula>
    </cfRule>
  </conditionalFormatting>
  <conditionalFormatting sqref="AB44">
    <cfRule type="cellIs" dxfId="340" priority="399" operator="lessThan">
      <formula>0</formula>
    </cfRule>
  </conditionalFormatting>
  <conditionalFormatting sqref="AC44">
    <cfRule type="cellIs" dxfId="339" priority="398" operator="lessThan">
      <formula>0</formula>
    </cfRule>
  </conditionalFormatting>
  <conditionalFormatting sqref="AD44">
    <cfRule type="cellIs" dxfId="338" priority="397" operator="lessThan">
      <formula>0</formula>
    </cfRule>
  </conditionalFormatting>
  <conditionalFormatting sqref="AE44">
    <cfRule type="cellIs" dxfId="337" priority="396" operator="lessThan">
      <formula>0</formula>
    </cfRule>
  </conditionalFormatting>
  <conditionalFormatting sqref="AF44">
    <cfRule type="cellIs" dxfId="336" priority="395" operator="lessThan">
      <formula>0</formula>
    </cfRule>
  </conditionalFormatting>
  <conditionalFormatting sqref="AG44">
    <cfRule type="cellIs" dxfId="335" priority="394" operator="lessThan">
      <formula>0</formula>
    </cfRule>
  </conditionalFormatting>
  <conditionalFormatting sqref="AH44">
    <cfRule type="cellIs" dxfId="334" priority="393" operator="lessThan">
      <formula>0</formula>
    </cfRule>
  </conditionalFormatting>
  <conditionalFormatting sqref="AI44">
    <cfRule type="cellIs" dxfId="333" priority="392" operator="lessThan">
      <formula>0</formula>
    </cfRule>
  </conditionalFormatting>
  <conditionalFormatting sqref="AJ44">
    <cfRule type="cellIs" dxfId="332" priority="391" operator="lessThan">
      <formula>0</formula>
    </cfRule>
  </conditionalFormatting>
  <conditionalFormatting sqref="AK44">
    <cfRule type="cellIs" dxfId="331" priority="390" operator="lessThan">
      <formula>0</formula>
    </cfRule>
  </conditionalFormatting>
  <conditionalFormatting sqref="AL44">
    <cfRule type="cellIs" dxfId="330" priority="389" operator="lessThan">
      <formula>0</formula>
    </cfRule>
  </conditionalFormatting>
  <conditionalFormatting sqref="AM44">
    <cfRule type="cellIs" dxfId="329" priority="388" operator="lessThan">
      <formula>0</formula>
    </cfRule>
  </conditionalFormatting>
  <conditionalFormatting sqref="AN44">
    <cfRule type="cellIs" dxfId="328" priority="387" operator="lessThan">
      <formula>0</formula>
    </cfRule>
  </conditionalFormatting>
  <conditionalFormatting sqref="AO44">
    <cfRule type="cellIs" dxfId="327" priority="386" operator="lessThan">
      <formula>0</formula>
    </cfRule>
  </conditionalFormatting>
  <conditionalFormatting sqref="AP44">
    <cfRule type="cellIs" dxfId="326" priority="385" operator="lessThan">
      <formula>0</formula>
    </cfRule>
  </conditionalFormatting>
  <conditionalFormatting sqref="AQ44">
    <cfRule type="cellIs" dxfId="325" priority="384" operator="lessThan">
      <formula>0</formula>
    </cfRule>
  </conditionalFormatting>
  <conditionalFormatting sqref="AR44">
    <cfRule type="cellIs" dxfId="324" priority="383" operator="lessThan">
      <formula>0</formula>
    </cfRule>
  </conditionalFormatting>
  <conditionalFormatting sqref="AS44">
    <cfRule type="cellIs" dxfId="323" priority="382" operator="lessThan">
      <formula>0</formula>
    </cfRule>
  </conditionalFormatting>
  <conditionalFormatting sqref="AA44">
    <cfRule type="cellIs" dxfId="322" priority="379" operator="equal">
      <formula>Z44</formula>
    </cfRule>
    <cfRule type="cellIs" dxfId="321" priority="380" operator="lessThan">
      <formula>Z44</formula>
    </cfRule>
    <cfRule type="cellIs" dxfId="320" priority="381" operator="greaterThan">
      <formula>Z44</formula>
    </cfRule>
  </conditionalFormatting>
  <conditionalFormatting sqref="AT44:AU44">
    <cfRule type="cellIs" dxfId="319" priority="378" operator="lessThan">
      <formula>0</formula>
    </cfRule>
  </conditionalFormatting>
  <conditionalFormatting sqref="AB45">
    <cfRule type="cellIs" dxfId="318" priority="375" operator="equal">
      <formula>Z45</formula>
    </cfRule>
    <cfRule type="cellIs" dxfId="317" priority="376" operator="lessThan">
      <formula>Z45</formula>
    </cfRule>
    <cfRule type="cellIs" dxfId="316" priority="377" operator="greaterThan">
      <formula>Z45</formula>
    </cfRule>
  </conditionalFormatting>
  <conditionalFormatting sqref="AC45">
    <cfRule type="cellIs" dxfId="315" priority="372" operator="equal">
      <formula>AA45</formula>
    </cfRule>
    <cfRule type="cellIs" dxfId="314" priority="373" operator="lessThan">
      <formula>AA45</formula>
    </cfRule>
    <cfRule type="cellIs" dxfId="313" priority="374" operator="greaterThan">
      <formula>AA45</formula>
    </cfRule>
  </conditionalFormatting>
  <conditionalFormatting sqref="AD45">
    <cfRule type="cellIs" dxfId="312" priority="369" operator="equal">
      <formula>AB45</formula>
    </cfRule>
    <cfRule type="cellIs" dxfId="311" priority="370" operator="lessThan">
      <formula>AB45</formula>
    </cfRule>
    <cfRule type="cellIs" dxfId="310" priority="371" operator="greaterThan">
      <formula>AB45</formula>
    </cfRule>
  </conditionalFormatting>
  <conditionalFormatting sqref="AE45">
    <cfRule type="cellIs" dxfId="309" priority="366" operator="equal">
      <formula>AC45</formula>
    </cfRule>
    <cfRule type="cellIs" dxfId="308" priority="367" operator="lessThan">
      <formula>AC45</formula>
    </cfRule>
    <cfRule type="cellIs" dxfId="307" priority="368" operator="greaterThan">
      <formula>AC45</formula>
    </cfRule>
  </conditionalFormatting>
  <conditionalFormatting sqref="AF45">
    <cfRule type="cellIs" dxfId="306" priority="363" operator="equal">
      <formula>AA45</formula>
    </cfRule>
    <cfRule type="cellIs" dxfId="305" priority="364" operator="lessThan">
      <formula>AA45</formula>
    </cfRule>
    <cfRule type="cellIs" dxfId="304" priority="365" operator="greaterThan">
      <formula>AA45</formula>
    </cfRule>
  </conditionalFormatting>
  <conditionalFormatting sqref="AA46">
    <cfRule type="cellIs" dxfId="303" priority="360" operator="equal">
      <formula>Z46</formula>
    </cfRule>
    <cfRule type="cellIs" dxfId="302" priority="361" operator="lessThan">
      <formula>Z46</formula>
    </cfRule>
    <cfRule type="cellIs" dxfId="301" priority="362" operator="greaterThan">
      <formula>Z46</formula>
    </cfRule>
  </conditionalFormatting>
  <conditionalFormatting sqref="AB46">
    <cfRule type="cellIs" dxfId="300" priority="357" operator="equal">
      <formula>AA46</formula>
    </cfRule>
    <cfRule type="cellIs" dxfId="299" priority="358" operator="lessThan">
      <formula>AA46</formula>
    </cfRule>
    <cfRule type="cellIs" dxfId="298" priority="359" operator="greaterThan">
      <formula>AA46</formula>
    </cfRule>
  </conditionalFormatting>
  <conditionalFormatting sqref="AC46">
    <cfRule type="cellIs" dxfId="297" priority="354" operator="equal">
      <formula>AB46</formula>
    </cfRule>
    <cfRule type="cellIs" dxfId="296" priority="355" operator="lessThan">
      <formula>AB46</formula>
    </cfRule>
    <cfRule type="cellIs" dxfId="295" priority="356" operator="greaterThan">
      <formula>AB46</formula>
    </cfRule>
  </conditionalFormatting>
  <conditionalFormatting sqref="AB47">
    <cfRule type="cellIs" dxfId="294" priority="351" operator="equal">
      <formula>AA47</formula>
    </cfRule>
    <cfRule type="cellIs" dxfId="293" priority="352" operator="lessThan">
      <formula>AA47</formula>
    </cfRule>
    <cfRule type="cellIs" dxfId="292" priority="353" operator="greaterThan">
      <formula>AA47</formula>
    </cfRule>
  </conditionalFormatting>
  <conditionalFormatting sqref="AD47">
    <cfRule type="cellIs" dxfId="291" priority="348" operator="equal">
      <formula>Z47</formula>
    </cfRule>
    <cfRule type="cellIs" dxfId="290" priority="349" operator="lessThan">
      <formula>Z47</formula>
    </cfRule>
    <cfRule type="cellIs" dxfId="289" priority="350" operator="greaterThan">
      <formula>Z47</formula>
    </cfRule>
  </conditionalFormatting>
  <conditionalFormatting sqref="AA48">
    <cfRule type="cellIs" dxfId="288" priority="345" operator="equal">
      <formula>Z48</formula>
    </cfRule>
    <cfRule type="cellIs" dxfId="287" priority="346" operator="lessThan">
      <formula>Z48</formula>
    </cfRule>
    <cfRule type="cellIs" dxfId="286" priority="347" operator="greaterThan">
      <formula>Z48</formula>
    </cfRule>
  </conditionalFormatting>
  <conditionalFormatting sqref="AB48">
    <cfRule type="cellIs" dxfId="285" priority="342" operator="equal">
      <formula>Z48</formula>
    </cfRule>
    <cfRule type="cellIs" dxfId="284" priority="343" operator="lessThan">
      <formula>Z48</formula>
    </cfRule>
    <cfRule type="cellIs" dxfId="283" priority="344" operator="greaterThan">
      <formula>Z48</formula>
    </cfRule>
  </conditionalFormatting>
  <conditionalFormatting sqref="AA49">
    <cfRule type="cellIs" dxfId="282" priority="339" operator="equal">
      <formula>Z49</formula>
    </cfRule>
    <cfRule type="cellIs" dxfId="281" priority="340" operator="lessThan">
      <formula>Z49</formula>
    </cfRule>
    <cfRule type="cellIs" dxfId="280" priority="341" operator="greaterThan">
      <formula>Z49</formula>
    </cfRule>
  </conditionalFormatting>
  <conditionalFormatting sqref="AB49">
    <cfRule type="cellIs" dxfId="279" priority="336" operator="equal">
      <formula>Z49</formula>
    </cfRule>
    <cfRule type="cellIs" dxfId="278" priority="337" operator="lessThan">
      <formula>Z49</formula>
    </cfRule>
    <cfRule type="cellIs" dxfId="277" priority="338" operator="greaterThan">
      <formula>Z49</formula>
    </cfRule>
  </conditionalFormatting>
  <conditionalFormatting sqref="AA50">
    <cfRule type="cellIs" dxfId="276" priority="333" operator="equal">
      <formula>Z50</formula>
    </cfRule>
    <cfRule type="cellIs" dxfId="275" priority="334" operator="lessThan">
      <formula>Z50</formula>
    </cfRule>
    <cfRule type="cellIs" dxfId="274" priority="335" operator="greaterThan">
      <formula>Z50</formula>
    </cfRule>
  </conditionalFormatting>
  <conditionalFormatting sqref="AB50">
    <cfRule type="cellIs" dxfId="273" priority="330" operator="equal">
      <formula>AA50</formula>
    </cfRule>
    <cfRule type="cellIs" dxfId="272" priority="331" operator="lessThan">
      <formula>AA50</formula>
    </cfRule>
    <cfRule type="cellIs" dxfId="271" priority="332" operator="greaterThan">
      <formula>AA50</formula>
    </cfRule>
  </conditionalFormatting>
  <conditionalFormatting sqref="AC51">
    <cfRule type="cellIs" dxfId="270" priority="327" operator="equal">
      <formula>Z51</formula>
    </cfRule>
    <cfRule type="cellIs" dxfId="269" priority="328" operator="lessThan">
      <formula>Z51</formula>
    </cfRule>
    <cfRule type="cellIs" dxfId="268" priority="329" operator="greaterThan">
      <formula>Z51</formula>
    </cfRule>
  </conditionalFormatting>
  <conditionalFormatting sqref="AD51">
    <cfRule type="cellIs" dxfId="267" priority="324" operator="equal">
      <formula>AA51</formula>
    </cfRule>
    <cfRule type="cellIs" dxfId="266" priority="325" operator="lessThan">
      <formula>AA51</formula>
    </cfRule>
    <cfRule type="cellIs" dxfId="265" priority="326" operator="greaterThan">
      <formula>AA51</formula>
    </cfRule>
  </conditionalFormatting>
  <conditionalFormatting sqref="AE51">
    <cfRule type="cellIs" dxfId="264" priority="321" operator="equal">
      <formula>AB51</formula>
    </cfRule>
    <cfRule type="cellIs" dxfId="263" priority="322" operator="lessThan">
      <formula>AB51</formula>
    </cfRule>
    <cfRule type="cellIs" dxfId="262" priority="323" operator="greaterThan">
      <formula>AB51</formula>
    </cfRule>
  </conditionalFormatting>
  <conditionalFormatting sqref="AF51">
    <cfRule type="cellIs" dxfId="261" priority="318" operator="equal">
      <formula>AC51</formula>
    </cfRule>
    <cfRule type="cellIs" dxfId="260" priority="319" operator="lessThan">
      <formula>AC51</formula>
    </cfRule>
    <cfRule type="cellIs" dxfId="259" priority="320" operator="greaterThan">
      <formula>AC51</formula>
    </cfRule>
  </conditionalFormatting>
  <conditionalFormatting sqref="AG51">
    <cfRule type="cellIs" dxfId="258" priority="315" operator="equal">
      <formula>AD51</formula>
    </cfRule>
    <cfRule type="cellIs" dxfId="257" priority="316" operator="lessThan">
      <formula>AD51</formula>
    </cfRule>
    <cfRule type="cellIs" dxfId="256" priority="317" operator="greaterThan">
      <formula>AD51</formula>
    </cfRule>
  </conditionalFormatting>
  <conditionalFormatting sqref="AH51">
    <cfRule type="cellIs" dxfId="255" priority="312" operator="equal">
      <formula>AE51</formula>
    </cfRule>
    <cfRule type="cellIs" dxfId="254" priority="313" operator="lessThan">
      <formula>AE51</formula>
    </cfRule>
    <cfRule type="cellIs" dxfId="253" priority="314" operator="greaterThan">
      <formula>AE51</formula>
    </cfRule>
  </conditionalFormatting>
  <conditionalFormatting sqref="AD52">
    <cfRule type="cellIs" dxfId="252" priority="309" operator="equal">
      <formula>Z52</formula>
    </cfRule>
    <cfRule type="cellIs" dxfId="251" priority="310" operator="lessThan">
      <formula>Z52</formula>
    </cfRule>
    <cfRule type="cellIs" dxfId="250" priority="311" operator="greaterThan">
      <formula>Z52</formula>
    </cfRule>
  </conditionalFormatting>
  <conditionalFormatting sqref="AE52">
    <cfRule type="cellIs" dxfId="249" priority="306" operator="equal">
      <formula>AA52</formula>
    </cfRule>
    <cfRule type="cellIs" dxfId="248" priority="307" operator="lessThan">
      <formula>AA52</formula>
    </cfRule>
    <cfRule type="cellIs" dxfId="247" priority="308" operator="greaterThan">
      <formula>AA52</formula>
    </cfRule>
  </conditionalFormatting>
  <conditionalFormatting sqref="AF52">
    <cfRule type="cellIs" dxfId="246" priority="303" operator="equal">
      <formula>AB52</formula>
    </cfRule>
    <cfRule type="cellIs" dxfId="245" priority="304" operator="lessThan">
      <formula>AB52</formula>
    </cfRule>
    <cfRule type="cellIs" dxfId="244" priority="305" operator="greaterThan">
      <formula>AB52</formula>
    </cfRule>
  </conditionalFormatting>
  <conditionalFormatting sqref="AG52">
    <cfRule type="cellIs" dxfId="243" priority="300" operator="equal">
      <formula>AC52</formula>
    </cfRule>
    <cfRule type="cellIs" dxfId="242" priority="301" operator="lessThan">
      <formula>AC52</formula>
    </cfRule>
    <cfRule type="cellIs" dxfId="241" priority="302" operator="greaterThan">
      <formula>AC52</formula>
    </cfRule>
  </conditionalFormatting>
  <conditionalFormatting sqref="AH52">
    <cfRule type="cellIs" dxfId="240" priority="297" operator="equal">
      <formula>AD52</formula>
    </cfRule>
    <cfRule type="cellIs" dxfId="239" priority="298" operator="lessThan">
      <formula>AD52</formula>
    </cfRule>
    <cfRule type="cellIs" dxfId="238" priority="299" operator="greaterThan">
      <formula>AD52</formula>
    </cfRule>
  </conditionalFormatting>
  <conditionalFormatting sqref="AI52">
    <cfRule type="cellIs" dxfId="237" priority="294" operator="equal">
      <formula>AE52</formula>
    </cfRule>
    <cfRule type="cellIs" dxfId="236" priority="295" operator="lessThan">
      <formula>AE52</formula>
    </cfRule>
    <cfRule type="cellIs" dxfId="235" priority="296" operator="greaterThan">
      <formula>AE52</formula>
    </cfRule>
  </conditionalFormatting>
  <conditionalFormatting sqref="AJ52">
    <cfRule type="cellIs" dxfId="234" priority="291" operator="equal">
      <formula>AF52</formula>
    </cfRule>
    <cfRule type="cellIs" dxfId="233" priority="292" operator="lessThan">
      <formula>AF52</formula>
    </cfRule>
    <cfRule type="cellIs" dxfId="232" priority="293" operator="greaterThan">
      <formula>AF52</formula>
    </cfRule>
  </conditionalFormatting>
  <conditionalFormatting sqref="AK52">
    <cfRule type="cellIs" dxfId="231" priority="288" operator="equal">
      <formula>AG52</formula>
    </cfRule>
    <cfRule type="cellIs" dxfId="230" priority="289" operator="lessThan">
      <formula>AG52</formula>
    </cfRule>
    <cfRule type="cellIs" dxfId="229" priority="290" operator="greaterThan">
      <formula>AG52</formula>
    </cfRule>
  </conditionalFormatting>
  <conditionalFormatting sqref="AA53">
    <cfRule type="cellIs" dxfId="228" priority="285" operator="equal">
      <formula>Z53</formula>
    </cfRule>
    <cfRule type="cellIs" dxfId="227" priority="286" operator="lessThan">
      <formula>Z53</formula>
    </cfRule>
    <cfRule type="cellIs" dxfId="226" priority="287" operator="greaterThan">
      <formula>Z53</formula>
    </cfRule>
  </conditionalFormatting>
  <conditionalFormatting sqref="AB53">
    <cfRule type="cellIs" dxfId="225" priority="282" operator="equal">
      <formula>AA53</formula>
    </cfRule>
    <cfRule type="cellIs" dxfId="224" priority="283" operator="lessThan">
      <formula>AA53</formula>
    </cfRule>
    <cfRule type="cellIs" dxfId="223" priority="284" operator="greaterThan">
      <formula>AA53</formula>
    </cfRule>
  </conditionalFormatting>
  <conditionalFormatting sqref="AC53">
    <cfRule type="cellIs" dxfId="222" priority="279" operator="equal">
      <formula>AB53</formula>
    </cfRule>
    <cfRule type="cellIs" dxfId="221" priority="280" operator="lessThan">
      <formula>AB53</formula>
    </cfRule>
    <cfRule type="cellIs" dxfId="220" priority="281" operator="greaterThan">
      <formula>AB53</formula>
    </cfRule>
  </conditionalFormatting>
  <conditionalFormatting sqref="AA54">
    <cfRule type="cellIs" dxfId="219" priority="276" operator="equal">
      <formula>Z54</formula>
    </cfRule>
    <cfRule type="cellIs" dxfId="218" priority="277" operator="lessThan">
      <formula>Z54</formula>
    </cfRule>
    <cfRule type="cellIs" dxfId="217" priority="278" operator="greaterThan">
      <formula>Z54</formula>
    </cfRule>
  </conditionalFormatting>
  <conditionalFormatting sqref="AB54">
    <cfRule type="cellIs" dxfId="216" priority="273" operator="equal">
      <formula>AA54</formula>
    </cfRule>
    <cfRule type="cellIs" dxfId="215" priority="274" operator="lessThan">
      <formula>AA54</formula>
    </cfRule>
    <cfRule type="cellIs" dxfId="214" priority="275" operator="greaterThan">
      <formula>AA54</formula>
    </cfRule>
  </conditionalFormatting>
  <conditionalFormatting sqref="Z55">
    <cfRule type="cellIs" dxfId="213" priority="272" operator="lessThan">
      <formula>0</formula>
    </cfRule>
  </conditionalFormatting>
  <conditionalFormatting sqref="AA55">
    <cfRule type="cellIs" dxfId="212" priority="271" operator="lessThan">
      <formula>0</formula>
    </cfRule>
  </conditionalFormatting>
  <conditionalFormatting sqref="AB55">
    <cfRule type="cellIs" dxfId="211" priority="270" operator="lessThan">
      <formula>0</formula>
    </cfRule>
  </conditionalFormatting>
  <conditionalFormatting sqref="AC55">
    <cfRule type="cellIs" dxfId="210" priority="269" operator="lessThan">
      <formula>0</formula>
    </cfRule>
  </conditionalFormatting>
  <conditionalFormatting sqref="AD55">
    <cfRule type="cellIs" dxfId="209" priority="268" operator="lessThan">
      <formula>0</formula>
    </cfRule>
  </conditionalFormatting>
  <conditionalFormatting sqref="AE55">
    <cfRule type="cellIs" dxfId="208" priority="267" operator="lessThan">
      <formula>0</formula>
    </cfRule>
  </conditionalFormatting>
  <conditionalFormatting sqref="AF55">
    <cfRule type="cellIs" dxfId="207" priority="266" operator="lessThan">
      <formula>0</formula>
    </cfRule>
  </conditionalFormatting>
  <conditionalFormatting sqref="AA56">
    <cfRule type="cellIs" dxfId="206" priority="263" operator="equal">
      <formula>Z56</formula>
    </cfRule>
    <cfRule type="cellIs" dxfId="205" priority="264" operator="lessThan">
      <formula>Z56</formula>
    </cfRule>
    <cfRule type="cellIs" dxfId="204" priority="265" operator="greaterThan">
      <formula>Z56</formula>
    </cfRule>
  </conditionalFormatting>
  <conditionalFormatting sqref="AC56">
    <cfRule type="cellIs" dxfId="203" priority="260" operator="equal">
      <formula>AB56</formula>
    </cfRule>
    <cfRule type="cellIs" dxfId="202" priority="261" operator="lessThan">
      <formula>AB56</formula>
    </cfRule>
    <cfRule type="cellIs" dxfId="201" priority="262" operator="greaterThan">
      <formula>AB56</formula>
    </cfRule>
  </conditionalFormatting>
  <conditionalFormatting sqref="AD56">
    <cfRule type="cellIs" dxfId="200" priority="257" operator="equal">
      <formula>AC56</formula>
    </cfRule>
    <cfRule type="cellIs" dxfId="199" priority="258" operator="lessThan">
      <formula>AC56</formula>
    </cfRule>
    <cfRule type="cellIs" dxfId="198" priority="259" operator="greaterThan">
      <formula>AC56</formula>
    </cfRule>
  </conditionalFormatting>
  <conditionalFormatting sqref="AA57">
    <cfRule type="cellIs" dxfId="197" priority="254" operator="equal">
      <formula>Z57</formula>
    </cfRule>
    <cfRule type="cellIs" dxfId="196" priority="255" operator="lessThan">
      <formula>Z57</formula>
    </cfRule>
    <cfRule type="cellIs" dxfId="195" priority="256" operator="greaterThan">
      <formula>Z57</formula>
    </cfRule>
  </conditionalFormatting>
  <conditionalFormatting sqref="AB57">
    <cfRule type="cellIs" dxfId="194" priority="251" operator="equal">
      <formula>AA57</formula>
    </cfRule>
    <cfRule type="cellIs" dxfId="193" priority="252" operator="lessThan">
      <formula>AA57</formula>
    </cfRule>
    <cfRule type="cellIs" dxfId="192" priority="253" operator="greaterThan">
      <formula>AA57</formula>
    </cfRule>
  </conditionalFormatting>
  <conditionalFormatting sqref="AA58">
    <cfRule type="cellIs" dxfId="191" priority="242" operator="equal">
      <formula>Z58</formula>
    </cfRule>
    <cfRule type="cellIs" dxfId="190" priority="243" operator="lessThan">
      <formula>Z58</formula>
    </cfRule>
    <cfRule type="cellIs" dxfId="189" priority="244" operator="greaterThan">
      <formula>Z58</formula>
    </cfRule>
  </conditionalFormatting>
  <conditionalFormatting sqref="AA59">
    <cfRule type="cellIs" dxfId="188" priority="239" operator="equal">
      <formula>Z59</formula>
    </cfRule>
    <cfRule type="cellIs" dxfId="187" priority="240" operator="lessThan">
      <formula>Z59</formula>
    </cfRule>
    <cfRule type="cellIs" dxfId="186" priority="241" operator="greaterThan">
      <formula>Z59</formula>
    </cfRule>
  </conditionalFormatting>
  <conditionalFormatting sqref="AB60">
    <cfRule type="cellIs" dxfId="185" priority="236" operator="equal">
      <formula>Z60</formula>
    </cfRule>
    <cfRule type="cellIs" dxfId="184" priority="237" operator="lessThan">
      <formula>Z60</formula>
    </cfRule>
    <cfRule type="cellIs" dxfId="183" priority="238" operator="greaterThan">
      <formula>Z60</formula>
    </cfRule>
  </conditionalFormatting>
  <conditionalFormatting sqref="AC60">
    <cfRule type="cellIs" dxfId="182" priority="233" operator="equal">
      <formula>AA60</formula>
    </cfRule>
    <cfRule type="cellIs" dxfId="181" priority="234" operator="lessThan">
      <formula>AA60</formula>
    </cfRule>
    <cfRule type="cellIs" dxfId="180" priority="235" operator="greaterThan">
      <formula>AA60</formula>
    </cfRule>
  </conditionalFormatting>
  <conditionalFormatting sqref="EW26:FG27">
    <cfRule type="cellIs" dxfId="179" priority="216" operator="lessThan">
      <formula>0</formula>
    </cfRule>
  </conditionalFormatting>
  <conditionalFormatting sqref="EW26:FG26">
    <cfRule type="cellIs" dxfId="178" priority="212" operator="lessThan">
      <formula>0</formula>
    </cfRule>
  </conditionalFormatting>
  <conditionalFormatting sqref="FF26">
    <cfRule type="cellIs" dxfId="177" priority="205" operator="lessThan">
      <formula>0</formula>
    </cfRule>
  </conditionalFormatting>
  <conditionalFormatting sqref="FG26">
    <cfRule type="cellIs" dxfId="176" priority="204" operator="lessThan">
      <formula>0</formula>
    </cfRule>
  </conditionalFormatting>
  <conditionalFormatting sqref="FG26">
    <cfRule type="cellIs" dxfId="175" priority="203" operator="lessThan">
      <formula>0</formula>
    </cfRule>
  </conditionalFormatting>
  <conditionalFormatting sqref="AB26">
    <cfRule type="cellIs" dxfId="174" priority="199" operator="lessThan">
      <formula>0</formula>
    </cfRule>
  </conditionalFormatting>
  <conditionalFormatting sqref="AB26">
    <cfRule type="expression" dxfId="173" priority="198">
      <formula>AND(UPPER($A$14)="TARE",AB26&lt;AB$14,AB26&gt;0)</formula>
    </cfRule>
  </conditionalFormatting>
  <conditionalFormatting sqref="AC26:AK26">
    <cfRule type="cellIs" dxfId="172" priority="175" operator="lessThan">
      <formula>0</formula>
    </cfRule>
  </conditionalFormatting>
  <conditionalFormatting sqref="AC26:AK26">
    <cfRule type="expression" dxfId="171" priority="174">
      <formula>AND(UPPER($A$14)="TARE",AC26&lt;AC$14,AC26&gt;0)</formula>
    </cfRule>
  </conditionalFormatting>
  <conditionalFormatting sqref="AA27:AJ27">
    <cfRule type="cellIs" dxfId="170" priority="173" operator="lessThan">
      <formula>0</formula>
    </cfRule>
  </conditionalFormatting>
  <conditionalFormatting sqref="AA27:AJ27">
    <cfRule type="expression" dxfId="169" priority="172">
      <formula>AND(UPPER($A$14)="TARE",AA27&lt;AA$14,AA27&gt;0)</formula>
    </cfRule>
  </conditionalFormatting>
  <conditionalFormatting sqref="Z28:AO28">
    <cfRule type="cellIs" dxfId="168" priority="171" operator="lessThan">
      <formula>0</formula>
    </cfRule>
  </conditionalFormatting>
  <conditionalFormatting sqref="Z28:AO28">
    <cfRule type="expression" dxfId="167" priority="170">
      <formula>AND(UPPER($A$14)="TARE",Z28&lt;Z$14,Z28&gt;0)</formula>
    </cfRule>
  </conditionalFormatting>
  <conditionalFormatting sqref="Z29:AN29">
    <cfRule type="cellIs" dxfId="166" priority="169" operator="lessThan">
      <formula>0</formula>
    </cfRule>
  </conditionalFormatting>
  <conditionalFormatting sqref="Z29:AN29">
    <cfRule type="expression" dxfId="165" priority="168">
      <formula>AND(UPPER($A$14)="TARE",Z29&lt;Z$14,Z29&gt;0)</formula>
    </cfRule>
  </conditionalFormatting>
  <conditionalFormatting sqref="Z30:AK30">
    <cfRule type="cellIs" dxfId="164" priority="167" operator="lessThan">
      <formula>0</formula>
    </cfRule>
  </conditionalFormatting>
  <conditionalFormatting sqref="Z30:AK30">
    <cfRule type="expression" dxfId="163" priority="166">
      <formula>AND(UPPER($A$14)="TARE",Z30&lt;Z$14,Z30&gt;0)</formula>
    </cfRule>
  </conditionalFormatting>
  <conditionalFormatting sqref="Z31:AR31">
    <cfRule type="cellIs" dxfId="162" priority="165" operator="lessThan">
      <formula>0</formula>
    </cfRule>
  </conditionalFormatting>
  <conditionalFormatting sqref="Z31:AR31">
    <cfRule type="expression" dxfId="161" priority="164">
      <formula>AND(UPPER($A$14)="TARE",Z31&lt;Z$14,Z31&gt;0)</formula>
    </cfRule>
  </conditionalFormatting>
  <conditionalFormatting sqref="Z32:AM32">
    <cfRule type="cellIs" dxfId="160" priority="163" operator="lessThan">
      <formula>0</formula>
    </cfRule>
  </conditionalFormatting>
  <conditionalFormatting sqref="Z32:AM32">
    <cfRule type="expression" dxfId="159" priority="162">
      <formula>AND(UPPER($A$14)="TARE",Z32&lt;Z$14,Z32&gt;0)</formula>
    </cfRule>
  </conditionalFormatting>
  <conditionalFormatting sqref="Z33:AG33">
    <cfRule type="cellIs" dxfId="158" priority="161" operator="lessThan">
      <formula>0</formula>
    </cfRule>
  </conditionalFormatting>
  <conditionalFormatting sqref="Z33:AG33">
    <cfRule type="expression" dxfId="157" priority="160">
      <formula>AND(UPPER($A$14)="TARE",Z33&lt;Z$14,Z33&gt;0)</formula>
    </cfRule>
  </conditionalFormatting>
  <conditionalFormatting sqref="Z34:AG34">
    <cfRule type="cellIs" dxfId="156" priority="159" operator="lessThan">
      <formula>0</formula>
    </cfRule>
  </conditionalFormatting>
  <conditionalFormatting sqref="Z34:AG34">
    <cfRule type="expression" dxfId="155" priority="158">
      <formula>AND(UPPER($A$14)="TARE",Z34&lt;Z$14,Z34&gt;0)</formula>
    </cfRule>
  </conditionalFormatting>
  <conditionalFormatting sqref="Z35:AI35">
    <cfRule type="cellIs" dxfId="154" priority="157" operator="lessThan">
      <formula>0</formula>
    </cfRule>
  </conditionalFormatting>
  <conditionalFormatting sqref="Z35:AI35">
    <cfRule type="expression" dxfId="153" priority="156">
      <formula>AND(UPPER($A$14)="TARE",Z35&lt;Z$14,Z35&gt;0)</formula>
    </cfRule>
  </conditionalFormatting>
  <conditionalFormatting sqref="Z36:AE36">
    <cfRule type="cellIs" dxfId="152" priority="155" operator="lessThan">
      <formula>0</formula>
    </cfRule>
  </conditionalFormatting>
  <conditionalFormatting sqref="Z36:AE36">
    <cfRule type="expression" dxfId="151" priority="154">
      <formula>AND(UPPER($A$14)="TARE",Z36&lt;Z$14,Z36&gt;0)</formula>
    </cfRule>
  </conditionalFormatting>
  <conditionalFormatting sqref="Z37:AI37">
    <cfRule type="cellIs" dxfId="150" priority="153" operator="lessThan">
      <formula>0</formula>
    </cfRule>
  </conditionalFormatting>
  <conditionalFormatting sqref="Z37:AI37">
    <cfRule type="expression" dxfId="149" priority="152">
      <formula>AND(UPPER($A$14)="TARE",Z37&lt;Z$14,Z37&gt;0)</formula>
    </cfRule>
  </conditionalFormatting>
  <conditionalFormatting sqref="Z38:AQ38">
    <cfRule type="cellIs" dxfId="148" priority="151" operator="lessThan">
      <formula>0</formula>
    </cfRule>
  </conditionalFormatting>
  <conditionalFormatting sqref="Z38:AQ38">
    <cfRule type="expression" dxfId="147" priority="150">
      <formula>AND(UPPER($A$14)="TARE",Z38&lt;Z$14,Z38&gt;0)</formula>
    </cfRule>
  </conditionalFormatting>
  <conditionalFormatting sqref="Z39:AH39">
    <cfRule type="cellIs" dxfId="146" priority="149" operator="lessThan">
      <formula>0</formula>
    </cfRule>
  </conditionalFormatting>
  <conditionalFormatting sqref="Z39:AH39">
    <cfRule type="expression" dxfId="145" priority="148">
      <formula>AND(UPPER($A$14)="TARE",Z39&lt;Z$14,Z39&gt;0)</formula>
    </cfRule>
  </conditionalFormatting>
  <conditionalFormatting sqref="Z40:AG40">
    <cfRule type="cellIs" dxfId="144" priority="147" operator="lessThan">
      <formula>0</formula>
    </cfRule>
  </conditionalFormatting>
  <conditionalFormatting sqref="Z40:AG40">
    <cfRule type="expression" dxfId="143" priority="146">
      <formula>AND(UPPER($A$14)="TARE",Z40&lt;Z$14,Z40&gt;0)</formula>
    </cfRule>
  </conditionalFormatting>
  <conditionalFormatting sqref="AA41:AG41">
    <cfRule type="cellIs" dxfId="142" priority="145" operator="lessThan">
      <formula>0</formula>
    </cfRule>
  </conditionalFormatting>
  <conditionalFormatting sqref="AA41:AG41">
    <cfRule type="expression" dxfId="141" priority="144">
      <formula>AND(UPPER($A$14)="TARE",AA41&lt;AA$14,AA41&gt;0)</formula>
    </cfRule>
  </conditionalFormatting>
  <conditionalFormatting sqref="Z42:AG42">
    <cfRule type="cellIs" dxfId="140" priority="143" operator="lessThan">
      <formula>0</formula>
    </cfRule>
  </conditionalFormatting>
  <conditionalFormatting sqref="Z42:AG42">
    <cfRule type="expression" dxfId="139" priority="142">
      <formula>AND(UPPER($A$14)="TARE",Z42&lt;Z$14,Z42&gt;0)</formula>
    </cfRule>
  </conditionalFormatting>
  <conditionalFormatting sqref="Z43:AJ43">
    <cfRule type="cellIs" dxfId="138" priority="141" operator="lessThan">
      <formula>0</formula>
    </cfRule>
  </conditionalFormatting>
  <conditionalFormatting sqref="Z43:AJ43">
    <cfRule type="expression" dxfId="137" priority="140">
      <formula>AND(UPPER($A$14)="TARE",Z43&lt;Z$14,Z43&gt;0)</formula>
    </cfRule>
  </conditionalFormatting>
  <conditionalFormatting sqref="EH4:EL4">
    <cfRule type="cellIs" dxfId="136" priority="138" operator="lessThan">
      <formula>0</formula>
    </cfRule>
    <cfRule type="cellIs" dxfId="135" priority="139" operator="greaterThan">
      <formula>0</formula>
    </cfRule>
  </conditionalFormatting>
  <conditionalFormatting sqref="EH5:EK5">
    <cfRule type="cellIs" dxfId="134" priority="136" operator="lessThan">
      <formula>0</formula>
    </cfRule>
    <cfRule type="cellIs" dxfId="133" priority="137" operator="greaterThan">
      <formula>0</formula>
    </cfRule>
  </conditionalFormatting>
  <conditionalFormatting sqref="EH6:EK6">
    <cfRule type="cellIs" dxfId="132" priority="134" operator="lessThan">
      <formula>0</formula>
    </cfRule>
    <cfRule type="cellIs" dxfId="131" priority="135" operator="greaterThan">
      <formula>0</formula>
    </cfRule>
  </conditionalFormatting>
  <conditionalFormatting sqref="EH7:EI7">
    <cfRule type="cellIs" dxfId="130" priority="132" operator="lessThan">
      <formula>0</formula>
    </cfRule>
    <cfRule type="cellIs" dxfId="129" priority="133" operator="greaterThan">
      <formula>0</formula>
    </cfRule>
  </conditionalFormatting>
  <conditionalFormatting sqref="EL7:EM7">
    <cfRule type="cellIs" dxfId="128" priority="130" operator="lessThan">
      <formula>0</formula>
    </cfRule>
    <cfRule type="cellIs" dxfId="127" priority="131" operator="greaterThan">
      <formula>0</formula>
    </cfRule>
  </conditionalFormatting>
  <conditionalFormatting sqref="EH8:EH15">
    <cfRule type="cellIs" dxfId="126" priority="128" operator="lessThan">
      <formula>EI8</formula>
    </cfRule>
    <cfRule type="cellIs" dxfId="125" priority="129" operator="greaterThan">
      <formula>EI8</formula>
    </cfRule>
  </conditionalFormatting>
  <conditionalFormatting sqref="AF71:AF77 EI8:EI25 ED26:ED27 AC79:AE79 AC81:AE81">
    <cfRule type="cellIs" dxfId="124" priority="126" operator="lessThan">
      <formula>AB8</formula>
    </cfRule>
    <cfRule type="cellIs" dxfId="123" priority="127" operator="greaterThan">
      <formula>AB8</formula>
    </cfRule>
  </conditionalFormatting>
  <conditionalFormatting sqref="EK10:EK15">
    <cfRule type="cellIs" dxfId="122" priority="124" operator="lessThan">
      <formula>EI10</formula>
    </cfRule>
    <cfRule type="cellIs" dxfId="121" priority="125" operator="greaterThan">
      <formula>EI10</formula>
    </cfRule>
  </conditionalFormatting>
  <conditionalFormatting sqref="EL10:EL15">
    <cfRule type="cellIs" dxfId="120" priority="122" operator="lessThan">
      <formula>EK10</formula>
    </cfRule>
    <cfRule type="cellIs" dxfId="119" priority="123" operator="greaterThan">
      <formula>EK10</formula>
    </cfRule>
  </conditionalFormatting>
  <conditionalFormatting sqref="EN12:EN15">
    <cfRule type="cellIs" dxfId="118" priority="120" operator="lessThan">
      <formula>EK12</formula>
    </cfRule>
    <cfRule type="cellIs" dxfId="117" priority="121" operator="greaterThan">
      <formula>EK12</formula>
    </cfRule>
  </conditionalFormatting>
  <conditionalFormatting sqref="ER13">
    <cfRule type="cellIs" dxfId="116" priority="118" operator="lessThan">
      <formula>EN13</formula>
    </cfRule>
    <cfRule type="cellIs" dxfId="115" priority="119" operator="greaterThan">
      <formula>EN13</formula>
    </cfRule>
  </conditionalFormatting>
  <conditionalFormatting sqref="ER15">
    <cfRule type="cellIs" dxfId="114" priority="116" operator="lessThan">
      <formula>EN15</formula>
    </cfRule>
    <cfRule type="cellIs" dxfId="113" priority="117" operator="greaterThan">
      <formula>EN15</formula>
    </cfRule>
  </conditionalFormatting>
  <conditionalFormatting sqref="EK18:EK21">
    <cfRule type="cellIs" dxfId="112" priority="112" operator="lessThan">
      <formula>EH18</formula>
    </cfRule>
    <cfRule type="cellIs" dxfId="111" priority="113" operator="greaterThan">
      <formula>EH18</formula>
    </cfRule>
  </conditionalFormatting>
  <conditionalFormatting sqref="EK25 EK23">
    <cfRule type="cellIs" dxfId="110" priority="110" operator="lessThan">
      <formula>EH23</formula>
    </cfRule>
    <cfRule type="cellIs" dxfId="109" priority="111" operator="greaterThan">
      <formula>EH23</formula>
    </cfRule>
  </conditionalFormatting>
  <conditionalFormatting sqref="EL18:EL21">
    <cfRule type="cellIs" dxfId="108" priority="108" operator="lessThan">
      <formula>EK18</formula>
    </cfRule>
    <cfRule type="cellIs" dxfId="107" priority="109" operator="greaterThan">
      <formula>EK18</formula>
    </cfRule>
  </conditionalFormatting>
  <conditionalFormatting sqref="EL25 EL23">
    <cfRule type="cellIs" dxfId="106" priority="106" operator="lessThan">
      <formula>EK23</formula>
    </cfRule>
    <cfRule type="cellIs" dxfId="105" priority="107" operator="greaterThan">
      <formula>EK23</formula>
    </cfRule>
  </conditionalFormatting>
  <conditionalFormatting sqref="AA66:AA77 AA79:AA81">
    <cfRule type="cellIs" dxfId="104" priority="104" operator="lessThan">
      <formula>Z66</formula>
    </cfRule>
    <cfRule type="cellIs" dxfId="103" priority="105" operator="greaterThan">
      <formula>Z66</formula>
    </cfRule>
  </conditionalFormatting>
  <conditionalFormatting sqref="AB66">
    <cfRule type="cellIs" dxfId="102" priority="102" operator="lessThan">
      <formula>AA66</formula>
    </cfRule>
    <cfRule type="cellIs" dxfId="101" priority="103" operator="greaterThan">
      <formula>AA66</formula>
    </cfRule>
  </conditionalFormatting>
  <conditionalFormatting sqref="AD66">
    <cfRule type="cellIs" dxfId="100" priority="100" operator="lessThan">
      <formula>AC66</formula>
    </cfRule>
    <cfRule type="cellIs" dxfId="99" priority="101" operator="greaterThan">
      <formula>AC66</formula>
    </cfRule>
  </conditionalFormatting>
  <conditionalFormatting sqref="AE66:AE70">
    <cfRule type="cellIs" dxfId="98" priority="98" operator="lessThan">
      <formula>AD66</formula>
    </cfRule>
    <cfRule type="cellIs" dxfId="97" priority="99" operator="greaterThan">
      <formula>AD66</formula>
    </cfRule>
  </conditionalFormatting>
  <conditionalFormatting sqref="AD67:AD70">
    <cfRule type="cellIs" dxfId="96" priority="92" operator="lessThan">
      <formula>AC67</formula>
    </cfRule>
    <cfRule type="cellIs" dxfId="95" priority="93" operator="greaterThan">
      <formula>AC67</formula>
    </cfRule>
  </conditionalFormatting>
  <conditionalFormatting sqref="AB67:AB70 AB74:AB77">
    <cfRule type="cellIs" dxfId="94" priority="88" operator="lessThan">
      <formula>AA67</formula>
    </cfRule>
    <cfRule type="cellIs" dxfId="93" priority="89" operator="greaterThan">
      <formula>AA67</formula>
    </cfRule>
  </conditionalFormatting>
  <conditionalFormatting sqref="ES26:FG27 EH29:FA43 ER28:FK28">
    <cfRule type="cellIs" dxfId="92" priority="87" operator="lessThan">
      <formula>0</formula>
    </cfRule>
  </conditionalFormatting>
  <conditionalFormatting sqref="AA82:AA84">
    <cfRule type="cellIs" dxfId="91" priority="83" operator="lessThan">
      <formula>Z82</formula>
    </cfRule>
    <cfRule type="cellIs" dxfId="90" priority="84" operator="greaterThan">
      <formula>Z82</formula>
    </cfRule>
  </conditionalFormatting>
  <conditionalFormatting sqref="AB82:AB84">
    <cfRule type="cellIs" dxfId="89" priority="81" operator="lessThan">
      <formula>AA82</formula>
    </cfRule>
    <cfRule type="cellIs" dxfId="88" priority="82" operator="greaterThan">
      <formula>AA82</formula>
    </cfRule>
  </conditionalFormatting>
  <conditionalFormatting sqref="AC82:AC84">
    <cfRule type="cellIs" dxfId="87" priority="79" operator="lessThan">
      <formula>AB82</formula>
    </cfRule>
    <cfRule type="cellIs" dxfId="86" priority="80" operator="greaterThan">
      <formula>AB82</formula>
    </cfRule>
  </conditionalFormatting>
  <conditionalFormatting sqref="AB71:AB73">
    <cfRule type="cellIs" dxfId="85" priority="77" operator="lessThan">
      <formula>AA71</formula>
    </cfRule>
    <cfRule type="cellIs" dxfId="84" priority="78" operator="greaterThan">
      <formula>AA71</formula>
    </cfRule>
  </conditionalFormatting>
  <conditionalFormatting sqref="AE71:AE73">
    <cfRule type="cellIs" dxfId="83" priority="75" operator="lessThan">
      <formula>AD71</formula>
    </cfRule>
    <cfRule type="cellIs" dxfId="82" priority="76" operator="greaterThan">
      <formula>AD71</formula>
    </cfRule>
  </conditionalFormatting>
  <conditionalFormatting sqref="AE74:AE77">
    <cfRule type="cellIs" dxfId="81" priority="71" operator="lessThan">
      <formula>AD74</formula>
    </cfRule>
    <cfRule type="cellIs" dxfId="80" priority="72" operator="greaterThan">
      <formula>AD74</formula>
    </cfRule>
  </conditionalFormatting>
  <conditionalFormatting sqref="AC71:AC77">
    <cfRule type="cellIs" dxfId="79" priority="66" operator="lessThan">
      <formula>BE71</formula>
    </cfRule>
    <cfRule type="cellIs" dxfId="78" priority="67" operator="greaterThan">
      <formula>BE71</formula>
    </cfRule>
  </conditionalFormatting>
  <conditionalFormatting sqref="AE66:AE70 AF71:AF77 AE79:AE81">
    <cfRule type="cellIs" dxfId="77" priority="65" operator="lessThan">
      <formula>AC66</formula>
    </cfRule>
  </conditionalFormatting>
  <conditionalFormatting sqref="Z79:Z81">
    <cfRule type="cellIs" dxfId="76" priority="60" operator="lessThan">
      <formula>#REF!</formula>
    </cfRule>
    <cfRule type="cellIs" dxfId="75" priority="61" operator="greaterThan">
      <formula>#REF!</formula>
    </cfRule>
  </conditionalFormatting>
  <conditionalFormatting sqref="AB79:AB81">
    <cfRule type="cellIs" dxfId="74" priority="58" operator="lessThan">
      <formula>#REF!</formula>
    </cfRule>
    <cfRule type="cellIs" dxfId="73" priority="59" operator="greaterThan">
      <formula>#REF!</formula>
    </cfRule>
  </conditionalFormatting>
  <conditionalFormatting sqref="AA79:AA81">
    <cfRule type="cellIs" dxfId="72" priority="1651" operator="lessThan">
      <formula>BG79</formula>
    </cfRule>
    <cfRule type="cellIs" dxfId="71" priority="1652" operator="greaterThan">
      <formula>BG79</formula>
    </cfRule>
  </conditionalFormatting>
  <conditionalFormatting sqref="AC79:AC81">
    <cfRule type="cellIs" dxfId="70" priority="1669" operator="lessThan">
      <formula>#REF!</formula>
    </cfRule>
  </conditionalFormatting>
  <conditionalFormatting sqref="AB79:AB81">
    <cfRule type="cellIs" dxfId="69" priority="1670" operator="lessThan">
      <formula>BI79</formula>
    </cfRule>
    <cfRule type="cellIs" dxfId="68" priority="1671" operator="greaterThan">
      <formula>BI79</formula>
    </cfRule>
  </conditionalFormatting>
  <conditionalFormatting sqref="AB85">
    <cfRule type="cellIs" dxfId="67" priority="45" operator="lessThan">
      <formula>AA85</formula>
    </cfRule>
    <cfRule type="cellIs" dxfId="66" priority="46" operator="greaterThan">
      <formula>AA85</formula>
    </cfRule>
  </conditionalFormatting>
  <conditionalFormatting sqref="AQ85">
    <cfRule type="cellIs" dxfId="65" priority="42" operator="lessThan">
      <formula>Z85</formula>
    </cfRule>
    <cfRule type="cellIs" dxfId="64" priority="43" operator="greaterThan">
      <formula>Z85</formula>
    </cfRule>
  </conditionalFormatting>
  <conditionalFormatting sqref="AI85:AJ85">
    <cfRule type="cellIs" dxfId="63" priority="40" operator="lessThan">
      <formula>AB85</formula>
    </cfRule>
    <cfRule type="cellIs" dxfId="62" priority="41" operator="greaterThan">
      <formula>AB85</formula>
    </cfRule>
  </conditionalFormatting>
  <conditionalFormatting sqref="AK85:AP85">
    <cfRule type="cellIs" dxfId="61" priority="38" operator="lessThan">
      <formula>AC85</formula>
    </cfRule>
    <cfRule type="cellIs" dxfId="60" priority="39" operator="greaterThan">
      <formula>AC85</formula>
    </cfRule>
  </conditionalFormatting>
  <conditionalFormatting sqref="AV85:AW85">
    <cfRule type="cellIs" dxfId="59" priority="36" operator="lessThan">
      <formula>AU85</formula>
    </cfRule>
    <cfRule type="cellIs" dxfId="58" priority="37" operator="greaterThan">
      <formula>AU85</formula>
    </cfRule>
  </conditionalFormatting>
  <conditionalFormatting sqref="AY85:AZ85">
    <cfRule type="cellIs" dxfId="57" priority="34" operator="lessThan">
      <formula>AX85</formula>
    </cfRule>
    <cfRule type="cellIs" dxfId="56" priority="35" operator="greaterThan">
      <formula>AX85</formula>
    </cfRule>
  </conditionalFormatting>
  <conditionalFormatting sqref="AM26:AN27">
    <cfRule type="cellIs" dxfId="55" priority="28" operator="equal">
      <formula>AL26</formula>
    </cfRule>
    <cfRule type="cellIs" dxfId="54" priority="29" operator="lessThan">
      <formula>AL26</formula>
    </cfRule>
    <cfRule type="cellIs" dxfId="53" priority="30" operator="greaterThan">
      <formula>AL26</formula>
    </cfRule>
  </conditionalFormatting>
  <conditionalFormatting sqref="AC80:AE80">
    <cfRule type="cellIs" dxfId="52" priority="26" operator="lessThan">
      <formula>AB80</formula>
    </cfRule>
    <cfRule type="cellIs" dxfId="51" priority="27" operator="greaterThan">
      <formula>AB80</formula>
    </cfRule>
  </conditionalFormatting>
  <conditionalFormatting sqref="AE64:AF65">
    <cfRule type="cellIs" dxfId="50" priority="24" operator="lessThan">
      <formula>AD64</formula>
    </cfRule>
    <cfRule type="cellIs" dxfId="49" priority="25" operator="greaterThan">
      <formula>AD64</formula>
    </cfRule>
  </conditionalFormatting>
  <conditionalFormatting sqref="AA64:AA65">
    <cfRule type="cellIs" dxfId="48" priority="22" operator="lessThan">
      <formula>Z64</formula>
    </cfRule>
    <cfRule type="cellIs" dxfId="47" priority="23" operator="greaterThan">
      <formula>Z64</formula>
    </cfRule>
  </conditionalFormatting>
  <conditionalFormatting sqref="AB64:AB65">
    <cfRule type="cellIs" dxfId="46" priority="20" operator="lessThan">
      <formula>AA64</formula>
    </cfRule>
    <cfRule type="cellIs" dxfId="45" priority="21" operator="greaterThan">
      <formula>AA64</formula>
    </cfRule>
  </conditionalFormatting>
  <conditionalFormatting sqref="AF64:AF65">
    <cfRule type="cellIs" dxfId="44" priority="19" operator="lessThan">
      <formula>AD64</formula>
    </cfRule>
  </conditionalFormatting>
  <conditionalFormatting sqref="AC78">
    <cfRule type="cellIs" dxfId="43" priority="12" operator="lessThan">
      <formula>AB78</formula>
    </cfRule>
    <cfRule type="cellIs" dxfId="42" priority="13" operator="greaterThan">
      <formula>AB78</formula>
    </cfRule>
  </conditionalFormatting>
  <conditionalFormatting sqref="Z78">
    <cfRule type="cellIs" dxfId="41" priority="10" operator="lessThan">
      <formula>#REF!</formula>
    </cfRule>
    <cfRule type="cellIs" dxfId="40" priority="11" operator="greaterThan">
      <formula>#REF!</formula>
    </cfRule>
  </conditionalFormatting>
  <conditionalFormatting sqref="AB78">
    <cfRule type="cellIs" dxfId="39" priority="8" operator="lessThan">
      <formula>#REF!</formula>
    </cfRule>
    <cfRule type="cellIs" dxfId="38" priority="9" operator="greaterThan">
      <formula>#REF!</formula>
    </cfRule>
  </conditionalFormatting>
  <conditionalFormatting sqref="AA78">
    <cfRule type="cellIs" dxfId="37" priority="6" operator="lessThan">
      <formula>Z78</formula>
    </cfRule>
    <cfRule type="cellIs" dxfId="36" priority="7" operator="greaterThan">
      <formula>Z78</formula>
    </cfRule>
  </conditionalFormatting>
  <conditionalFormatting sqref="AE78">
    <cfRule type="cellIs" dxfId="35" priority="4" operator="lessThan">
      <formula>AD78</formula>
    </cfRule>
    <cfRule type="cellIs" dxfId="34" priority="5" operator="greaterThan">
      <formula>AD78</formula>
    </cfRule>
  </conditionalFormatting>
  <conditionalFormatting sqref="AE78">
    <cfRule type="cellIs" dxfId="33" priority="3" operator="lessThan">
      <formula>AC78</formula>
    </cfRule>
  </conditionalFormatting>
  <conditionalFormatting sqref="AD78">
    <cfRule type="cellIs" dxfId="32" priority="1" operator="lessThan">
      <formula>AC78</formula>
    </cfRule>
    <cfRule type="cellIs" dxfId="31" priority="2" operator="greaterThan">
      <formula>AC78</formula>
    </cfRule>
  </conditionalFormatting>
  <conditionalFormatting sqref="AA78">
    <cfRule type="cellIs" dxfId="30" priority="14" operator="lessThan">
      <formula>BG78</formula>
    </cfRule>
    <cfRule type="cellIs" dxfId="29" priority="15" operator="greaterThan">
      <formula>BG78</formula>
    </cfRule>
  </conditionalFormatting>
  <conditionalFormatting sqref="AC78">
    <cfRule type="cellIs" dxfId="28" priority="16" operator="lessThan">
      <formula>#REF!</formula>
    </cfRule>
  </conditionalFormatting>
  <conditionalFormatting sqref="AB78">
    <cfRule type="cellIs" dxfId="27" priority="17" operator="lessThan">
      <formula>BI78</formula>
    </cfRule>
    <cfRule type="cellIs" dxfId="26" priority="18" operator="greaterThan">
      <formula>BI78</formula>
    </cfRule>
  </conditionalFormatting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46F5E-1D82-481B-89D5-8FEB3DFF246C}">
  <sheetPr codeName="Sheet2"/>
  <dimension ref="A1:K22"/>
  <sheetViews>
    <sheetView workbookViewId="0">
      <selection activeCell="A22" sqref="A22:B22"/>
    </sheetView>
  </sheetViews>
  <sheetFormatPr defaultColWidth="9.109375"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9.109375" style="1"/>
  </cols>
  <sheetData>
    <row r="1" spans="1:11" ht="29.4" x14ac:dyDescent="0.65">
      <c r="A1" s="123" t="s">
        <v>842</v>
      </c>
      <c r="B1" s="123"/>
      <c r="C1" s="123"/>
      <c r="D1" s="123"/>
      <c r="E1" s="123"/>
      <c r="F1" s="123"/>
      <c r="G1" s="123"/>
      <c r="H1" s="123"/>
      <c r="I1" s="123"/>
      <c r="J1" s="123"/>
    </row>
    <row r="2" spans="1:11" ht="16.8" x14ac:dyDescent="0.3">
      <c r="A2" s="124" t="s">
        <v>31</v>
      </c>
      <c r="B2" s="124"/>
      <c r="C2" s="124"/>
      <c r="D2" s="124"/>
      <c r="E2" s="124"/>
      <c r="F2" s="124"/>
      <c r="G2" s="124"/>
      <c r="H2" s="124"/>
      <c r="I2" s="124"/>
      <c r="J2" s="124"/>
    </row>
    <row r="3" spans="1:11" ht="33.450000000000003" customHeight="1" x14ac:dyDescent="0.45">
      <c r="A3" s="125" t="s">
        <v>32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</row>
    <row r="4" spans="1:11" ht="15" x14ac:dyDescent="0.3">
      <c r="A4" s="21" t="s">
        <v>33</v>
      </c>
      <c r="B4" s="21" t="s">
        <v>10</v>
      </c>
      <c r="C4" s="21" t="s">
        <v>12</v>
      </c>
      <c r="D4" s="21" t="s">
        <v>13</v>
      </c>
      <c r="E4" s="21" t="s">
        <v>14</v>
      </c>
      <c r="F4" s="21" t="s">
        <v>15</v>
      </c>
      <c r="G4" s="21" t="s">
        <v>16</v>
      </c>
      <c r="H4" s="21" t="s">
        <v>17</v>
      </c>
      <c r="I4" s="21" t="s">
        <v>18</v>
      </c>
      <c r="J4" s="21" t="s">
        <v>19</v>
      </c>
      <c r="K4" s="21" t="s">
        <v>20</v>
      </c>
    </row>
    <row r="5" spans="1:11" ht="19.5" customHeight="1" x14ac:dyDescent="0.3">
      <c r="A5" s="23">
        <v>45679.571258009259</v>
      </c>
      <c r="B5" s="46" t="s">
        <v>985</v>
      </c>
      <c r="C5" s="22"/>
      <c r="D5" s="22"/>
      <c r="E5" s="22"/>
      <c r="F5" s="22"/>
      <c r="G5" s="22"/>
      <c r="H5" s="22"/>
      <c r="I5" s="22"/>
      <c r="J5" s="22"/>
      <c r="K5" s="22"/>
    </row>
    <row r="6" spans="1:11" ht="33.450000000000003" customHeight="1" x14ac:dyDescent="0.45">
      <c r="A6" s="126" t="s">
        <v>73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</row>
    <row r="7" spans="1:11" ht="15" x14ac:dyDescent="0.3">
      <c r="A7" s="21" t="s">
        <v>33</v>
      </c>
      <c r="B7" s="21" t="s">
        <v>10</v>
      </c>
      <c r="C7" s="21" t="s">
        <v>12</v>
      </c>
      <c r="D7" s="21" t="s">
        <v>13</v>
      </c>
      <c r="E7" s="21" t="s">
        <v>14</v>
      </c>
      <c r="F7" s="21" t="s">
        <v>15</v>
      </c>
      <c r="G7" s="21" t="s">
        <v>16</v>
      </c>
      <c r="H7" s="21" t="s">
        <v>17</v>
      </c>
      <c r="I7" s="21" t="s">
        <v>18</v>
      </c>
      <c r="J7" s="21" t="s">
        <v>19</v>
      </c>
      <c r="K7" s="21" t="s">
        <v>20</v>
      </c>
    </row>
    <row r="8" spans="1:11" ht="19.5" customHeight="1" x14ac:dyDescent="0.3">
      <c r="A8" s="26">
        <v>45679.561695891207</v>
      </c>
      <c r="B8" s="140" t="s">
        <v>971</v>
      </c>
      <c r="C8" s="24"/>
      <c r="D8" s="24"/>
      <c r="E8" s="24"/>
      <c r="F8" s="24"/>
      <c r="G8" s="24"/>
      <c r="H8" s="24"/>
      <c r="I8" s="24"/>
      <c r="J8" s="24"/>
      <c r="K8" s="24"/>
    </row>
    <row r="9" spans="1:11" ht="19.5" customHeight="1" x14ac:dyDescent="0.3">
      <c r="A9" s="27">
        <v>45679.562379791663</v>
      </c>
      <c r="B9" s="116" t="s">
        <v>972</v>
      </c>
      <c r="C9" s="25"/>
      <c r="D9" s="25"/>
      <c r="E9" s="25"/>
      <c r="F9" s="25"/>
      <c r="G9" s="25"/>
      <c r="H9" s="25"/>
      <c r="I9" s="25"/>
      <c r="J9" s="25"/>
      <c r="K9" s="25"/>
    </row>
    <row r="10" spans="1:11" ht="19.5" customHeight="1" x14ac:dyDescent="0.3">
      <c r="A10" s="27">
        <v>45679.562887442131</v>
      </c>
      <c r="B10" s="116" t="s">
        <v>973</v>
      </c>
      <c r="C10" s="25"/>
      <c r="D10" s="25"/>
      <c r="E10" s="25"/>
      <c r="F10" s="25"/>
      <c r="G10" s="25"/>
      <c r="H10" s="25"/>
      <c r="I10" s="25"/>
      <c r="J10" s="25"/>
      <c r="K10" s="25"/>
    </row>
    <row r="11" spans="1:11" ht="19.5" customHeight="1" x14ac:dyDescent="0.3">
      <c r="A11" s="27">
        <v>45679.563365000002</v>
      </c>
      <c r="B11" s="116" t="s">
        <v>974</v>
      </c>
      <c r="C11" s="25"/>
      <c r="D11" s="25"/>
      <c r="E11" s="25"/>
      <c r="F11" s="25"/>
      <c r="G11" s="25"/>
      <c r="H11" s="25"/>
      <c r="I11" s="25"/>
      <c r="J11" s="25"/>
      <c r="K11" s="25"/>
    </row>
    <row r="12" spans="1:11" ht="19.5" customHeight="1" x14ac:dyDescent="0.3">
      <c r="A12" s="27">
        <v>45679.564099768519</v>
      </c>
      <c r="B12" s="116" t="s">
        <v>975</v>
      </c>
      <c r="C12" s="25"/>
      <c r="D12" s="25"/>
      <c r="E12" s="25"/>
      <c r="F12" s="25"/>
      <c r="G12" s="25"/>
      <c r="H12" s="25"/>
      <c r="I12" s="25"/>
      <c r="J12" s="25"/>
      <c r="K12" s="25"/>
    </row>
    <row r="13" spans="1:11" ht="19.5" customHeight="1" x14ac:dyDescent="0.3">
      <c r="A13" s="27">
        <v>45679.564403391203</v>
      </c>
      <c r="B13" s="116" t="s">
        <v>976</v>
      </c>
      <c r="C13" s="25"/>
      <c r="D13" s="25"/>
      <c r="E13" s="25"/>
      <c r="F13" s="25"/>
      <c r="G13" s="25"/>
      <c r="H13" s="25"/>
      <c r="I13" s="25"/>
      <c r="J13" s="25"/>
      <c r="K13" s="25"/>
    </row>
    <row r="14" spans="1:11" ht="19.5" customHeight="1" x14ac:dyDescent="0.3">
      <c r="A14" s="27">
        <v>45679.565492800924</v>
      </c>
      <c r="B14" s="116" t="s">
        <v>977</v>
      </c>
      <c r="C14" s="25"/>
      <c r="D14" s="25"/>
      <c r="E14" s="25"/>
      <c r="F14" s="25"/>
      <c r="G14" s="25"/>
      <c r="H14" s="25"/>
      <c r="I14" s="25"/>
      <c r="J14" s="25"/>
      <c r="K14" s="25"/>
    </row>
    <row r="15" spans="1:11" ht="19.5" customHeight="1" x14ac:dyDescent="0.3">
      <c r="A15" s="27">
        <v>45679.566385428239</v>
      </c>
      <c r="B15" s="116" t="s">
        <v>978</v>
      </c>
      <c r="C15" s="25"/>
      <c r="D15" s="25"/>
      <c r="E15" s="25"/>
      <c r="F15" s="25"/>
      <c r="G15" s="25"/>
      <c r="H15" s="25"/>
      <c r="I15" s="25"/>
      <c r="J15" s="25"/>
      <c r="K15" s="25"/>
    </row>
    <row r="16" spans="1:11" ht="19.5" customHeight="1" x14ac:dyDescent="0.3">
      <c r="A16" s="27">
        <v>45679.566791030091</v>
      </c>
      <c r="B16" s="116" t="s">
        <v>979</v>
      </c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19.5" customHeight="1" x14ac:dyDescent="0.3">
      <c r="A17" s="27">
        <v>45679.56785028935</v>
      </c>
      <c r="B17" s="116" t="s">
        <v>980</v>
      </c>
      <c r="C17" s="25"/>
      <c r="D17" s="25"/>
      <c r="E17" s="25"/>
      <c r="F17" s="25"/>
      <c r="G17" s="25"/>
      <c r="H17" s="25"/>
      <c r="I17" s="25"/>
      <c r="J17" s="25"/>
      <c r="K17" s="25"/>
    </row>
    <row r="18" spans="1:11" ht="19.5" customHeight="1" x14ac:dyDescent="0.3">
      <c r="A18" s="27">
        <v>45679.56827689815</v>
      </c>
      <c r="B18" s="116" t="s">
        <v>981</v>
      </c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9.5" customHeight="1" x14ac:dyDescent="0.3">
      <c r="A19" s="27">
        <v>45679.56874978009</v>
      </c>
      <c r="B19" s="116" t="s">
        <v>982</v>
      </c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9.5" customHeight="1" x14ac:dyDescent="0.3">
      <c r="A20" s="27">
        <v>45679.569716469909</v>
      </c>
      <c r="B20" s="116" t="s">
        <v>983</v>
      </c>
      <c r="C20" s="25"/>
      <c r="D20" s="25"/>
      <c r="E20" s="25"/>
      <c r="F20" s="25"/>
      <c r="G20" s="25"/>
      <c r="H20" s="25"/>
      <c r="I20" s="25"/>
      <c r="J20" s="25"/>
      <c r="K20" s="25"/>
    </row>
    <row r="21" spans="1:11" ht="19.5" customHeight="1" x14ac:dyDescent="0.3">
      <c r="A21" s="27">
        <v>45679.570363240739</v>
      </c>
      <c r="B21" s="116" t="s">
        <v>984</v>
      </c>
      <c r="C21" s="25"/>
      <c r="D21" s="25"/>
      <c r="E21" s="25"/>
      <c r="F21" s="25"/>
      <c r="G21" s="25"/>
      <c r="H21" s="25"/>
      <c r="I21" s="25"/>
      <c r="J21" s="25"/>
      <c r="K21" s="25"/>
    </row>
    <row r="22" spans="1:11" ht="19.5" customHeight="1" x14ac:dyDescent="0.3">
      <c r="A22" s="28">
        <v>45679.571258009259</v>
      </c>
      <c r="B22" s="47" t="s">
        <v>985</v>
      </c>
      <c r="C22" s="29"/>
      <c r="D22" s="29"/>
      <c r="E22" s="29"/>
      <c r="F22" s="29"/>
      <c r="G22" s="29"/>
      <c r="H22" s="29"/>
      <c r="I22" s="29"/>
      <c r="J22" s="29"/>
      <c r="K22" s="29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07A907C3-063D-4423-95A4-FCD9E0818427}"/>
    <dataValidation allowBlank="1" showInputMessage="1" showErrorMessage="1" prompt="TBL_CUR[CH1]" sqref="B5" xr:uid="{6260BC3D-2A7F-4044-8F04-D0B142874191}"/>
    <dataValidation allowBlank="1" showInputMessage="1" showErrorMessage="1" prompt="TBL_CUR[CH2]" sqref="C5" xr:uid="{0081617E-98FF-40F9-B1EC-9E14EF1433D1}"/>
    <dataValidation allowBlank="1" showInputMessage="1" showErrorMessage="1" prompt="TBL_CUR[CH3]" sqref="D5" xr:uid="{75CAAD49-BA00-4264-B63A-DCAD92FCAA36}"/>
    <dataValidation allowBlank="1" showInputMessage="1" showErrorMessage="1" prompt="TBL_CUR[CH4]" sqref="E5" xr:uid="{77F46416-6E63-44C7-A6EC-708FC9C6330D}"/>
    <dataValidation allowBlank="1" showInputMessage="1" showErrorMessage="1" prompt="TBL_CUR[CH5]" sqref="F5" xr:uid="{6E980924-EEA8-4FF9-993C-E926C031DED2}"/>
    <dataValidation allowBlank="1" showInputMessage="1" showErrorMessage="1" prompt="TBL_CUR[CH6]" sqref="G5" xr:uid="{9DCC49BA-2FBB-41F6-A953-A63E4957F0A6}"/>
    <dataValidation allowBlank="1" showInputMessage="1" showErrorMessage="1" prompt="TBL_CUR[CH7]" sqref="H5" xr:uid="{D97A24F7-3C53-417D-92A2-7621000D5742}"/>
    <dataValidation allowBlank="1" showInputMessage="1" showErrorMessage="1" prompt="TBL_CUR[CH8]" sqref="I5" xr:uid="{7A871484-C689-40B0-9A29-96F3B39C32F6}"/>
    <dataValidation allowBlank="1" showInputMessage="1" showErrorMessage="1" prompt="TBL_CUR[CH9]" sqref="J5" xr:uid="{C24D0B67-0C26-4804-8C03-006F2F621EC2}"/>
    <dataValidation allowBlank="1" showInputMessage="1" showErrorMessage="1" prompt="TBL_CUR[CH10]" sqref="K5" xr:uid="{B8D94261-54A7-4CB7-8D35-E8B92C13511D}"/>
    <dataValidation allowBlank="1" showInputMessage="1" showErrorMessage="1" prompt="Time_x000d__x000a__x000d__x000a_TBL_HST[TIME]" sqref="A8:A22" xr:uid="{335B26DE-31B0-4F86-96F3-9A9B9390CFEE}"/>
    <dataValidation allowBlank="1" showInputMessage="1" showErrorMessage="1" prompt="TBL_HST[CH1]" sqref="B8:B22" xr:uid="{6556F01C-AE3D-410A-A787-ACD6856D7330}"/>
    <dataValidation allowBlank="1" showInputMessage="1" showErrorMessage="1" prompt="TBL_HST[CH2]" sqref="C8:C22" xr:uid="{852337E1-CB4A-4FA9-8282-B6C003AE2BAC}"/>
    <dataValidation allowBlank="1" showInputMessage="1" showErrorMessage="1" prompt="TBL_HST[CH3]" sqref="D8:D22" xr:uid="{D9687D35-A18D-4DC4-9175-AD68471A4785}"/>
    <dataValidation allowBlank="1" showInputMessage="1" showErrorMessage="1" prompt="TBL_HST[CH4]" sqref="E8:E22" xr:uid="{A12382E3-62E9-42AD-B9D5-FC2A9A767FB8}"/>
    <dataValidation allowBlank="1" showInputMessage="1" showErrorMessage="1" prompt="TBL_HST[CH5]" sqref="F8:F22" xr:uid="{3EBE1016-3D49-4448-8CEF-4F4F7AD9BCBB}"/>
    <dataValidation allowBlank="1" showInputMessage="1" showErrorMessage="1" prompt="TBL_HST[CH6]" sqref="G8:G22" xr:uid="{2C0452D0-CFDB-4F44-AD59-E0EC67CDA791}"/>
    <dataValidation allowBlank="1" showInputMessage="1" showErrorMessage="1" prompt="TBL_HST[CH7]" sqref="H8:H22" xr:uid="{C6FC24F6-B515-4A7F-8164-D9C10996F6A3}"/>
    <dataValidation allowBlank="1" showInputMessage="1" showErrorMessage="1" prompt="TBL_HST[CH8]" sqref="I8:I22" xr:uid="{EA22A929-8EC1-4516-8B0A-A50DE3FE3E23}"/>
    <dataValidation allowBlank="1" showInputMessage="1" showErrorMessage="1" prompt="TBL_HST[CH9]" sqref="J8:J22" xr:uid="{8BA7F5D5-2956-42A0-8980-BB5004D8A353}"/>
    <dataValidation allowBlank="1" showInputMessage="1" showErrorMessage="1" prompt="TBL_HST[CH10]" sqref="K8:K22" xr:uid="{6B9BB898-D4D1-435D-BD41-FC76FCBDDAE1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2EFB7-C195-462E-94CC-355E298E6C33}">
  <sheetPr codeName="Sheet3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127" t="s">
        <v>29</v>
      </c>
      <c r="B1" s="127"/>
      <c r="C1" s="127"/>
      <c r="D1" s="127"/>
      <c r="E1" s="127"/>
      <c r="F1" s="127"/>
      <c r="G1" s="127"/>
      <c r="H1" s="127"/>
    </row>
    <row r="2" spans="1:10" ht="16.8" x14ac:dyDescent="0.3">
      <c r="A2" s="128" t="s">
        <v>30</v>
      </c>
      <c r="B2" s="128"/>
      <c r="C2" s="128"/>
      <c r="D2" s="128"/>
      <c r="E2" s="128"/>
      <c r="F2" s="128"/>
      <c r="G2" s="128"/>
      <c r="H2" s="128"/>
    </row>
    <row r="3" spans="1:10" ht="17.55" customHeight="1" x14ac:dyDescent="0.3"/>
    <row r="4" spans="1:10" ht="19.5" customHeight="1" x14ac:dyDescent="0.3">
      <c r="A4" s="18" t="s">
        <v>10</v>
      </c>
      <c r="B4" s="19" t="s">
        <v>12</v>
      </c>
      <c r="C4" s="19" t="s">
        <v>13</v>
      </c>
      <c r="D4" s="19" t="s">
        <v>14</v>
      </c>
      <c r="E4" s="19" t="s">
        <v>15</v>
      </c>
      <c r="F4" s="19" t="s">
        <v>16</v>
      </c>
      <c r="G4" s="19" t="s">
        <v>17</v>
      </c>
      <c r="H4" s="19" t="s">
        <v>18</v>
      </c>
      <c r="I4" s="19" t="s">
        <v>19</v>
      </c>
      <c r="J4" s="19" t="s">
        <v>20</v>
      </c>
    </row>
    <row r="5" spans="1:10" ht="27" customHeight="1" x14ac:dyDescent="0.3">
      <c r="A5" s="20"/>
      <c r="B5" s="20"/>
      <c r="C5" s="20"/>
      <c r="D5" s="20"/>
      <c r="E5" s="20"/>
      <c r="F5" s="20"/>
      <c r="G5" s="20"/>
      <c r="H5" s="20"/>
      <c r="I5" s="20"/>
      <c r="J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52077-EA73-4C84-A5E8-6CE0406DB3EB}">
  <sheetPr codeName="Sheet4"/>
  <dimension ref="A1:E13"/>
  <sheetViews>
    <sheetView workbookViewId="0">
      <selection sqref="A1:E1"/>
    </sheetView>
  </sheetViews>
  <sheetFormatPr defaultColWidth="9.1093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9.109375" style="14"/>
  </cols>
  <sheetData>
    <row r="1" spans="1:5" ht="29.4" x14ac:dyDescent="0.65">
      <c r="A1" s="129" t="s">
        <v>21</v>
      </c>
      <c r="B1" s="129"/>
      <c r="C1" s="129"/>
      <c r="D1" s="129"/>
      <c r="E1" s="129"/>
    </row>
    <row r="2" spans="1:5" ht="49.95" customHeight="1" x14ac:dyDescent="0.3">
      <c r="A2" s="130" t="s">
        <v>22</v>
      </c>
      <c r="B2" s="130"/>
      <c r="C2" s="130"/>
      <c r="D2" s="130"/>
      <c r="E2" s="130"/>
    </row>
    <row r="3" spans="1:5" ht="4.5" customHeight="1" x14ac:dyDescent="0.3"/>
    <row r="4" spans="1:5" ht="24" customHeight="1" x14ac:dyDescent="0.3">
      <c r="A4" s="15" t="s">
        <v>23</v>
      </c>
      <c r="B4" s="16">
        <v>150</v>
      </c>
      <c r="C4" s="17">
        <v>150</v>
      </c>
    </row>
    <row r="5" spans="1:5" ht="4.5" customHeight="1" x14ac:dyDescent="0.3"/>
    <row r="6" spans="1:5" ht="24" customHeight="1" x14ac:dyDescent="0.3">
      <c r="A6" s="15" t="s">
        <v>24</v>
      </c>
      <c r="B6" s="16">
        <v>15</v>
      </c>
      <c r="C6" s="17">
        <v>15</v>
      </c>
    </row>
    <row r="7" spans="1:5" ht="4.5" customHeight="1" x14ac:dyDescent="0.3"/>
    <row r="8" spans="1:5" ht="24" customHeight="1" x14ac:dyDescent="0.3">
      <c r="A8" s="15" t="s">
        <v>25</v>
      </c>
      <c r="B8" s="16">
        <v>10</v>
      </c>
      <c r="C8" s="17">
        <v>10</v>
      </c>
    </row>
    <row r="9" spans="1:5" ht="4.5" customHeight="1" x14ac:dyDescent="0.3"/>
    <row r="10" spans="1:5" ht="24" customHeight="1" x14ac:dyDescent="0.3">
      <c r="A10" s="15" t="s">
        <v>26</v>
      </c>
      <c r="B10" s="16" t="s">
        <v>27</v>
      </c>
      <c r="C10" s="17" t="s">
        <v>27</v>
      </c>
    </row>
    <row r="13" spans="1:5" ht="49.95" customHeight="1" x14ac:dyDescent="0.3">
      <c r="A13" s="131" t="s">
        <v>28</v>
      </c>
      <c r="B13" s="131"/>
      <c r="C13" s="131"/>
      <c r="D13" s="131"/>
      <c r="E13" s="131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AEDBC529-F1C3-493F-8BBB-7A39A86E86B5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2FB4FEFD-69BE-4BBD-A8C1-410EED00CA71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E1D85C0E-EF06-435F-9525-592FA1773C63}">
      <formula1>1</formula1>
      <formula2>1000</formula2>
    </dataValidation>
    <dataValidation type="list" errorStyle="information" allowBlank="1" showInputMessage="1" sqref="C10" xr:uid="{4727E72E-A16F-422D-8A0C-974A584BE066}">
      <formula1>"Newest first,Newest last"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ED690-C072-43D5-A638-24DC8711787E}">
  <sheetPr codeName="Sheet5"/>
  <dimension ref="A1:L16"/>
  <sheetViews>
    <sheetView workbookViewId="0">
      <selection sqref="A1:G1"/>
    </sheetView>
  </sheetViews>
  <sheetFormatPr defaultColWidth="9.109375"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9.109375" style="2"/>
    <col min="9" max="9" width="16.77734375" style="2" customWidth="1"/>
    <col min="10" max="10" width="60.77734375" style="2" customWidth="1"/>
    <col min="11" max="16384" width="9.109375" style="2"/>
  </cols>
  <sheetData>
    <row r="1" spans="1:12" ht="29.4" x14ac:dyDescent="0.65">
      <c r="A1" s="134" t="s">
        <v>841</v>
      </c>
      <c r="B1" s="134"/>
      <c r="C1" s="134"/>
      <c r="D1" s="134"/>
      <c r="E1" s="134"/>
      <c r="F1" s="134"/>
      <c r="G1" s="134"/>
      <c r="L1" s="3" t="s">
        <v>970</v>
      </c>
    </row>
    <row r="2" spans="1:12" ht="48" customHeight="1" x14ac:dyDescent="0.3">
      <c r="A2" s="135" t="s">
        <v>4</v>
      </c>
      <c r="B2" s="135"/>
      <c r="C2" s="135"/>
      <c r="D2" s="135"/>
      <c r="E2" s="135"/>
      <c r="F2" s="135"/>
      <c r="G2" s="135"/>
    </row>
    <row r="3" spans="1:12" ht="25.95" customHeight="1" x14ac:dyDescent="0.55000000000000004">
      <c r="B3" s="139" t="s">
        <v>0</v>
      </c>
      <c r="C3" s="139"/>
      <c r="D3" s="139"/>
      <c r="E3" s="139"/>
      <c r="F3" s="139"/>
      <c r="G3" s="139"/>
      <c r="H3" s="139"/>
    </row>
    <row r="4" spans="1:12" ht="25.95" customHeight="1" x14ac:dyDescent="0.4">
      <c r="B4" s="136"/>
      <c r="C4" s="136"/>
      <c r="D4" s="136"/>
      <c r="E4" s="136"/>
      <c r="F4" s="136"/>
      <c r="G4" s="136"/>
      <c r="I4" s="132" t="s">
        <v>1</v>
      </c>
      <c r="J4" s="132"/>
    </row>
    <row r="5" spans="1:12" ht="24" customHeight="1" x14ac:dyDescent="0.3">
      <c r="B5" s="137"/>
      <c r="C5" s="4" t="s">
        <v>5</v>
      </c>
      <c r="D5" s="4" t="s">
        <v>6</v>
      </c>
      <c r="E5" s="4" t="s">
        <v>7</v>
      </c>
      <c r="F5" s="4" t="s">
        <v>8</v>
      </c>
      <c r="G5" s="4" t="s">
        <v>9</v>
      </c>
      <c r="I5" s="133" t="s">
        <v>969</v>
      </c>
      <c r="J5" s="133"/>
      <c r="K5" s="3">
        <v>1</v>
      </c>
    </row>
    <row r="6" spans="1:12" ht="24" customHeight="1" x14ac:dyDescent="0.4">
      <c r="B6" s="137"/>
      <c r="C6" s="6" t="s">
        <v>10</v>
      </c>
      <c r="D6" s="7" t="s">
        <v>10</v>
      </c>
      <c r="E6" s="7"/>
      <c r="F6" s="7"/>
      <c r="G6" s="5" t="s">
        <v>11</v>
      </c>
      <c r="I6" s="132" t="s">
        <v>2</v>
      </c>
      <c r="J6" s="132"/>
    </row>
    <row r="7" spans="1:12" ht="24" customHeight="1" x14ac:dyDescent="0.3">
      <c r="B7" s="137"/>
      <c r="C7" s="9" t="s">
        <v>12</v>
      </c>
      <c r="D7" s="10" t="s">
        <v>12</v>
      </c>
      <c r="E7" s="10"/>
      <c r="F7" s="10"/>
      <c r="G7" s="8" t="s">
        <v>11</v>
      </c>
      <c r="I7" s="115">
        <v>150</v>
      </c>
    </row>
    <row r="8" spans="1:12" ht="24" customHeight="1" x14ac:dyDescent="0.4">
      <c r="B8" s="137"/>
      <c r="C8" s="9" t="s">
        <v>13</v>
      </c>
      <c r="D8" s="10" t="s">
        <v>13</v>
      </c>
      <c r="E8" s="10"/>
      <c r="F8" s="10"/>
      <c r="G8" s="8" t="s">
        <v>11</v>
      </c>
      <c r="I8" s="132" t="s">
        <v>3</v>
      </c>
      <c r="J8" s="132"/>
    </row>
    <row r="9" spans="1:12" ht="24" customHeight="1" x14ac:dyDescent="0.3">
      <c r="B9" s="137"/>
      <c r="C9" s="9" t="s">
        <v>14</v>
      </c>
      <c r="D9" s="10" t="s">
        <v>14</v>
      </c>
      <c r="E9" s="10"/>
      <c r="F9" s="10"/>
      <c r="G9" s="8" t="s">
        <v>11</v>
      </c>
      <c r="I9" s="115">
        <v>1200</v>
      </c>
    </row>
    <row r="10" spans="1:12" ht="24" customHeight="1" x14ac:dyDescent="0.3">
      <c r="B10" s="137"/>
      <c r="C10" s="9" t="s">
        <v>15</v>
      </c>
      <c r="D10" s="10" t="s">
        <v>15</v>
      </c>
      <c r="E10" s="10"/>
      <c r="F10" s="10"/>
      <c r="G10" s="8" t="s">
        <v>11</v>
      </c>
    </row>
    <row r="11" spans="1:12" ht="24" customHeight="1" x14ac:dyDescent="0.3">
      <c r="B11" s="137"/>
      <c r="C11" s="9" t="s">
        <v>16</v>
      </c>
      <c r="D11" s="10" t="s">
        <v>16</v>
      </c>
      <c r="E11" s="10"/>
      <c r="F11" s="10"/>
      <c r="G11" s="8" t="s">
        <v>11</v>
      </c>
    </row>
    <row r="12" spans="1:12" ht="24" customHeight="1" x14ac:dyDescent="0.3">
      <c r="B12" s="137"/>
      <c r="C12" s="9" t="s">
        <v>17</v>
      </c>
      <c r="D12" s="10" t="s">
        <v>17</v>
      </c>
      <c r="E12" s="10"/>
      <c r="F12" s="10"/>
      <c r="G12" s="8" t="s">
        <v>11</v>
      </c>
    </row>
    <row r="13" spans="1:12" ht="24" customHeight="1" x14ac:dyDescent="0.3">
      <c r="B13" s="137"/>
      <c r="C13" s="9" t="s">
        <v>18</v>
      </c>
      <c r="D13" s="10" t="s">
        <v>18</v>
      </c>
      <c r="E13" s="10"/>
      <c r="F13" s="10"/>
      <c r="G13" s="8" t="s">
        <v>11</v>
      </c>
    </row>
    <row r="14" spans="1:12" ht="24" customHeight="1" x14ac:dyDescent="0.3">
      <c r="B14" s="137"/>
      <c r="C14" s="9" t="s">
        <v>19</v>
      </c>
      <c r="D14" s="10" t="s">
        <v>19</v>
      </c>
      <c r="E14" s="10"/>
      <c r="F14" s="10"/>
      <c r="G14" s="8" t="s">
        <v>11</v>
      </c>
    </row>
    <row r="15" spans="1:12" ht="24" customHeight="1" thickBot="1" x14ac:dyDescent="0.35">
      <c r="B15" s="138"/>
      <c r="C15" s="11" t="s">
        <v>20</v>
      </c>
      <c r="D15" s="12" t="s">
        <v>20</v>
      </c>
      <c r="E15" s="12"/>
      <c r="F15" s="12"/>
      <c r="G15" s="13" t="s">
        <v>11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Sheet1</vt:lpstr>
      <vt:lpstr>Setups</vt:lpstr>
      <vt:lpstr>Data In</vt:lpstr>
      <vt:lpstr>Data Out</vt:lpstr>
      <vt:lpstr>Settings</vt:lpstr>
      <vt:lpstr>Manifest</vt:lpstr>
      <vt:lpstr>avertime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  <vt:lpstr>Setups!Print_Area</vt:lpstr>
    </vt:vector>
  </TitlesOfParts>
  <Company>University of Plymouth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Richard Hartley</dc:creator>
  <cp:lastModifiedBy>Richard Hartley</cp:lastModifiedBy>
  <cp:lastPrinted>2024-02-16T09:07:09Z</cp:lastPrinted>
  <dcterms:created xsi:type="dcterms:W3CDTF">2023-12-14T09:32:42Z</dcterms:created>
  <dcterms:modified xsi:type="dcterms:W3CDTF">2025-01-22T13:44:42Z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d5ba3948-a61d-459b-8814-ca8671e98543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