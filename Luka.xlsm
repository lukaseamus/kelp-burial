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ublic\Documents\Balance data\"/>
    </mc:Choice>
  </mc:AlternateContent>
  <xr:revisionPtr revIDLastSave="0" documentId="13_ncr:1_{61FB8C13-5A84-4DF6-8216-DFBF7DDA8CC8}" xr6:coauthVersionLast="47" xr6:coauthVersionMax="47" xr10:uidLastSave="{00000000-0000-0000-0000-000000000000}"/>
  <bookViews>
    <workbookView xWindow="28680" yWindow="-120" windowWidth="29040" windowHeight="15840" xr2:uid="{79B5F999-455D-4D7F-9DB3-D28FD17C10D2}"/>
  </bookViews>
  <sheets>
    <sheet name="Sheet1" sheetId="1" r:id="rId1"/>
    <sheet name="Setups" sheetId="6" r:id="rId2"/>
    <sheet name="Data In" sheetId="5" r:id="rId3"/>
    <sheet name="Data Out" sheetId="4" r:id="rId4"/>
    <sheet name="Settings" sheetId="3" r:id="rId5"/>
    <sheet name="Manifest" sheetId="2" r:id="rId6"/>
  </sheets>
  <definedNames>
    <definedName name="avertime">'Data In'!$A$8:$A$22</definedName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  <definedName name="_xlnm.Print_Area" localSheetId="1">Setups!$C$45:$C$63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1" i="1" l="1" a="1"/>
  <c r="A11" i="1" s="1"/>
  <c r="I6" i="1" a="1"/>
  <c r="I6" i="1" s="1"/>
  <c r="N3" i="1"/>
  <c r="O5" i="1"/>
  <c r="EP78" i="6"/>
  <c r="EO78" i="6"/>
  <c r="EQ78" i="6" s="1"/>
  <c r="EW78" i="6" s="1"/>
  <c r="EM78" i="6"/>
  <c r="EU78" i="6" s="1"/>
  <c r="EK78" i="6"/>
  <c r="EJ78" i="6"/>
  <c r="EL78" i="6" s="1"/>
  <c r="ER78" i="6" s="1"/>
  <c r="Y78" i="6"/>
  <c r="D78" i="6"/>
  <c r="A78" i="6"/>
  <c r="DC78" i="6" s="1"/>
  <c r="EM65" i="6"/>
  <c r="EL65" i="6"/>
  <c r="EN65" i="6" s="1"/>
  <c r="EQ65" i="6" s="1"/>
  <c r="EK65" i="6"/>
  <c r="ER65" i="6" s="1"/>
  <c r="EI65" i="6"/>
  <c r="EH65" i="6"/>
  <c r="EJ65" i="6" s="1"/>
  <c r="EO65" i="6" s="1"/>
  <c r="Y65" i="6"/>
  <c r="D65" i="6"/>
  <c r="A65" i="6"/>
  <c r="C65" i="6" s="1"/>
  <c r="EM64" i="6"/>
  <c r="EL64" i="6"/>
  <c r="EN64" i="6" s="1"/>
  <c r="EQ64" i="6" s="1"/>
  <c r="EK64" i="6"/>
  <c r="ER64" i="6" s="1"/>
  <c r="EI64" i="6"/>
  <c r="EH64" i="6"/>
  <c r="EJ64" i="6" s="1"/>
  <c r="EO64" i="6" s="1"/>
  <c r="DC64" i="6"/>
  <c r="Y64" i="6"/>
  <c r="D64" i="6"/>
  <c r="C64" i="6"/>
  <c r="A64" i="6"/>
  <c r="ER80" i="6"/>
  <c r="EQ80" i="6"/>
  <c r="EW80" i="6" s="1"/>
  <c r="EP80" i="6"/>
  <c r="EO80" i="6"/>
  <c r="EN80" i="6"/>
  <c r="EV80" i="6" s="1"/>
  <c r="EM80" i="6"/>
  <c r="EU80" i="6" s="1"/>
  <c r="EL80" i="6"/>
  <c r="EK80" i="6"/>
  <c r="EJ80" i="6"/>
  <c r="Y80" i="6"/>
  <c r="D80" i="6"/>
  <c r="AC11" i="1"/>
  <c r="EC27" i="6"/>
  <c r="ED27" i="6"/>
  <c r="EE27" i="6"/>
  <c r="EF27" i="6"/>
  <c r="EE26" i="6"/>
  <c r="EF26" i="6"/>
  <c r="ED26" i="6"/>
  <c r="EC26" i="6"/>
  <c r="EN78" i="6" l="1"/>
  <c r="EV78" i="6" s="1"/>
  <c r="C78" i="6"/>
  <c r="DC65" i="6"/>
  <c r="FG27" i="6"/>
  <c r="EX27" i="6"/>
  <c r="EY27" i="6"/>
  <c r="EZ27" i="6"/>
  <c r="FA27" i="6"/>
  <c r="FB27" i="6"/>
  <c r="FC27" i="6"/>
  <c r="FD27" i="6"/>
  <c r="FE27" i="6"/>
  <c r="FF27" i="6"/>
  <c r="EW27" i="6"/>
  <c r="FG26" i="6"/>
  <c r="FF26" i="6"/>
  <c r="EX26" i="6"/>
  <c r="EY26" i="6"/>
  <c r="EZ26" i="6"/>
  <c r="FA26" i="6"/>
  <c r="FB26" i="6"/>
  <c r="FC26" i="6"/>
  <c r="FD26" i="6"/>
  <c r="FE26" i="6"/>
  <c r="EW26" i="6"/>
  <c r="EZ85" i="6" l="1"/>
  <c r="EY85" i="6"/>
  <c r="EW85" i="6"/>
  <c r="EV85" i="6"/>
  <c r="EN85" i="6"/>
  <c r="EO85" i="6" s="1"/>
  <c r="EJ85" i="6"/>
  <c r="EK85" i="6" s="1"/>
  <c r="EL85" i="6" s="1"/>
  <c r="EI85" i="6"/>
  <c r="EH85" i="6"/>
  <c r="DT85" i="6"/>
  <c r="EU85" i="6" s="1"/>
  <c r="DS85" i="6"/>
  <c r="ET85" i="6" s="1"/>
  <c r="DR85" i="6"/>
  <c r="ES85" i="6" s="1"/>
  <c r="DQ85" i="6"/>
  <c r="ER85" i="6" s="1"/>
  <c r="DP85" i="6"/>
  <c r="EQ85" i="6" s="1"/>
  <c r="DO85" i="6"/>
  <c r="EP85" i="6" s="1"/>
  <c r="EX85" i="6" l="1"/>
  <c r="FA85" i="6"/>
  <c r="EM85" i="6"/>
  <c r="D81" i="6"/>
  <c r="Y81" i="6"/>
  <c r="EK81" i="6"/>
  <c r="EL81" i="6"/>
  <c r="ET81" i="6" s="1"/>
  <c r="EN81" i="6"/>
  <c r="EP81" i="6"/>
  <c r="EQ81" i="6"/>
  <c r="D79" i="6"/>
  <c r="Y79" i="6"/>
  <c r="EJ79" i="6"/>
  <c r="EK79" i="6"/>
  <c r="EM79" i="6"/>
  <c r="EU79" i="6" s="1"/>
  <c r="EO79" i="6"/>
  <c r="EP79" i="6"/>
  <c r="D82" i="6"/>
  <c r="Y82" i="6"/>
  <c r="EH82" i="6"/>
  <c r="EI82" i="6"/>
  <c r="D83" i="6"/>
  <c r="Y83" i="6"/>
  <c r="EH83" i="6"/>
  <c r="EI83" i="6"/>
  <c r="EK83" i="6"/>
  <c r="D84" i="6"/>
  <c r="Y84" i="6"/>
  <c r="EH84" i="6"/>
  <c r="EI84" i="6"/>
  <c r="EK84" i="6"/>
  <c r="EN74" i="6"/>
  <c r="EN75" i="6"/>
  <c r="EN76" i="6"/>
  <c r="EN77" i="6"/>
  <c r="EM75" i="6"/>
  <c r="EM76" i="6"/>
  <c r="EM77" i="6"/>
  <c r="EM74" i="6"/>
  <c r="EK74" i="6"/>
  <c r="EK75" i="6"/>
  <c r="EK76" i="6"/>
  <c r="EK77" i="6"/>
  <c r="EH72" i="6"/>
  <c r="EI72" i="6"/>
  <c r="EJ72" i="6" s="1"/>
  <c r="EP72" i="6" s="1"/>
  <c r="EK72" i="6"/>
  <c r="ES72" i="6" s="1"/>
  <c r="EM72" i="6"/>
  <c r="EN72" i="6"/>
  <c r="EH73" i="6"/>
  <c r="EI73" i="6"/>
  <c r="EK73" i="6"/>
  <c r="EM73" i="6"/>
  <c r="EO73" i="6" s="1"/>
  <c r="EU73" i="6" s="1"/>
  <c r="EN73" i="6"/>
  <c r="ER81" i="6" l="1"/>
  <c r="EX81" i="6" s="1"/>
  <c r="EJ82" i="6"/>
  <c r="EL82" i="6" s="1"/>
  <c r="EV81" i="6"/>
  <c r="EO72" i="6"/>
  <c r="EU72" i="6" s="1"/>
  <c r="EM81" i="6"/>
  <c r="ES81" i="6" s="1"/>
  <c r="EL79" i="6"/>
  <c r="ER79" i="6" s="1"/>
  <c r="EU81" i="6"/>
  <c r="EO81" i="6"/>
  <c r="EW81" i="6" s="1"/>
  <c r="EL84" i="6"/>
  <c r="EO84" i="6" s="1"/>
  <c r="EN79" i="6"/>
  <c r="EV79" i="6" s="1"/>
  <c r="EL83" i="6"/>
  <c r="EO83" i="6" s="1"/>
  <c r="EJ83" i="6"/>
  <c r="EM83" i="6" s="1"/>
  <c r="EQ79" i="6"/>
  <c r="EW79" i="6" s="1"/>
  <c r="ES73" i="6"/>
  <c r="EJ84" i="6"/>
  <c r="EM84" i="6" s="1"/>
  <c r="EJ73" i="6"/>
  <c r="EP73" i="6" s="1"/>
  <c r="EL73" i="6"/>
  <c r="ET73" i="6" s="1"/>
  <c r="EL72" i="6"/>
  <c r="ET72" i="6" s="1"/>
  <c r="EN71" i="6" l="1"/>
  <c r="EM71" i="6"/>
  <c r="EK71" i="6"/>
  <c r="EO77" i="6"/>
  <c r="EU77" i="6" s="1"/>
  <c r="EI77" i="6"/>
  <c r="EH77" i="6"/>
  <c r="EJ77" i="6" s="1"/>
  <c r="EP77" i="6" s="1"/>
  <c r="Y77" i="6"/>
  <c r="D77" i="6"/>
  <c r="EI76" i="6"/>
  <c r="EH76" i="6"/>
  <c r="EJ76" i="6" s="1"/>
  <c r="EP76" i="6" s="1"/>
  <c r="Y76" i="6"/>
  <c r="D76" i="6"/>
  <c r="EI75" i="6"/>
  <c r="EH75" i="6"/>
  <c r="EJ75" i="6" s="1"/>
  <c r="EP75" i="6" s="1"/>
  <c r="Y75" i="6"/>
  <c r="D75" i="6"/>
  <c r="EO74" i="6"/>
  <c r="EU74" i="6" s="1"/>
  <c r="EI74" i="6"/>
  <c r="EH74" i="6"/>
  <c r="Y74" i="6"/>
  <c r="D74" i="6"/>
  <c r="Y73" i="6"/>
  <c r="D73" i="6"/>
  <c r="Y72" i="6"/>
  <c r="D72" i="6"/>
  <c r="EI71" i="6"/>
  <c r="EH71" i="6"/>
  <c r="Y71" i="6"/>
  <c r="D71" i="6"/>
  <c r="F11" i="1"/>
  <c r="F10" i="1"/>
  <c r="F9" i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6" i="6"/>
  <c r="D67" i="6"/>
  <c r="D68" i="6"/>
  <c r="D69" i="6"/>
  <c r="D70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4" i="6"/>
  <c r="D3" i="6"/>
  <c r="EH68" i="6"/>
  <c r="EJ68" i="6" s="1"/>
  <c r="EN68" i="6" s="1"/>
  <c r="EI68" i="6"/>
  <c r="EK68" i="6"/>
  <c r="EL68" i="6"/>
  <c r="EM68" i="6" s="1"/>
  <c r="EP68" i="6" s="1"/>
  <c r="EH69" i="6"/>
  <c r="EI69" i="6"/>
  <c r="EK69" i="6"/>
  <c r="EM69" i="6" s="1"/>
  <c r="EP69" i="6" s="1"/>
  <c r="EL69" i="6"/>
  <c r="EH70" i="6"/>
  <c r="EI70" i="6"/>
  <c r="EK70" i="6"/>
  <c r="EL70" i="6"/>
  <c r="EL67" i="6"/>
  <c r="EK67" i="6"/>
  <c r="EM67" i="6" s="1"/>
  <c r="EP67" i="6" s="1"/>
  <c r="EI67" i="6"/>
  <c r="EH67" i="6"/>
  <c r="EJ67" i="6" s="1"/>
  <c r="EN67" i="6" s="1"/>
  <c r="EH66" i="6"/>
  <c r="EI66" i="6"/>
  <c r="EK66" i="6"/>
  <c r="EM66" i="6" s="1"/>
  <c r="EP66" i="6" s="1"/>
  <c r="EL66" i="6"/>
  <c r="EM70" i="6" l="1"/>
  <c r="EP70" i="6" s="1"/>
  <c r="EJ70" i="6"/>
  <c r="EN70" i="6" s="1"/>
  <c r="EL71" i="6"/>
  <c r="ET71" i="6" s="1"/>
  <c r="EL75" i="6"/>
  <c r="ET75" i="6" s="1"/>
  <c r="ES75" i="6"/>
  <c r="ES77" i="6"/>
  <c r="EL77" i="6"/>
  <c r="ET77" i="6" s="1"/>
  <c r="EJ71" i="6"/>
  <c r="EP71" i="6" s="1"/>
  <c r="ES71" i="6"/>
  <c r="EJ66" i="6"/>
  <c r="EN66" i="6" s="1"/>
  <c r="EJ69" i="6"/>
  <c r="EN69" i="6" s="1"/>
  <c r="EJ74" i="6"/>
  <c r="EP74" i="6" s="1"/>
  <c r="EL74" i="6"/>
  <c r="ET74" i="6" s="1"/>
  <c r="ES74" i="6"/>
  <c r="EL76" i="6"/>
  <c r="ET76" i="6" s="1"/>
  <c r="ES76" i="6"/>
  <c r="EO76" i="6"/>
  <c r="EU76" i="6" s="1"/>
  <c r="EO71" i="6"/>
  <c r="EU71" i="6" s="1"/>
  <c r="EO75" i="6"/>
  <c r="EU75" i="6" s="1"/>
  <c r="EL25" i="6"/>
  <c r="EL23" i="6"/>
  <c r="EL21" i="6"/>
  <c r="EL20" i="6"/>
  <c r="EL19" i="6"/>
  <c r="EI4" i="6"/>
  <c r="B5" i="1"/>
  <c r="G9" i="1"/>
  <c r="H9" i="1" s="1"/>
  <c r="G10" i="1"/>
  <c r="H10" i="1" s="1"/>
  <c r="G11" i="1"/>
  <c r="H11" i="1" s="1"/>
  <c r="BC1" i="6"/>
  <c r="DB1" i="6"/>
  <c r="C11" i="1"/>
  <c r="C10" i="1"/>
  <c r="C9" i="1"/>
  <c r="C8" i="1"/>
  <c r="L4" i="1"/>
  <c r="N5" i="1"/>
  <c r="FX41" i="6"/>
  <c r="FW41" i="6"/>
  <c r="FV41" i="6"/>
  <c r="FU41" i="6"/>
  <c r="FT41" i="6"/>
  <c r="FS41" i="6"/>
  <c r="FR41" i="6"/>
  <c r="FQ41" i="6"/>
  <c r="FP41" i="6"/>
  <c r="FO41" i="6"/>
  <c r="FN41" i="6"/>
  <c r="FM41" i="6"/>
  <c r="FL41" i="6"/>
  <c r="FK41" i="6"/>
  <c r="EK6" i="6" l="1"/>
  <c r="EI1" i="6"/>
  <c r="EH16" i="6"/>
  <c r="B7" i="1"/>
  <c r="C7" i="1"/>
  <c r="CF6" i="1"/>
  <c r="GE1" i="6"/>
  <c r="EI54" i="6"/>
  <c r="EH54" i="6"/>
  <c r="EM52" i="6"/>
  <c r="EN52" i="6"/>
  <c r="EO52" i="6"/>
  <c r="EL52" i="6"/>
  <c r="EI52" i="6"/>
  <c r="EJ52" i="6"/>
  <c r="EK52" i="6"/>
  <c r="EH52" i="6"/>
  <c r="EI51" i="6"/>
  <c r="EJ51" i="6"/>
  <c r="EH51" i="6"/>
  <c r="EL51" i="6"/>
  <c r="EM51" i="6"/>
  <c r="EK51" i="6"/>
  <c r="EH50" i="6"/>
  <c r="EI50" i="6" s="1"/>
  <c r="EH49" i="6"/>
  <c r="EI49" i="6"/>
  <c r="EI48" i="6"/>
  <c r="EH48" i="6"/>
  <c r="EJ46" i="6"/>
  <c r="EI46" i="6" s="1"/>
  <c r="EH46" i="6"/>
  <c r="EJ45" i="6"/>
  <c r="EH45" i="6"/>
  <c r="EJ44" i="6"/>
  <c r="EK44" i="6"/>
  <c r="EL44" i="6"/>
  <c r="EM44" i="6"/>
  <c r="EN44" i="6"/>
  <c r="EO44" i="6"/>
  <c r="EP44" i="6"/>
  <c r="EQ44" i="6"/>
  <c r="ER44" i="6"/>
  <c r="EI44" i="6"/>
  <c r="EH44" i="6"/>
  <c r="EK25" i="6"/>
  <c r="EK23" i="6"/>
  <c r="EH23" i="6"/>
  <c r="EI23" i="6"/>
  <c r="EH24" i="6"/>
  <c r="EI24" i="6"/>
  <c r="EH25" i="6"/>
  <c r="EI25" i="6"/>
  <c r="EI22" i="6"/>
  <c r="EH22" i="6"/>
  <c r="EP21" i="6"/>
  <c r="EO21" i="6"/>
  <c r="EP19" i="6"/>
  <c r="EO19" i="6"/>
  <c r="EK19" i="6"/>
  <c r="EK20" i="6"/>
  <c r="EN20" i="6"/>
  <c r="EK21" i="6"/>
  <c r="EL18" i="6"/>
  <c r="EK18" i="6"/>
  <c r="EH17" i="6"/>
  <c r="EI17" i="6"/>
  <c r="EH18" i="6"/>
  <c r="EI18" i="6"/>
  <c r="EH19" i="6"/>
  <c r="EI19" i="6"/>
  <c r="EH20" i="6"/>
  <c r="EI20" i="6"/>
  <c r="EH21" i="6"/>
  <c r="EI21" i="6"/>
  <c r="EI16" i="6"/>
  <c r="ER15" i="6"/>
  <c r="ER13" i="6"/>
  <c r="EN13" i="6"/>
  <c r="EN14" i="6"/>
  <c r="EN15" i="6"/>
  <c r="EN12" i="6"/>
  <c r="EK12" i="6"/>
  <c r="EK13" i="6"/>
  <c r="EK14" i="6"/>
  <c r="EK15" i="6"/>
  <c r="EK11" i="6"/>
  <c r="EK10" i="6"/>
  <c r="EH10" i="6"/>
  <c r="EI10" i="6"/>
  <c r="EH11" i="6"/>
  <c r="EI11" i="6"/>
  <c r="EH12" i="6"/>
  <c r="EI12" i="6"/>
  <c r="EH13" i="6"/>
  <c r="EI13" i="6"/>
  <c r="EH14" i="6"/>
  <c r="EI14" i="6"/>
  <c r="EH15" i="6"/>
  <c r="EI15" i="6"/>
  <c r="EI9" i="6"/>
  <c r="EH9" i="6"/>
  <c r="EI8" i="6"/>
  <c r="EH8" i="6"/>
  <c r="EO7" i="6"/>
  <c r="EN7" i="6"/>
  <c r="EJ6" i="6"/>
  <c r="EK5" i="6"/>
  <c r="EJ5" i="6"/>
  <c r="EM7" i="6"/>
  <c r="EL7" i="6"/>
  <c r="EI7" i="6"/>
  <c r="EK7" i="6" s="1"/>
  <c r="EH7" i="6"/>
  <c r="EJ7" i="6" s="1"/>
  <c r="EH6" i="6"/>
  <c r="EI6" i="6"/>
  <c r="EH5" i="6"/>
  <c r="EI5" i="6"/>
  <c r="EL4" i="6"/>
  <c r="EJ4" i="6"/>
  <c r="EK4" i="6"/>
  <c r="EH4" i="6"/>
  <c r="A4" i="6"/>
  <c r="A5" i="6" s="1"/>
  <c r="DC103" i="6"/>
  <c r="DC104" i="6"/>
  <c r="DC105" i="6"/>
  <c r="DC106" i="6"/>
  <c r="DC107" i="6"/>
  <c r="DC108" i="6"/>
  <c r="DC109" i="6"/>
  <c r="DC110" i="6"/>
  <c r="DC111" i="6"/>
  <c r="DC112" i="6"/>
  <c r="DC113" i="6"/>
  <c r="DC114" i="6"/>
  <c r="DC115" i="6"/>
  <c r="DC116" i="6"/>
  <c r="DC117" i="6"/>
  <c r="DC118" i="6"/>
  <c r="DC119" i="6"/>
  <c r="DC120" i="6"/>
  <c r="DC121" i="6"/>
  <c r="DC122" i="6"/>
  <c r="DC123" i="6"/>
  <c r="DC3" i="6"/>
  <c r="EJ9" i="6" l="1"/>
  <c r="EJ8" i="6"/>
  <c r="CF7" i="1"/>
  <c r="EN21" i="6"/>
  <c r="EJ25" i="6"/>
  <c r="EM18" i="6"/>
  <c r="EO15" i="6"/>
  <c r="EP15" i="6" s="1"/>
  <c r="EO13" i="6"/>
  <c r="EP13" i="6" s="1"/>
  <c r="EN23" i="6"/>
  <c r="EJ12" i="6"/>
  <c r="A1" i="6"/>
  <c r="EM21" i="6"/>
  <c r="EJ17" i="6"/>
  <c r="ER21" i="6"/>
  <c r="EN19" i="6"/>
  <c r="EJ48" i="6"/>
  <c r="ES52" i="6"/>
  <c r="EJ10" i="6"/>
  <c r="ES13" i="6"/>
  <c r="ET13" i="6" s="1"/>
  <c r="EN51" i="6"/>
  <c r="ER52" i="6"/>
  <c r="EP51" i="6"/>
  <c r="EQ52" i="6"/>
  <c r="EM45" i="6"/>
  <c r="EJ13" i="6"/>
  <c r="EO14" i="6"/>
  <c r="EP14" i="6" s="1"/>
  <c r="EL12" i="6"/>
  <c r="EM12" i="6" s="1"/>
  <c r="EP52" i="6"/>
  <c r="EJ11" i="6"/>
  <c r="EM20" i="6"/>
  <c r="EJ22" i="6"/>
  <c r="EJ19" i="6"/>
  <c r="EJ15" i="6"/>
  <c r="EL10" i="6"/>
  <c r="EM10" i="6" s="1"/>
  <c r="EJ18" i="6"/>
  <c r="EK46" i="6"/>
  <c r="EO51" i="6"/>
  <c r="EL11" i="6"/>
  <c r="EM11" i="6" s="1"/>
  <c r="EL46" i="6"/>
  <c r="EL15" i="6"/>
  <c r="EM15" i="6" s="1"/>
  <c r="ES15" i="6"/>
  <c r="EU15" i="6" s="1"/>
  <c r="EJ54" i="6"/>
  <c r="EJ16" i="6"/>
  <c r="ER19" i="6"/>
  <c r="EJ49" i="6"/>
  <c r="EJ21" i="6"/>
  <c r="EN18" i="6"/>
  <c r="EN25" i="6"/>
  <c r="EJ23" i="6"/>
  <c r="EJ20" i="6"/>
  <c r="EQ19" i="6"/>
  <c r="EM19" i="6"/>
  <c r="EO12" i="6"/>
  <c r="EJ14" i="6"/>
  <c r="EJ24" i="6"/>
  <c r="EL14" i="6"/>
  <c r="EM14" i="6" s="1"/>
  <c r="EL13" i="6"/>
  <c r="EM13" i="6" s="1"/>
  <c r="EQ21" i="6"/>
  <c r="DC4" i="6"/>
  <c r="A6" i="6"/>
  <c r="A7" i="6" s="1"/>
  <c r="DC5" i="6"/>
  <c r="Y101" i="6"/>
  <c r="Y102" i="6"/>
  <c r="C4" i="6"/>
  <c r="Y30" i="6"/>
  <c r="Y4" i="6"/>
  <c r="Y7" i="6"/>
  <c r="ES80" i="6" l="1"/>
  <c r="ET80" i="6" s="1"/>
  <c r="EP64" i="6"/>
  <c r="EP65" i="6"/>
  <c r="ES78" i="6"/>
  <c r="ET78" i="6" s="1"/>
  <c r="EN83" i="6"/>
  <c r="EN84" i="6"/>
  <c r="ES79" i="6"/>
  <c r="ET79" i="6" s="1"/>
  <c r="EK82" i="6"/>
  <c r="EQ73" i="6"/>
  <c r="ER73" i="6" s="1"/>
  <c r="EQ72" i="6"/>
  <c r="ER72" i="6" s="1"/>
  <c r="EQ75" i="6"/>
  <c r="ER75" i="6" s="1"/>
  <c r="EQ76" i="6"/>
  <c r="ER76" i="6" s="1"/>
  <c r="EQ74" i="6"/>
  <c r="ER74" i="6" s="1"/>
  <c r="EQ71" i="6"/>
  <c r="ER71" i="6" s="1"/>
  <c r="EQ77" i="6"/>
  <c r="ER77" i="6" s="1"/>
  <c r="EO69" i="6"/>
  <c r="EO67" i="6"/>
  <c r="EO68" i="6"/>
  <c r="EO70" i="6"/>
  <c r="EO66" i="6"/>
  <c r="EQ15" i="6"/>
  <c r="EQ13" i="6"/>
  <c r="EQ14" i="6"/>
  <c r="EM25" i="6"/>
  <c r="EM23" i="6"/>
  <c r="EU13" i="6"/>
  <c r="ET15" i="6"/>
  <c r="EQ12" i="6"/>
  <c r="EP12" i="6"/>
  <c r="DC6" i="6"/>
  <c r="A8" i="6"/>
  <c r="C8" i="6" s="1"/>
  <c r="DC7" i="6"/>
  <c r="C7" i="6"/>
  <c r="C6" i="6"/>
  <c r="C5" i="6"/>
  <c r="Y9" i="6"/>
  <c r="Y10" i="6"/>
  <c r="Y12" i="6"/>
  <c r="Y13" i="6"/>
  <c r="Y16" i="6"/>
  <c r="Y22" i="6"/>
  <c r="Y23" i="6"/>
  <c r="Y18" i="6"/>
  <c r="Y19" i="6"/>
  <c r="Y45" i="6"/>
  <c r="Y46" i="6"/>
  <c r="Y33" i="6"/>
  <c r="Y34" i="6"/>
  <c r="Y35" i="6"/>
  <c r="Y44" i="6"/>
  <c r="Y47" i="6"/>
  <c r="Y50" i="6"/>
  <c r="Y51" i="6"/>
  <c r="Y52" i="6"/>
  <c r="Y53" i="6"/>
  <c r="Y54" i="6"/>
  <c r="Y11" i="6"/>
  <c r="Y14" i="6"/>
  <c r="Y15" i="6"/>
  <c r="Y17" i="6"/>
  <c r="Y24" i="6"/>
  <c r="Y25" i="6"/>
  <c r="Y20" i="6"/>
  <c r="Y21" i="6"/>
  <c r="Y55" i="6"/>
  <c r="Y56" i="6"/>
  <c r="Y57" i="6"/>
  <c r="Y58" i="6"/>
  <c r="Y59" i="6"/>
  <c r="Y48" i="6"/>
  <c r="Y49" i="6"/>
  <c r="Y60" i="6"/>
  <c r="Y26" i="6"/>
  <c r="Y27" i="6"/>
  <c r="Y43" i="6"/>
  <c r="Y32" i="6"/>
  <c r="Y31" i="6"/>
  <c r="Y29" i="6"/>
  <c r="Y28" i="6"/>
  <c r="Y37" i="6"/>
  <c r="Y38" i="6"/>
  <c r="Y39" i="6"/>
  <c r="Y40" i="6"/>
  <c r="Y41" i="6"/>
  <c r="Y42" i="6"/>
  <c r="Y61" i="6"/>
  <c r="Y36" i="6"/>
  <c r="Y62" i="6"/>
  <c r="Y63" i="6"/>
  <c r="Y66" i="6"/>
  <c r="Y67" i="6"/>
  <c r="Y68" i="6"/>
  <c r="Y69" i="6"/>
  <c r="Y70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A9" i="6" l="1"/>
  <c r="DC8" i="6"/>
  <c r="C6" i="1"/>
  <c r="C5" i="1"/>
  <c r="C4" i="1"/>
  <c r="C3" i="1"/>
  <c r="C2" i="1"/>
  <c r="Y8" i="6"/>
  <c r="A10" i="6" l="1"/>
  <c r="DC9" i="6"/>
  <c r="C9" i="6"/>
  <c r="Y5" i="6"/>
  <c r="Y6" i="6"/>
  <c r="Y3" i="6"/>
  <c r="C3" i="6"/>
  <c r="U4" i="1"/>
  <c r="DC10" i="6" l="1"/>
  <c r="A11" i="6"/>
  <c r="C10" i="6"/>
  <c r="A12" i="6" l="1"/>
  <c r="DC11" i="6"/>
  <c r="C11" i="6"/>
  <c r="N2" i="1" a="1"/>
  <c r="N2" i="1" s="1"/>
  <c r="N1" i="1"/>
  <c r="A13" i="6" l="1"/>
  <c r="DC12" i="6"/>
  <c r="C12" i="6"/>
  <c r="DC13" i="6" l="1"/>
  <c r="A14" i="6"/>
  <c r="C13" i="6"/>
  <c r="EM36" i="6" l="1"/>
  <c r="EK37" i="6"/>
  <c r="EO29" i="6"/>
  <c r="EN30" i="6"/>
  <c r="EH34" i="6"/>
  <c r="EI38" i="6"/>
  <c r="EK33" i="6"/>
  <c r="EK35" i="6"/>
  <c r="EO36" i="6"/>
  <c r="ER31" i="6"/>
  <c r="EH40" i="6"/>
  <c r="EJ29" i="6"/>
  <c r="EL33" i="6"/>
  <c r="EL35" i="6"/>
  <c r="EP36" i="6"/>
  <c r="EQ31" i="6"/>
  <c r="ES36" i="6"/>
  <c r="EN40" i="6"/>
  <c r="FD28" i="6"/>
  <c r="ER29" i="6"/>
  <c r="EL40" i="6"/>
  <c r="EL42" i="6"/>
  <c r="EQ43" i="6"/>
  <c r="EH31" i="6"/>
  <c r="EP35" i="6"/>
  <c r="EJ39" i="6"/>
  <c r="ER28" i="6"/>
  <c r="EV28" i="6"/>
  <c r="ER30" i="6"/>
  <c r="EP31" i="6"/>
  <c r="EO32" i="6"/>
  <c r="EN33" i="6"/>
  <c r="EI34" i="6"/>
  <c r="FF28" i="6"/>
  <c r="ES30" i="6"/>
  <c r="EO33" i="6"/>
  <c r="EV29" i="6"/>
  <c r="ER32" i="6"/>
  <c r="EU36" i="6"/>
  <c r="EL34" i="6"/>
  <c r="EJ36" i="6"/>
  <c r="EV36" i="6"/>
  <c r="EP38" i="6"/>
  <c r="EL29" i="6"/>
  <c r="EK30" i="6"/>
  <c r="EZ31" i="6"/>
  <c r="EU31" i="6"/>
  <c r="EH37" i="6"/>
  <c r="EI41" i="6"/>
  <c r="FD41" i="6" s="1"/>
  <c r="EI29" i="6"/>
  <c r="EJ37" i="6"/>
  <c r="ER38" i="6"/>
  <c r="EN39" i="6"/>
  <c r="EM41" i="6"/>
  <c r="FH41" i="6" s="1"/>
  <c r="DC14" i="6"/>
  <c r="A15" i="6"/>
  <c r="C14" i="6"/>
  <c r="EL31" i="6" l="1"/>
  <c r="ES38" i="6"/>
  <c r="EM32" i="6"/>
  <c r="EW38" i="6"/>
  <c r="EN34" i="6"/>
  <c r="EI36" i="6"/>
  <c r="EJ32" i="6"/>
  <c r="EO34" i="6"/>
  <c r="FK34" i="6" s="1"/>
  <c r="EX28" i="6"/>
  <c r="EI42" i="6"/>
  <c r="ET31" i="6"/>
  <c r="FE28" i="6"/>
  <c r="FG28" i="6"/>
  <c r="EK34" i="6"/>
  <c r="EU32" i="6"/>
  <c r="EM39" i="6"/>
  <c r="EI30" i="6"/>
  <c r="EY31" i="6"/>
  <c r="FU31" i="6" s="1"/>
  <c r="ET36" i="6"/>
  <c r="FP36" i="6" s="1"/>
  <c r="EM42" i="6"/>
  <c r="FF42" i="6" s="1"/>
  <c r="EH43" i="6"/>
  <c r="FI43" i="6" s="1"/>
  <c r="EQ36" i="6"/>
  <c r="EO42" i="6"/>
  <c r="EH32" i="6"/>
  <c r="EQ29" i="6"/>
  <c r="EH33" i="6"/>
  <c r="EP29" i="6"/>
  <c r="ET38" i="6"/>
  <c r="EK31" i="6"/>
  <c r="EN43" i="6"/>
  <c r="FJ43" i="6" s="1"/>
  <c r="EL36" i="6"/>
  <c r="FH36" i="6" s="1"/>
  <c r="EW31" i="6"/>
  <c r="FS31" i="6" s="1"/>
  <c r="EO41" i="6"/>
  <c r="FJ41" i="6" s="1"/>
  <c r="ER43" i="6"/>
  <c r="EI37" i="6"/>
  <c r="EQ32" i="6"/>
  <c r="EY38" i="6"/>
  <c r="EM35" i="6"/>
  <c r="EN38" i="6"/>
  <c r="FJ38" i="6" s="1"/>
  <c r="EP43" i="6"/>
  <c r="FL43" i="6" s="1"/>
  <c r="FC28" i="6"/>
  <c r="EO43" i="6"/>
  <c r="FB28" i="6"/>
  <c r="EL37" i="6"/>
  <c r="EI39" i="6"/>
  <c r="EM30" i="6"/>
  <c r="FA28" i="6"/>
  <c r="EK43" i="6"/>
  <c r="ES29" i="6"/>
  <c r="EN31" i="6"/>
  <c r="EV32" i="6"/>
  <c r="EL41" i="6"/>
  <c r="FG41" i="6" s="1"/>
  <c r="EK38" i="6"/>
  <c r="EJ30" i="6"/>
  <c r="EM40" i="6"/>
  <c r="ES28" i="6"/>
  <c r="EJ31" i="6"/>
  <c r="EW36" i="6"/>
  <c r="EH38" i="6"/>
  <c r="EK29" i="6"/>
  <c r="EX38" i="6"/>
  <c r="FT38" i="6" s="1"/>
  <c r="EI31" i="6"/>
  <c r="FM31" i="6" s="1"/>
  <c r="EO35" i="6"/>
  <c r="EM33" i="6"/>
  <c r="FN33" i="6" s="1"/>
  <c r="EJ34" i="6"/>
  <c r="EK42" i="6"/>
  <c r="EJ42" i="6"/>
  <c r="EN36" i="6"/>
  <c r="EH35" i="6"/>
  <c r="FO35" i="6" s="1"/>
  <c r="EN29" i="6"/>
  <c r="FJ29" i="6" s="1"/>
  <c r="EL32" i="6"/>
  <c r="FS32" i="6" s="1"/>
  <c r="ES32" i="6"/>
  <c r="FO32" i="6" s="1"/>
  <c r="EH39" i="6"/>
  <c r="FD39" i="6" s="1"/>
  <c r="EO40" i="6"/>
  <c r="EP30" i="6"/>
  <c r="EL30" i="6"/>
  <c r="EW28" i="6"/>
  <c r="EI33" i="6"/>
  <c r="EL38" i="6"/>
  <c r="EJ41" i="6"/>
  <c r="FE41" i="6" s="1"/>
  <c r="EP32" i="6"/>
  <c r="EN32" i="6"/>
  <c r="FJ32" i="6" s="1"/>
  <c r="EU29" i="6"/>
  <c r="FQ29" i="6" s="1"/>
  <c r="EK40" i="6"/>
  <c r="FX40" i="6" s="1"/>
  <c r="EJ40" i="6"/>
  <c r="EJ35" i="6"/>
  <c r="EM43" i="6"/>
  <c r="EZ28" i="6"/>
  <c r="ET29" i="6"/>
  <c r="EH30" i="6"/>
  <c r="FS30" i="6" s="1"/>
  <c r="EH42" i="6"/>
  <c r="FW42" i="6" s="1"/>
  <c r="EP39" i="6"/>
  <c r="FL39" i="6" s="1"/>
  <c r="EV31" i="6"/>
  <c r="FR31" i="6" s="1"/>
  <c r="EJ43" i="6"/>
  <c r="FK43" i="6" s="1"/>
  <c r="EH36" i="6"/>
  <c r="FT36" i="6" s="1"/>
  <c r="EM29" i="6"/>
  <c r="EM34" i="6"/>
  <c r="EK41" i="6"/>
  <c r="FF41" i="6" s="1"/>
  <c r="EN42" i="6"/>
  <c r="ER36" i="6"/>
  <c r="EO38" i="6"/>
  <c r="FK38" i="6" s="1"/>
  <c r="ET28" i="6"/>
  <c r="EO31" i="6"/>
  <c r="FK31" i="6" s="1"/>
  <c r="EU28" i="6"/>
  <c r="EV38" i="6"/>
  <c r="FR38" i="6" s="1"/>
  <c r="EI43" i="6"/>
  <c r="EU38" i="6"/>
  <c r="EJ33" i="6"/>
  <c r="EN41" i="6"/>
  <c r="FI41" i="6" s="1"/>
  <c r="EI32" i="6"/>
  <c r="FW32" i="6" s="1"/>
  <c r="EM31" i="6"/>
  <c r="FI31" i="6" s="1"/>
  <c r="EO30" i="6"/>
  <c r="FO30" i="6" s="1"/>
  <c r="EQ38" i="6"/>
  <c r="FM38" i="6" s="1"/>
  <c r="EI40" i="6"/>
  <c r="FS40" i="6" s="1"/>
  <c r="EK36" i="6"/>
  <c r="FD36" i="6" s="1"/>
  <c r="EL43" i="6"/>
  <c r="EY28" i="6"/>
  <c r="GH28" i="6" s="1"/>
  <c r="ET32" i="6"/>
  <c r="EL39" i="6"/>
  <c r="EK39" i="6"/>
  <c r="EM38" i="6"/>
  <c r="EN35" i="6"/>
  <c r="FJ35" i="6" s="1"/>
  <c r="ES31" i="6"/>
  <c r="EI35" i="6"/>
  <c r="FP35" i="6" s="1"/>
  <c r="EQ30" i="6"/>
  <c r="FX30" i="6" s="1"/>
  <c r="EH29" i="6"/>
  <c r="FP29" i="6" s="1"/>
  <c r="EJ38" i="6"/>
  <c r="FN38" i="6" s="1"/>
  <c r="EQ35" i="6"/>
  <c r="EM37" i="6"/>
  <c r="EX31" i="6"/>
  <c r="EK32" i="6"/>
  <c r="EO39" i="6"/>
  <c r="FJ42" i="6"/>
  <c r="FQ37" i="6"/>
  <c r="FP37" i="6"/>
  <c r="FV37" i="6"/>
  <c r="FD37" i="6"/>
  <c r="FT37" i="6"/>
  <c r="FO37" i="6"/>
  <c r="FS37" i="6"/>
  <c r="FN37" i="6"/>
  <c r="FR37" i="6"/>
  <c r="FM37" i="6"/>
  <c r="FL37" i="6"/>
  <c r="FK37" i="6"/>
  <c r="FJ37" i="6"/>
  <c r="FX37" i="6"/>
  <c r="FW37" i="6"/>
  <c r="FU37" i="6"/>
  <c r="FI37" i="6"/>
  <c r="FF43" i="6"/>
  <c r="FS35" i="6"/>
  <c r="FV35" i="6"/>
  <c r="FQ35" i="6"/>
  <c r="FT39" i="6"/>
  <c r="FF34" i="6"/>
  <c r="FI30" i="6"/>
  <c r="FV36" i="6"/>
  <c r="FK29" i="6"/>
  <c r="FX42" i="6"/>
  <c r="FR42" i="6"/>
  <c r="FM42" i="6"/>
  <c r="FH30" i="6"/>
  <c r="FS34" i="6"/>
  <c r="FD34" i="6"/>
  <c r="FL34" i="6"/>
  <c r="FX34" i="6"/>
  <c r="FH37" i="6"/>
  <c r="FE35" i="6"/>
  <c r="FE29" i="6"/>
  <c r="FN31" i="6"/>
  <c r="FH35" i="6"/>
  <c r="FG37" i="6"/>
  <c r="FD29" i="6"/>
  <c r="FW29" i="6"/>
  <c r="FM30" i="6"/>
  <c r="FG32" i="6"/>
  <c r="FQ30" i="6"/>
  <c r="FW30" i="6"/>
  <c r="FF36" i="6"/>
  <c r="FR33" i="6"/>
  <c r="FG35" i="6"/>
  <c r="FF37" i="6"/>
  <c r="FI29" i="6"/>
  <c r="FG31" i="6"/>
  <c r="FF29" i="6"/>
  <c r="FO29" i="6"/>
  <c r="FE31" i="6"/>
  <c r="FS43" i="6"/>
  <c r="FR32" i="6"/>
  <c r="FL35" i="6"/>
  <c r="FQ31" i="6"/>
  <c r="FE37" i="6"/>
  <c r="FN29" i="6"/>
  <c r="FH42" i="6"/>
  <c r="FL30" i="6"/>
  <c r="DC15" i="6"/>
  <c r="A16" i="6"/>
  <c r="C15" i="6"/>
  <c r="FT28" i="6" l="1"/>
  <c r="GF28" i="6"/>
  <c r="FN28" i="6"/>
  <c r="FS28" i="6"/>
  <c r="FP28" i="6"/>
  <c r="FD38" i="6"/>
  <c r="FO43" i="6"/>
  <c r="FG43" i="6"/>
  <c r="FQ33" i="6"/>
  <c r="FQ38" i="6"/>
  <c r="FD30" i="6"/>
  <c r="FN43" i="6"/>
  <c r="FE30" i="6"/>
  <c r="FU38" i="6"/>
  <c r="FP42" i="6"/>
  <c r="FU36" i="6"/>
  <c r="FY28" i="6"/>
  <c r="FV39" i="6"/>
  <c r="FR35" i="6"/>
  <c r="FJ39" i="6"/>
  <c r="FH40" i="6"/>
  <c r="GG28" i="6"/>
  <c r="FL40" i="6"/>
  <c r="FX38" i="6"/>
  <c r="FG33" i="6"/>
  <c r="FK35" i="6"/>
  <c r="FG38" i="6"/>
  <c r="FP31" i="6"/>
  <c r="FL32" i="6"/>
  <c r="FF33" i="6"/>
  <c r="FX39" i="6"/>
  <c r="FT40" i="6"/>
  <c r="FL31" i="6"/>
  <c r="FJ30" i="6"/>
  <c r="FH39" i="6"/>
  <c r="FI38" i="6"/>
  <c r="FM36" i="6"/>
  <c r="FV33" i="6"/>
  <c r="FR36" i="6"/>
  <c r="FJ34" i="6"/>
  <c r="FN42" i="6"/>
  <c r="FH32" i="6"/>
  <c r="FO42" i="6"/>
  <c r="FN39" i="6"/>
  <c r="FT35" i="6"/>
  <c r="FD32" i="6"/>
  <c r="FP40" i="6"/>
  <c r="FZ28" i="6"/>
  <c r="FN36" i="6"/>
  <c r="FG29" i="6"/>
  <c r="FE36" i="6"/>
  <c r="FH38" i="6"/>
  <c r="FQ28" i="6"/>
  <c r="FP32" i="6"/>
  <c r="FJ40" i="6"/>
  <c r="FX29" i="6"/>
  <c r="FF32" i="6"/>
  <c r="FW31" i="6"/>
  <c r="FK36" i="6"/>
  <c r="FN34" i="6"/>
  <c r="FF38" i="6"/>
  <c r="FT42" i="6"/>
  <c r="FG40" i="6"/>
  <c r="FJ31" i="6"/>
  <c r="FR39" i="6"/>
  <c r="FX35" i="6"/>
  <c r="FU32" i="6"/>
  <c r="FG42" i="6"/>
  <c r="FN40" i="6"/>
  <c r="FK30" i="6"/>
  <c r="FF31" i="6"/>
  <c r="FE43" i="6"/>
  <c r="FQ43" i="6"/>
  <c r="FE38" i="6"/>
  <c r="FO39" i="6"/>
  <c r="FH33" i="6"/>
  <c r="FH34" i="6"/>
  <c r="FN32" i="6"/>
  <c r="FV31" i="6"/>
  <c r="FT43" i="6"/>
  <c r="FD31" i="6"/>
  <c r="FF35" i="6"/>
  <c r="FI35" i="6"/>
  <c r="FD35" i="6"/>
  <c r="FI40" i="6"/>
  <c r="FW40" i="6"/>
  <c r="FI42" i="6"/>
  <c r="FS42" i="6"/>
  <c r="FO28" i="6"/>
  <c r="FK33" i="6"/>
  <c r="FN30" i="6"/>
  <c r="FU35" i="6"/>
  <c r="FU28" i="6"/>
  <c r="FJ36" i="6"/>
  <c r="FV34" i="6"/>
  <c r="FK42" i="6"/>
  <c r="FH43" i="6"/>
  <c r="FH31" i="6"/>
  <c r="FI34" i="6"/>
  <c r="FO33" i="6"/>
  <c r="FX31" i="6"/>
  <c r="FF40" i="6"/>
  <c r="FU42" i="6"/>
  <c r="FS36" i="6"/>
  <c r="FP39" i="6"/>
  <c r="FM29" i="6"/>
  <c r="FQ36" i="6"/>
  <c r="FM35" i="6"/>
  <c r="FI36" i="6"/>
  <c r="FD33" i="6"/>
  <c r="FP33" i="6"/>
  <c r="FU30" i="6"/>
  <c r="FT31" i="6"/>
  <c r="FU29" i="6"/>
  <c r="FX28" i="6"/>
  <c r="FU34" i="6"/>
  <c r="FQ34" i="6"/>
  <c r="FQ42" i="6"/>
  <c r="FR28" i="6"/>
  <c r="FO38" i="6"/>
  <c r="FL29" i="6"/>
  <c r="FS39" i="6"/>
  <c r="FN35" i="6"/>
  <c r="FT32" i="6"/>
  <c r="FE39" i="6"/>
  <c r="FI33" i="6"/>
  <c r="FU40" i="6"/>
  <c r="GA28" i="6"/>
  <c r="FG34" i="6"/>
  <c r="FX36" i="6"/>
  <c r="FW38" i="6"/>
  <c r="FV28" i="6"/>
  <c r="FV38" i="6"/>
  <c r="FO31" i="6"/>
  <c r="FW33" i="6"/>
  <c r="FL36" i="6"/>
  <c r="FV30" i="6"/>
  <c r="FU43" i="6"/>
  <c r="FP34" i="6"/>
  <c r="FD43" i="6"/>
  <c r="FK40" i="6"/>
  <c r="FR30" i="6"/>
  <c r="FT29" i="6"/>
  <c r="FM34" i="6"/>
  <c r="FV42" i="6"/>
  <c r="FW36" i="6"/>
  <c r="FP38" i="6"/>
  <c r="FM39" i="6"/>
  <c r="FQ39" i="6"/>
  <c r="FW35" i="6"/>
  <c r="FX32" i="6"/>
  <c r="GD28" i="6"/>
  <c r="FK32" i="6"/>
  <c r="FD40" i="6"/>
  <c r="FS33" i="6"/>
  <c r="FW39" i="6"/>
  <c r="FO36" i="6"/>
  <c r="FI32" i="6"/>
  <c r="FO40" i="6"/>
  <c r="FT33" i="6"/>
  <c r="FR34" i="6"/>
  <c r="FQ32" i="6"/>
  <c r="FM32" i="6"/>
  <c r="FS38" i="6"/>
  <c r="FV43" i="6"/>
  <c r="GB28" i="6"/>
  <c r="FX33" i="6"/>
  <c r="FV29" i="6"/>
  <c r="FL38" i="6"/>
  <c r="FG30" i="6"/>
  <c r="FP30" i="6"/>
  <c r="FS29" i="6"/>
  <c r="FT34" i="6"/>
  <c r="FI39" i="6"/>
  <c r="FE42" i="6"/>
  <c r="FV32" i="6"/>
  <c r="FQ40" i="6"/>
  <c r="FP43" i="6"/>
  <c r="FL33" i="6"/>
  <c r="FU33" i="6"/>
  <c r="FE33" i="6"/>
  <c r="FR29" i="6"/>
  <c r="FW43" i="6"/>
  <c r="FJ33" i="6"/>
  <c r="GC28" i="6"/>
  <c r="FM33" i="6"/>
  <c r="FE40" i="6"/>
  <c r="FH29" i="6"/>
  <c r="FW34" i="6"/>
  <c r="FD42" i="6"/>
  <c r="FU39" i="6"/>
  <c r="FG36" i="6"/>
  <c r="GE28" i="6"/>
  <c r="FV40" i="6"/>
  <c r="FM40" i="6"/>
  <c r="FF39" i="6"/>
  <c r="FE32" i="6"/>
  <c r="FR43" i="6"/>
  <c r="FM43" i="6"/>
  <c r="FF30" i="6"/>
  <c r="FX43" i="6"/>
  <c r="FG39" i="6"/>
  <c r="FT30" i="6"/>
  <c r="FK39" i="6"/>
  <c r="FO34" i="6"/>
  <c r="FL42" i="6"/>
  <c r="FE34" i="6"/>
  <c r="FW28" i="6"/>
  <c r="FR40" i="6"/>
  <c r="A17" i="6"/>
  <c r="DC16" i="6"/>
  <c r="C16" i="6"/>
  <c r="DC17" i="6" l="1"/>
  <c r="A18" i="6"/>
  <c r="C17" i="6"/>
  <c r="A19" i="6" l="1"/>
  <c r="DC18" i="6"/>
  <c r="C18" i="6"/>
  <c r="A20" i="6" l="1"/>
  <c r="DC19" i="6"/>
  <c r="C19" i="6"/>
  <c r="DC20" i="6" l="1"/>
  <c r="A21" i="6"/>
  <c r="C20" i="6"/>
  <c r="A22" i="6" l="1"/>
  <c r="DC21" i="6"/>
  <c r="C21" i="6"/>
  <c r="DC22" i="6" l="1"/>
  <c r="A23" i="6"/>
  <c r="C22" i="6"/>
  <c r="A24" i="6" l="1"/>
  <c r="DC23" i="6"/>
  <c r="C23" i="6"/>
  <c r="A25" i="6" l="1"/>
  <c r="DC24" i="6"/>
  <c r="C24" i="6"/>
  <c r="DC25" i="6" l="1"/>
  <c r="A26" i="6"/>
  <c r="C25" i="6"/>
  <c r="DC26" i="6" l="1"/>
  <c r="A27" i="6"/>
  <c r="C26" i="6"/>
  <c r="DC27" i="6" l="1"/>
  <c r="A28" i="6"/>
  <c r="C27" i="6"/>
  <c r="A29" i="6" l="1"/>
  <c r="DC28" i="6"/>
  <c r="C28" i="6"/>
  <c r="A30" i="6" l="1"/>
  <c r="DC29" i="6"/>
  <c r="C29" i="6"/>
  <c r="A31" i="6" l="1"/>
  <c r="DC30" i="6"/>
  <c r="C30" i="6"/>
  <c r="DC31" i="6" l="1"/>
  <c r="A32" i="6"/>
  <c r="C31" i="6"/>
  <c r="A33" i="6" l="1"/>
  <c r="DC32" i="6"/>
  <c r="C32" i="6"/>
  <c r="A34" i="6" l="1"/>
  <c r="DC33" i="6"/>
  <c r="C33" i="6"/>
  <c r="DC34" i="6" l="1"/>
  <c r="A35" i="6"/>
  <c r="C34" i="6"/>
  <c r="A36" i="6" l="1"/>
  <c r="DC35" i="6"/>
  <c r="C35" i="6"/>
  <c r="A37" i="6" l="1"/>
  <c r="DC36" i="6"/>
  <c r="C36" i="6"/>
  <c r="DC37" i="6" l="1"/>
  <c r="A38" i="6"/>
  <c r="C37" i="6"/>
  <c r="DC38" i="6" l="1"/>
  <c r="A39" i="6"/>
  <c r="C38" i="6"/>
  <c r="DC39" i="6" l="1"/>
  <c r="A40" i="6"/>
  <c r="C39" i="6"/>
  <c r="A41" i="6" l="1"/>
  <c r="DC40" i="6"/>
  <c r="C40" i="6"/>
  <c r="A42" i="6" l="1"/>
  <c r="DC41" i="6"/>
  <c r="C41" i="6"/>
  <c r="A43" i="6" l="1"/>
  <c r="DC42" i="6"/>
  <c r="C42" i="6"/>
  <c r="A44" i="6" l="1"/>
  <c r="DC43" i="6"/>
  <c r="C43" i="6"/>
  <c r="A45" i="6" l="1"/>
  <c r="DC44" i="6"/>
  <c r="C44" i="6"/>
  <c r="A46" i="6" l="1"/>
  <c r="DC45" i="6"/>
  <c r="C45" i="6"/>
  <c r="A47" i="6" l="1"/>
  <c r="DC46" i="6"/>
  <c r="C46" i="6"/>
  <c r="A48" i="6" l="1"/>
  <c r="DC47" i="6"/>
  <c r="C47" i="6"/>
  <c r="A49" i="6" l="1"/>
  <c r="DC48" i="6"/>
  <c r="C48" i="6"/>
  <c r="DC49" i="6" l="1"/>
  <c r="A50" i="6"/>
  <c r="C49" i="6"/>
  <c r="DC50" i="6" l="1"/>
  <c r="A51" i="6"/>
  <c r="C50" i="6"/>
  <c r="BF13" i="1" l="1"/>
  <c r="D13" i="1"/>
  <c r="AC13" i="1"/>
  <c r="X13" i="1"/>
  <c r="BH13" i="1"/>
  <c r="M13" i="1"/>
  <c r="BY13" i="1"/>
  <c r="AJ13" i="1"/>
  <c r="BM13" i="1"/>
  <c r="L13" i="1"/>
  <c r="E13" i="1"/>
  <c r="AQ13" i="1"/>
  <c r="BC13" i="1"/>
  <c r="S13" i="1"/>
  <c r="J13" i="1"/>
  <c r="G13" i="1"/>
  <c r="BW13" i="1"/>
  <c r="W13" i="1"/>
  <c r="BK13" i="1"/>
  <c r="BU13" i="1"/>
  <c r="BJ13" i="1"/>
  <c r="BA13" i="1"/>
  <c r="CF13" i="1"/>
  <c r="AL13" i="1"/>
  <c r="Q13" i="1"/>
  <c r="U13" i="1"/>
  <c r="BN13" i="1"/>
  <c r="BQ13" i="1"/>
  <c r="AD13" i="1"/>
  <c r="BD13" i="1"/>
  <c r="BV13" i="1"/>
  <c r="CB13" i="1"/>
  <c r="O13" i="1"/>
  <c r="BE13" i="1"/>
  <c r="F13" i="1"/>
  <c r="AW13" i="1"/>
  <c r="AE13" i="1"/>
  <c r="CD13" i="1"/>
  <c r="BX13" i="1"/>
  <c r="E2" i="1"/>
  <c r="E7" i="1"/>
  <c r="F7" i="1" s="1"/>
  <c r="DC51" i="6"/>
  <c r="A52" i="6"/>
  <c r="Z13" i="1" s="1"/>
  <c r="C51" i="6"/>
  <c r="E4" i="1"/>
  <c r="F4" i="1" s="1"/>
  <c r="E6" i="1"/>
  <c r="F6" i="1" s="1"/>
  <c r="E8" i="1"/>
  <c r="F8" i="1" s="1"/>
  <c r="AR13" i="1" l="1"/>
  <c r="BL13" i="1"/>
  <c r="BG13" i="1"/>
  <c r="BT13" i="1"/>
  <c r="R13" i="1"/>
  <c r="BS13" i="1"/>
  <c r="AX13" i="1"/>
  <c r="BO13" i="1"/>
  <c r="AV13" i="1"/>
  <c r="P13" i="1"/>
  <c r="AH13" i="1"/>
  <c r="N13" i="1"/>
  <c r="AP13" i="1"/>
  <c r="E5" i="1"/>
  <c r="F5" i="1" s="1"/>
  <c r="BI13" i="1"/>
  <c r="AY13" i="1"/>
  <c r="BB13" i="1"/>
  <c r="AI13" i="1"/>
  <c r="CE13" i="1"/>
  <c r="V13" i="1"/>
  <c r="Y13" i="1"/>
  <c r="E3" i="1"/>
  <c r="F3" i="1" s="1"/>
  <c r="G3" i="1" s="1"/>
  <c r="H3" i="1" s="1"/>
  <c r="AS13" i="1"/>
  <c r="K13" i="1"/>
  <c r="CC13" i="1"/>
  <c r="AN13" i="1"/>
  <c r="AM13" i="1"/>
  <c r="AZ13" i="1"/>
  <c r="BR13" i="1"/>
  <c r="AF13" i="1"/>
  <c r="AA13" i="1"/>
  <c r="AB13" i="1"/>
  <c r="BP13" i="1"/>
  <c r="T13" i="1"/>
  <c r="CA13" i="1"/>
  <c r="AK13" i="1"/>
  <c r="H13" i="1"/>
  <c r="I13" i="1"/>
  <c r="AU13" i="1"/>
  <c r="BZ13" i="1"/>
  <c r="AT13" i="1"/>
  <c r="AO13" i="1"/>
  <c r="F2" i="1"/>
  <c r="G2" i="1" s="1"/>
  <c r="H2" i="1" s="1"/>
  <c r="G8" i="1"/>
  <c r="H8" i="1" s="1"/>
  <c r="G4" i="1"/>
  <c r="H4" i="1" s="1"/>
  <c r="G5" i="1"/>
  <c r="H5" i="1" s="1"/>
  <c r="G6" i="1"/>
  <c r="H6" i="1" s="1"/>
  <c r="G7" i="1"/>
  <c r="H7" i="1" s="1"/>
  <c r="A53" i="6"/>
  <c r="DC52" i="6"/>
  <c r="C52" i="6"/>
  <c r="DC53" i="6" l="1"/>
  <c r="A54" i="6"/>
  <c r="C53" i="6"/>
  <c r="A55" i="6" l="1"/>
  <c r="DC54" i="6"/>
  <c r="C54" i="6"/>
  <c r="A56" i="6" l="1"/>
  <c r="DC55" i="6"/>
  <c r="C55" i="6"/>
  <c r="A57" i="6" l="1"/>
  <c r="A58" i="6" s="1"/>
  <c r="DC56" i="6"/>
  <c r="C56" i="6"/>
  <c r="DC57" i="6" l="1"/>
  <c r="C57" i="6"/>
  <c r="A59" i="6" l="1"/>
  <c r="DC58" i="6"/>
  <c r="C58" i="6"/>
  <c r="A60" i="6" l="1"/>
  <c r="DC59" i="6"/>
  <c r="C59" i="6"/>
  <c r="DC60" i="6" l="1"/>
  <c r="A61" i="6"/>
  <c r="C60" i="6"/>
  <c r="DC61" i="6" l="1"/>
  <c r="A62" i="6"/>
  <c r="C61" i="6"/>
  <c r="DC62" i="6" l="1"/>
  <c r="A63" i="6"/>
  <c r="C62" i="6"/>
  <c r="DC63" i="6" l="1"/>
  <c r="C63" i="6"/>
  <c r="A66" i="6" l="1"/>
  <c r="DC66" i="6" l="1"/>
  <c r="A67" i="6"/>
  <c r="C66" i="6"/>
  <c r="A68" i="6" l="1"/>
  <c r="DC67" i="6"/>
  <c r="C67" i="6"/>
  <c r="A69" i="6" l="1"/>
  <c r="DC68" i="6"/>
  <c r="C68" i="6"/>
  <c r="DC69" i="6" l="1"/>
  <c r="A70" i="6"/>
  <c r="C69" i="6"/>
  <c r="A71" i="6" l="1"/>
  <c r="DC70" i="6"/>
  <c r="C70" i="6"/>
  <c r="C71" i="6" l="1"/>
  <c r="DC71" i="6"/>
  <c r="A72" i="6"/>
  <c r="DC72" i="6" l="1"/>
  <c r="C72" i="6"/>
  <c r="A73" i="6"/>
  <c r="DC73" i="6" l="1"/>
  <c r="C73" i="6"/>
  <c r="A74" i="6"/>
  <c r="DC74" i="6" l="1"/>
  <c r="C74" i="6"/>
  <c r="A75" i="6"/>
  <c r="C75" i="6" l="1"/>
  <c r="DC75" i="6"/>
  <c r="A76" i="6"/>
  <c r="DC76" i="6" l="1"/>
  <c r="C76" i="6"/>
  <c r="A77" i="6"/>
  <c r="C77" i="6" l="1"/>
  <c r="DC77" i="6"/>
  <c r="A79" i="6" l="1"/>
  <c r="A80" i="6" s="1"/>
  <c r="DC80" i="6" l="1"/>
  <c r="C80" i="6"/>
  <c r="A81" i="6"/>
  <c r="C81" i="6"/>
  <c r="DC81" i="6"/>
  <c r="DC79" i="6"/>
  <c r="C79" i="6"/>
  <c r="C82" i="6" l="1"/>
  <c r="DC82" i="6"/>
  <c r="A82" i="6"/>
  <c r="DC83" i="6" l="1"/>
  <c r="C83" i="6"/>
  <c r="A83" i="6"/>
  <c r="C84" i="6" l="1"/>
  <c r="DC84" i="6"/>
  <c r="A84" i="6"/>
  <c r="A85" i="6" l="1"/>
  <c r="DC85" i="6"/>
  <c r="C85" i="6"/>
  <c r="DC86" i="6" l="1"/>
  <c r="A86" i="6"/>
  <c r="C86" i="6"/>
  <c r="A87" i="6" l="1"/>
  <c r="DC87" i="6" l="1"/>
  <c r="A88" i="6"/>
  <c r="C87" i="6"/>
  <c r="A89" i="6" l="1"/>
  <c r="DC88" i="6"/>
  <c r="C88" i="6"/>
  <c r="A90" i="6" l="1"/>
  <c r="DC89" i="6"/>
  <c r="C89" i="6"/>
  <c r="A91" i="6" l="1"/>
  <c r="DC90" i="6"/>
  <c r="C90" i="6"/>
  <c r="A92" i="6" l="1"/>
  <c r="DC91" i="6"/>
  <c r="C91" i="6"/>
  <c r="A93" i="6" l="1"/>
  <c r="DC92" i="6"/>
  <c r="C92" i="6"/>
  <c r="A94" i="6" l="1"/>
  <c r="DC93" i="6"/>
  <c r="C93" i="6"/>
  <c r="DC94" i="6" l="1"/>
  <c r="A95" i="6"/>
  <c r="C94" i="6"/>
  <c r="A96" i="6" l="1"/>
  <c r="DC95" i="6"/>
  <c r="C95" i="6"/>
  <c r="A97" i="6" l="1"/>
  <c r="DC96" i="6"/>
  <c r="C96" i="6"/>
  <c r="DC97" i="6" l="1"/>
  <c r="A98" i="6"/>
  <c r="C97" i="6"/>
  <c r="DC98" i="6" l="1"/>
  <c r="A99" i="6"/>
  <c r="C98" i="6"/>
  <c r="DC99" i="6" l="1"/>
  <c r="A100" i="6"/>
  <c r="C99" i="6"/>
  <c r="A101" i="6" l="1"/>
  <c r="DC100" i="6"/>
  <c r="C100" i="6"/>
  <c r="DC101" i="6" l="1"/>
  <c r="A102" i="6"/>
  <c r="C101" i="6"/>
  <c r="DC102" i="6" l="1"/>
  <c r="C102" i="6"/>
  <c r="EL45" i="6" l="1"/>
  <c r="EK45" i="6"/>
  <c r="EI45" i="6" l="1"/>
  <c r="EO45" i="6" s="1"/>
  <c r="EN45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Hartley</author>
    <author>laser-sizer</author>
  </authors>
  <commentList>
    <comment ref="AH1" authorId="0" shapeId="0" xr:uid="{353BE6B8-1409-499B-904F-F4A585AD9E3E}">
      <text>
        <r>
          <rPr>
            <b/>
            <sz val="9"/>
            <color indexed="81"/>
            <rFont val="Tahoma"/>
            <family val="2"/>
          </rPr>
          <t xml:space="preserve">Enter units and select in cell B4
</t>
        </r>
      </text>
    </comment>
    <comment ref="A13" authorId="0" shapeId="0" xr:uid="{4D709E2A-6C49-4C97-BD12-0175427B7B41}">
      <text>
        <r>
          <rPr>
            <b/>
            <sz val="14"/>
            <color indexed="81"/>
            <rFont val="Tahoma"/>
            <family val="2"/>
          </rPr>
          <t>Sample label can be any combination of letters, numbers or symbols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B13" authorId="0" shapeId="0" xr:uid="{79996C0F-3461-40EC-8FD6-AED2C5F473F8}">
      <text>
        <r>
          <rPr>
            <b/>
            <sz val="14"/>
            <color indexed="81"/>
            <rFont val="Tahoma"/>
            <family val="2"/>
          </rPr>
          <t xml:space="preserve">Quick labels might be simply "1, 2, 3," to save labelling beaker with 'complicated' labels
Also used to denote a sieve tare set (1 or 2)
</t>
        </r>
        <r>
          <rPr>
            <sz val="14"/>
            <color indexed="81"/>
            <rFont val="Tahoma"/>
            <family val="2"/>
          </rPr>
          <t xml:space="preserve">
</t>
        </r>
      </text>
    </comment>
    <comment ref="C13" authorId="1" shapeId="0" xr:uid="{80499258-3DDD-40DA-BF69-E5CC6735F34A}">
      <text>
        <r>
          <rPr>
            <b/>
            <sz val="14"/>
            <color indexed="81"/>
            <rFont val="Tahoma"/>
            <family val="2"/>
          </rPr>
          <t>general notes. Also used to denote which tare values to subtract if sieving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Hartley</author>
  </authors>
  <commentList>
    <comment ref="E5" authorId="0" shapeId="0" xr:uid="{BE1B98BB-2BA1-4C49-8A19-23B4F40C7088}">
      <text>
        <r>
          <rPr>
            <sz val="9"/>
            <color indexed="81"/>
            <rFont val="Tahoma"/>
            <family val="2"/>
          </rPr>
          <t>Sess1 starts with wt1</t>
        </r>
      </text>
    </comment>
    <comment ref="F5" authorId="0" shapeId="0" xr:uid="{C858DAD6-B5B0-458F-82F0-DA52C4A796F1}">
      <text>
        <r>
          <rPr>
            <b/>
            <sz val="9"/>
            <color indexed="81"/>
            <rFont val="Tahoma"/>
            <family val="2"/>
          </rPr>
          <t>Sess2</t>
        </r>
        <r>
          <rPr>
            <sz val="9"/>
            <color indexed="81"/>
            <rFont val="Tahoma"/>
            <family val="2"/>
          </rPr>
          <t xml:space="preserve"> starts with </t>
        </r>
        <r>
          <rPr>
            <b/>
            <sz val="9"/>
            <color indexed="81"/>
            <rFont val="Tahoma"/>
            <family val="2"/>
          </rPr>
          <t>wt3</t>
        </r>
      </text>
    </comment>
    <comment ref="EQ12" authorId="0" shapeId="0" xr:uid="{78E3A5F5-E443-498B-936E-F39D6CD8D174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5 loss x 1.3636 to account for co2
</t>
        </r>
      </text>
    </comment>
    <comment ref="ET13" authorId="0" shapeId="0" xr:uid="{816EE36C-DD43-4AF2-A202-53694A59E341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these extra % just as percent of last initial wt and not compensated by 1.3636
</t>
        </r>
      </text>
    </comment>
    <comment ref="EN18" authorId="0" shapeId="0" xr:uid="{3D1F450B-FDAE-458F-A702-006FA5D0466F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5 loss x 1.3636 to account for co2
</t>
        </r>
      </text>
    </comment>
    <comment ref="EN20" authorId="0" shapeId="0" xr:uid="{C89981AF-F200-40B6-B030-A2CE90A6990D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5 loss x 1.3636 to account for co2
</t>
        </r>
      </text>
    </comment>
    <comment ref="EM23" authorId="0" shapeId="0" xr:uid="{A0231A95-24A2-42AD-A787-9E2EA0F73DA0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no 1.3636 applied
</t>
        </r>
      </text>
    </comment>
    <comment ref="EM25" authorId="0" shapeId="0" xr:uid="{F9001652-055B-4A14-B03E-A49884AE61A6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no 1.3636 applied
</t>
        </r>
      </text>
    </comment>
    <comment ref="CC26" authorId="0" shapeId="0" xr:uid="{F4833469-0C03-451F-B10A-6A06E196C504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correct column position for laser sizer input</t>
        </r>
      </text>
    </comment>
    <comment ref="DF26" authorId="0" shapeId="0" xr:uid="{6D027F8E-9EFB-4894-AD71-874D684CDE93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search for 1st label =tare and if so then and &gt; 0 then subtract 1st row from this col weight</t>
        </r>
      </text>
    </comment>
    <comment ref="FG26" authorId="0" shapeId="0" xr:uid="{BF0D728C-9F9A-4C27-A551-6997BE0256F3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correct column position for laser sizer input</t>
        </r>
      </text>
    </comment>
    <comment ref="DE27" authorId="0" shapeId="0" xr:uid="{E2DF1CDF-5F2A-4CDE-A318-68892D00B346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search for 1st label =tare and if so then and &gt; 0 then subtract 1st row from this col weight</t>
        </r>
      </text>
    </comment>
    <comment ref="BD47" authorId="0" shapeId="0" xr:uid="{1F49007C-CAF6-4FA8-ACF8-EB1B186FF546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Add in CORR check for filter correction factos</t>
        </r>
      </text>
    </comment>
    <comment ref="BD55" authorId="0" shapeId="0" xr:uid="{2F0A3300-784A-4DA8-BF71-AABBB74BA42B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add check for TARE</t>
        </r>
      </text>
    </comment>
    <comment ref="B78" authorId="0" shapeId="0" xr:uid="{D32A63F1-DC11-4133-AE32-C67BD70B0E3A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put bag into tray on tared balance. Bag and tray weights from averaged values. Then empty bag into tray and dry and carry on as usual</t>
        </r>
      </text>
    </comment>
    <comment ref="EH78" authorId="0" shapeId="0" xr:uid="{738B3B79-DE60-4948-8634-7507F93286D5}">
      <text>
        <r>
          <rPr>
            <b/>
            <sz val="9"/>
            <color indexed="81"/>
            <rFont val="Tahoma"/>
            <family val="2"/>
          </rPr>
          <t>average wt 50 bags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6x9 = 3.35078
5x7= 3.10062</t>
        </r>
      </text>
    </comment>
    <comment ref="EI78" authorId="0" shapeId="0" xr:uid="{CA298FF7-4A62-4BB6-9076-B9D26D4CBAC2}">
      <text>
        <r>
          <rPr>
            <b/>
            <sz val="9"/>
            <color indexed="81"/>
            <rFont val="Tahoma"/>
            <family val="2"/>
          </rPr>
          <t>mean wt 50 trays
no1= 3.33526
no2 central diamond= 5.1689
no2 'saltire'= 6.6616
no6= 7.38456</t>
        </r>
      </text>
    </comment>
    <comment ref="EH79" authorId="0" shapeId="0" xr:uid="{7ED637E3-CDBD-43D6-A7BB-33661AF7238F}">
      <text>
        <r>
          <rPr>
            <b/>
            <sz val="9"/>
            <color indexed="81"/>
            <rFont val="Tahoma"/>
            <family val="2"/>
          </rPr>
          <t>average wt 50 bags
6x9 = 3.35078
5x7= 3.10062</t>
        </r>
      </text>
    </comment>
    <comment ref="EI79" authorId="0" shapeId="0" xr:uid="{D3BB2ABB-9386-4E10-8E71-F49B6E5BC0DA}">
      <text>
        <r>
          <rPr>
            <b/>
            <sz val="9"/>
            <color indexed="81"/>
            <rFont val="Tahoma"/>
            <family val="2"/>
          </rPr>
          <t>mean wt 50 trays
no1= 3.33526
no2 central diamond= 5.1689
no2 'saltire'= 6.6616
no6= 7.38456</t>
        </r>
      </text>
    </comment>
    <comment ref="B80" authorId="0" shapeId="0" xr:uid="{2EDB125E-550A-4CFC-A1D9-E057720D568A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put bag into tray on tared balance. Bag and tray weights from averaged values. Then empty bag into tray and dry and carry on as usual</t>
        </r>
      </text>
    </comment>
    <comment ref="EH80" authorId="0" shapeId="0" xr:uid="{E76F8B9B-8F17-43FA-BADE-95A9CAD97FBC}">
      <text>
        <r>
          <rPr>
            <b/>
            <sz val="9"/>
            <color indexed="81"/>
            <rFont val="Tahoma"/>
            <family val="2"/>
          </rPr>
          <t>average wt 50 bags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6x9 = 3.35078
5x7= 3.10062</t>
        </r>
      </text>
    </comment>
    <comment ref="EI80" authorId="0" shapeId="0" xr:uid="{178DEA44-357B-4266-8E19-1419C7E64DA1}">
      <text>
        <r>
          <rPr>
            <b/>
            <sz val="9"/>
            <color indexed="81"/>
            <rFont val="Tahoma"/>
            <family val="2"/>
          </rPr>
          <t>mean wt 50 trays
no1= 3.33526
no2 central diamond= 5.1689
no2 'saltire'= 6.6616
no6= 7.38456</t>
        </r>
      </text>
    </comment>
    <comment ref="EH81" authorId="0" shapeId="0" xr:uid="{0D902976-0793-4313-BDA1-FE842F2AAAA0}">
      <text>
        <r>
          <rPr>
            <b/>
            <sz val="9"/>
            <color indexed="81"/>
            <rFont val="Tahoma"/>
            <family val="2"/>
          </rPr>
          <t>average wt 50 bags
6x9 = 3.35078
5x7= 3.10062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I81" authorId="0" shapeId="0" xr:uid="{C684FF52-4793-47D4-B049-6AA2181C2E0D}">
      <text>
        <r>
          <rPr>
            <b/>
            <sz val="9"/>
            <color indexed="81"/>
            <rFont val="Tahoma"/>
            <family val="2"/>
          </rPr>
          <t>mean wt 50 trays
no1= 3.33526
no2 central diamond= 5.1689
no2 'saltire'= 6.6616
no6= 7.38456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J81" authorId="0" shapeId="0" xr:uid="{012DE41A-9A11-40A7-97DC-5D5CA5FB4649}">
      <text>
        <r>
          <rPr>
            <b/>
            <sz val="9"/>
            <color indexed="81"/>
            <rFont val="Tahoma"/>
            <family val="2"/>
          </rPr>
          <t>Edit core volume
Labcell 248.82
UK pitman 219.34
US pitman 68.20
fixed vol hand 192.42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V85" authorId="0" shapeId="0" xr:uid="{61D97CE8-8B89-4E95-8477-BC76D6F9BDDA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paint wt1</t>
        </r>
      </text>
    </comment>
    <comment ref="DW85" authorId="0" shapeId="0" xr:uid="{0AAF5297-F85E-4625-A4EE-846A79F239A9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paint wt2</t>
        </r>
      </text>
    </comment>
    <comment ref="DX85" authorId="0" shapeId="0" xr:uid="{86A8D0F2-39A0-45AD-ADEE-C6E2B2C86A3C}">
      <text>
        <r>
          <rPr>
            <b/>
            <sz val="9"/>
            <color indexed="81"/>
            <rFont val="Tahoma"/>
            <family val="2"/>
          </rPr>
          <t>Richard Hartley:</t>
        </r>
        <r>
          <rPr>
            <sz val="9"/>
            <color indexed="81"/>
            <rFont val="Tahoma"/>
            <family val="2"/>
          </rPr>
          <t xml:space="preserve">
paint wt2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<sst xmlns="http://schemas.openxmlformats.org/spreadsheetml/2006/main" count="2237" uniqueCount="973">
  <si>
    <t>Channels</t>
  </si>
  <si>
    <t>Data Source Id</t>
  </si>
  <si>
    <t>Data Interval (ms)</t>
  </si>
  <si>
    <t>Baud Rate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</si>
  <si>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</si>
  <si>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</si>
  <si>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</si>
  <si>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</si>
  <si>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</si>
  <si>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</si>
  <si>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</si>
  <si>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</si>
  <si>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</si>
  <si>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</si>
  <si>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</si>
  <si>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</si>
  <si>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</si>
  <si>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</si>
  <si>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</si>
  <si>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</si>
  <si>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</si>
  <si>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</si>
  <si>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</si>
  <si>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</si>
  <si>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</si>
  <si>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</si>
  <si>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</si>
  <si>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</si>
  <si>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</si>
  <si>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Out (To Device)</t>
  </si>
  <si>
    <t>Data entered into the channels below will be sent to the currently connected device as a comma-delimited string.</t>
  </si>
  <si>
    <t>Data coming from the current data source will appear below as it is received.</t>
  </si>
  <si>
    <t>Current Data</t>
  </si>
  <si>
    <t>TIME</t>
  </si>
  <si>
    <t>Session</t>
  </si>
  <si>
    <t>Wts from</t>
  </si>
  <si>
    <t>Wts to</t>
  </si>
  <si>
    <t>Direction</t>
  </si>
  <si>
    <t>Done?</t>
  </si>
  <si>
    <t>Down</t>
  </si>
  <si>
    <t>Right</t>
  </si>
  <si>
    <t>Left</t>
  </si>
  <si>
    <t>Up</t>
  </si>
  <si>
    <t>Data to row</t>
  </si>
  <si>
    <t>Wt 1</t>
  </si>
  <si>
    <t>Wt 2</t>
  </si>
  <si>
    <t>Wt 3</t>
  </si>
  <si>
    <t>Wt 4</t>
  </si>
  <si>
    <t>Wt 5</t>
  </si>
  <si>
    <t>Wt 6</t>
  </si>
  <si>
    <t>Wt 7</t>
  </si>
  <si>
    <t>Wt 8</t>
  </si>
  <si>
    <t>Wt 9</t>
  </si>
  <si>
    <t>Wt 10</t>
  </si>
  <si>
    <t>Wt 11</t>
  </si>
  <si>
    <t>Wt 12</t>
  </si>
  <si>
    <t>Wt 13</t>
  </si>
  <si>
    <t>Wt 14</t>
  </si>
  <si>
    <t>Wt 15</t>
  </si>
  <si>
    <t>Wt 16</t>
  </si>
  <si>
    <t>Wt 17</t>
  </si>
  <si>
    <t>Wt 18</t>
  </si>
  <si>
    <t>Wt 19</t>
  </si>
  <si>
    <t>Wt 20</t>
  </si>
  <si>
    <t>Wt 21</t>
  </si>
  <si>
    <t>Wt 22</t>
  </si>
  <si>
    <t>Wt 23</t>
  </si>
  <si>
    <t>Wt 24</t>
  </si>
  <si>
    <t>Wt 25</t>
  </si>
  <si>
    <t>Last session</t>
  </si>
  <si>
    <t>Current time</t>
  </si>
  <si>
    <t>Time last value</t>
  </si>
  <si>
    <t>Last value</t>
  </si>
  <si>
    <t>Historical Data</t>
  </si>
  <si>
    <t>Sample</t>
  </si>
  <si>
    <t>Name / description</t>
  </si>
  <si>
    <t>setup #</t>
  </si>
  <si>
    <t>Calculations</t>
  </si>
  <si>
    <t>weigh 1 » weigh 2 (together) &gt; then later weigh 3</t>
  </si>
  <si>
    <t>Setup</t>
  </si>
  <si>
    <t>Title</t>
  </si>
  <si>
    <t>input column count</t>
  </si>
  <si>
    <t>Wt 26</t>
  </si>
  <si>
    <t>Wt 27</t>
  </si>
  <si>
    <t>Wt 28</t>
  </si>
  <si>
    <t>Wt 29</t>
  </si>
  <si>
    <t>Wt 30</t>
  </si>
  <si>
    <t>Sessions</t>
  </si>
  <si>
    <t>Session - which columns to start in per session</t>
  </si>
  <si>
    <t>soil moist \ organic@550 \ CaCO3@950 \ ? (empty» wet &gt; dry &gt; LOI &gt; CO3 &gt; burn 3)</t>
  </si>
  <si>
    <t xml:space="preserve">PSA dry sieve (whole-phi): 32 - 0.125mm + pan general                      </t>
  </si>
  <si>
    <t>PSA wet siv (phi): MT » MT+dry samp » MT_beakers 32 - 0.063mm &gt; dry beakers</t>
  </si>
  <si>
    <t>Suspended sediment: filter » vessel » vessel+water » vol added &gt; dry filter+sed</t>
  </si>
  <si>
    <t>Gravimetric CaCO3 content: MT flask » with sed &gt; final weight after 1 hour</t>
  </si>
  <si>
    <t>Plastic limits: MT V1 »V2 »V3 &gt; wet V1 »V2 »V3 &gt; dry V1 » V2 » V3</t>
  </si>
  <si>
    <t>Liquid limits : MT V1 » V2» V3» V4 &gt; wet V1» V2» V3» V4 &gt; dry V1» V2» V3» V4</t>
  </si>
  <si>
    <t xml:space="preserve">Full spec gravity w/ bottles: MT &gt; dry+soil &gt; soil+full w/ water &gt; +water  </t>
  </si>
  <si>
    <t>Quik spec grav w/ volumetric flsk: 100ml volumetric » +soil &gt; 100+full</t>
  </si>
  <si>
    <t>soil mositure then organic matter   (empty &gt; wet &gt; dry &gt; burnt)</t>
  </si>
  <si>
    <t>soil moisture \ organic@550\ CaCO3@950 (empty &gt; wet &gt; dry &gt; LOI &gt; CO3)</t>
  </si>
  <si>
    <t>soil moist \ organic@550 \ CaCO3@950 \ ? (empty &gt; wet &gt; dry &gt; LOI &gt; CO3 &gt; brn3)</t>
  </si>
  <si>
    <t xml:space="preserve">organic matter    (empty &gt; full &gt; burnt) </t>
  </si>
  <si>
    <t>CaCO3 @ 950 (one burn)   (empty &gt; full &gt; CO3)</t>
  </si>
  <si>
    <t>CaCO3 @ 950 \ further burn @ ? (two burns) (empty &gt; full &gt; burn 1 &gt; burn 2)</t>
  </si>
  <si>
    <t xml:space="preserve">Organic \ CaCO3 (empty &gt; full &gt; OM burn &gt; CO3)  </t>
  </si>
  <si>
    <t>Organic \ CaCO3 \ 3rd burn @ ? (empty &gt; full &gt; OM &gt; CO3 &gt; 3rd burn)</t>
  </si>
  <si>
    <t xml:space="preserve">Aggregate size distribution 16mm - 2.8mm + pan                             </t>
  </si>
  <si>
    <t>Diatom sampling with moisture correction (MPT1» diatom » MPT2»wet &gt; dry)</t>
  </si>
  <si>
    <t>Lab permeameter oven dry Db and stone content: dry &gt; ring &gt; stones</t>
  </si>
  <si>
    <t xml:space="preserve">Stone content 1: oven-dry WHOLE sample &gt;  &gt;2mm stones </t>
  </si>
  <si>
    <t>Stone content 2: oven-dry &gt;2mm stones » &lt;2mm fine earth</t>
  </si>
  <si>
    <t xml:space="preserve">PSA dry sieve : 1.4-0.063mm + pan general @ half-phi                       </t>
  </si>
  <si>
    <t xml:space="preserve">PSA dry sieve 32mm - 0.71mm @ 1/4 phi intervals                            </t>
  </si>
  <si>
    <t xml:space="preserve">PSA dry sieve 32mm - 1mm @ 1/4 phi intervals                               </t>
  </si>
  <si>
    <t xml:space="preserve">PSA dry sieve 128mm - 1.4mm @ 1/2 phi intervals                            </t>
  </si>
  <si>
    <t xml:space="preserve">PSA dry sieve 16-1mm @ 1/2 phi                                             </t>
  </si>
  <si>
    <t xml:space="preserve">PSA dry sieve 16mm - 1mm @ 1/4 phi intervals                               </t>
  </si>
  <si>
    <t xml:space="preserve">PSA dry sieve 16-1.4mm +pan @ 1/2 phi                                      </t>
  </si>
  <si>
    <t xml:space="preserve">PSA dry sieve 8-1mm + pan @ 1/2 phi                                        </t>
  </si>
  <si>
    <t xml:space="preserve">psa DRY SIEVE 4-0.063MM + PAN SANDS @ WHOLE PHI                            </t>
  </si>
  <si>
    <t xml:space="preserve">PSA dry sieve 16-1mm @ whole phi                                            </t>
  </si>
  <si>
    <t>IKmpsep @1mm 125um</t>
  </si>
  <si>
    <t>IK wet subsamples syr-sry+sed-vol-smsamp</t>
  </si>
  <si>
    <t>Weight g</t>
  </si>
  <si>
    <t>Weight 1</t>
  </si>
  <si>
    <t>Weight 2</t>
  </si>
  <si>
    <t>Weight 3</t>
  </si>
  <si>
    <t>Weight 4</t>
  </si>
  <si>
    <t>Wet</t>
  </si>
  <si>
    <t>Dry</t>
  </si>
  <si>
    <t>Tin/ring</t>
  </si>
  <si>
    <t>Empty</t>
  </si>
  <si>
    <t>with wet</t>
  </si>
  <si>
    <t>with dry</t>
  </si>
  <si>
    <t>oven dry</t>
  </si>
  <si>
    <t>burnt</t>
  </si>
  <si>
    <t>OM @550</t>
  </si>
  <si>
    <t>CaCO3 @950</t>
  </si>
  <si>
    <t>burn 2</t>
  </si>
  <si>
    <t>OM burnt</t>
  </si>
  <si>
    <t>with sample</t>
  </si>
  <si>
    <t>burn 3</t>
  </si>
  <si>
    <t>Empty 100ml</t>
  </si>
  <si>
    <t>Empty 250ml</t>
  </si>
  <si>
    <t>100ml + soil</t>
  </si>
  <si>
    <t>250ml + soil</t>
  </si>
  <si>
    <t>dry100 +soil</t>
  </si>
  <si>
    <t>dry250 +aggs</t>
  </si>
  <si>
    <t>dry250 +rock</t>
  </si>
  <si>
    <t>32mm</t>
  </si>
  <si>
    <t>16mm</t>
  </si>
  <si>
    <t>8mm</t>
  </si>
  <si>
    <t>5.6mm</t>
  </si>
  <si>
    <t>4mm</t>
  </si>
  <si>
    <t>2.8mm</t>
  </si>
  <si>
    <t>pan</t>
  </si>
  <si>
    <t>16.0mm</t>
  </si>
  <si>
    <t>8.0mm</t>
  </si>
  <si>
    <t>4.0mm</t>
  </si>
  <si>
    <t>2.0mm</t>
  </si>
  <si>
    <t>11.2mm</t>
  </si>
  <si>
    <t>32.0mm</t>
  </si>
  <si>
    <t>1.0mm</t>
  </si>
  <si>
    <t>0.5mm</t>
  </si>
  <si>
    <t>0.25mm</t>
  </si>
  <si>
    <t>0.125mm</t>
  </si>
  <si>
    <t>Beaker</t>
  </si>
  <si>
    <t xml:space="preserve"> with oven dry</t>
  </si>
  <si>
    <t>0.063mm</t>
  </si>
  <si>
    <t>Filter</t>
  </si>
  <si>
    <t>Vessel</t>
  </si>
  <si>
    <t>Vessel+water</t>
  </si>
  <si>
    <t>mls added</t>
  </si>
  <si>
    <t>Filter+sed</t>
  </si>
  <si>
    <t>Flask</t>
  </si>
  <si>
    <t>Flask + sed</t>
  </si>
  <si>
    <t>Flask - 1hr</t>
  </si>
  <si>
    <t>Empty V1</t>
  </si>
  <si>
    <t>Empty V2</t>
  </si>
  <si>
    <t>Empty V3</t>
  </si>
  <si>
    <t>V1 + sample</t>
  </si>
  <si>
    <t>V2 + sample</t>
  </si>
  <si>
    <t>V3 + sample</t>
  </si>
  <si>
    <t>Dry V1+samp</t>
  </si>
  <si>
    <t>Dry V2+samp</t>
  </si>
  <si>
    <t>Dry V3+samp</t>
  </si>
  <si>
    <t>MT V1</t>
  </si>
  <si>
    <t>MT V2</t>
  </si>
  <si>
    <t>MT V3</t>
  </si>
  <si>
    <t>MT V4</t>
  </si>
  <si>
    <t>V1 + sed</t>
  </si>
  <si>
    <t>V2 + sed</t>
  </si>
  <si>
    <t>V3 + sed</t>
  </si>
  <si>
    <t>V4 + sed</t>
  </si>
  <si>
    <t>Dry V1+sed</t>
  </si>
  <si>
    <t>Dry V2+sed</t>
  </si>
  <si>
    <t>Dry V3+sed</t>
  </si>
  <si>
    <t>Dry V4+sed</t>
  </si>
  <si>
    <t>soil+full</t>
  </si>
  <si>
    <t>100ml volum</t>
  </si>
  <si>
    <t>100ml +soil</t>
  </si>
  <si>
    <t>100ml full</t>
  </si>
  <si>
    <t>CaCO3 burn2</t>
  </si>
  <si>
    <t>diatom recep.</t>
  </si>
  <si>
    <t>recep + sample</t>
  </si>
  <si>
    <t>moistr recep.</t>
  </si>
  <si>
    <t>recep + wet sample</t>
  </si>
  <si>
    <t>recep + dry sample</t>
  </si>
  <si>
    <t>Oven dry</t>
  </si>
  <si>
    <t>Metal ring</t>
  </si>
  <si>
    <t>Stones &gt;2mm</t>
  </si>
  <si>
    <t>&gt;2mm stones</t>
  </si>
  <si>
    <t>Total sample</t>
  </si>
  <si>
    <t>&lt;2mm fines</t>
  </si>
  <si>
    <t>wt beaker</t>
  </si>
  <si>
    <t>bkr+runoff</t>
  </si>
  <si>
    <t>bkr+dry sed</t>
  </si>
  <si>
    <t>MT&gt;2mm</t>
  </si>
  <si>
    <t>MT&lt;2mm</t>
  </si>
  <si>
    <t>+ &gt;2mm</t>
  </si>
  <si>
    <t>+ &lt;2mm</t>
  </si>
  <si>
    <t>empty &lt;1mm</t>
  </si>
  <si>
    <t>dry &lt;1mm</t>
  </si>
  <si>
    <t>1.4mm</t>
  </si>
  <si>
    <t>1mm(pan)</t>
  </si>
  <si>
    <t>1mm</t>
  </si>
  <si>
    <t>710um</t>
  </si>
  <si>
    <t>500um</t>
  </si>
  <si>
    <t>355um</t>
  </si>
  <si>
    <t>250um</t>
  </si>
  <si>
    <t>180um</t>
  </si>
  <si>
    <t>125um</t>
  </si>
  <si>
    <t>90um</t>
  </si>
  <si>
    <t>63um</t>
  </si>
  <si>
    <t>4.75mm</t>
  </si>
  <si>
    <t>2.36mm</t>
  </si>
  <si>
    <t>2mm</t>
  </si>
  <si>
    <t>0.71mm</t>
  </si>
  <si>
    <t>13.2mm</t>
  </si>
  <si>
    <t>9.5mm</t>
  </si>
  <si>
    <t>6.7mm</t>
  </si>
  <si>
    <t>3.35mm</t>
  </si>
  <si>
    <t>1.6mm</t>
  </si>
  <si>
    <t>1.18mm</t>
  </si>
  <si>
    <t>128mm</t>
  </si>
  <si>
    <t>90.5mm</t>
  </si>
  <si>
    <t>64mm</t>
  </si>
  <si>
    <t>45mm</t>
  </si>
  <si>
    <t>22.6mm</t>
  </si>
  <si>
    <t>11.3mm</t>
  </si>
  <si>
    <t>Init wt</t>
  </si>
  <si>
    <t>Wt</t>
  </si>
  <si>
    <t>A</t>
  </si>
  <si>
    <t>B</t>
  </si>
  <si>
    <t>C</t>
  </si>
  <si>
    <t>mt&gt;1mm</t>
  </si>
  <si>
    <t>mt&gt;125um</t>
  </si>
  <si>
    <t>dry&gt;1mm</t>
  </si>
  <si>
    <t>dry&gt;125um</t>
  </si>
  <si>
    <t>SYRINGE</t>
  </si>
  <si>
    <t>SYR+SED</t>
  </si>
  <si>
    <t>VOL</t>
  </si>
  <si>
    <t>SM SAMP</t>
  </si>
  <si>
    <t xml:space="preserve">suspend sed by evap - 1: bkr &gt; bkr+runoff &gt; bkr+dry sed                    </t>
  </si>
  <si>
    <t xml:space="preserve">suspend sed by evap - 2: bkr » bkr+runoff &gt; bkr+dry sed                    </t>
  </si>
  <si>
    <t xml:space="preserve">MT &gt;&amp;&lt; 2mm beakers &gt; dry reweigh &gt;&amp;&lt; 2mm material                   </t>
  </si>
  <si>
    <t xml:space="preserve">PSA gritty mud: MT&lt;1mm &gt; dry sv 32/16-1.4mm @ half-phi  &gt;  &lt;1mm dry (CEFAS)   </t>
  </si>
  <si>
    <t xml:space="preserve">Initial weights » then dry sieve 8-1mm + pan @ 1/2 phi                        </t>
  </si>
  <si>
    <t>+ dry soil</t>
  </si>
  <si>
    <t>+ water</t>
  </si>
  <si>
    <t>one-off 'single list' weighing</t>
  </si>
  <si>
    <t>weigh 1 &gt; then weigh 2 » weigh 3 (2&amp;3 together later)</t>
  </si>
  <si>
    <t>soil moisture (weigh wet &gt; weigh dry &gt; weigh soil tin)</t>
  </si>
  <si>
    <t>soil mositure then organic matter @550  (empty»wet &gt; dry &gt; burnt)</t>
  </si>
  <si>
    <t>soil moisture \ organic@550\ CaCO3@950 (empty» wet &gt; dry &gt; LOI &gt; CO3)</t>
  </si>
  <si>
    <t>CaCO3 @ 950 \ further burn @  (two burns) (empty» full &gt; CaCO3 &gt; burn 2)</t>
  </si>
  <si>
    <t>Organic \ CaCO3 (empty» full &gt; OM burn &gt; CaCO3)</t>
  </si>
  <si>
    <t>Organic \ CaCO3 \ 3rd burn @  (empty» full &gt; OM burn &gt; CaCO3[1] &gt; burn 3)</t>
  </si>
  <si>
    <t>WSA : MT_100 &gt; MT_250 &gt; wet+100 &gt; soil+250 &gt; dry+100 &gt; dry+250 &gt; rock+250</t>
  </si>
  <si>
    <t>WSA WITHOUT moisture compensation: MT_250» soil+250 &gt; dry+250 &gt; rock+250</t>
  </si>
  <si>
    <t>weigh 1 &gt; weigh 2 &gt; weigh 3 &gt; weigh 4 &gt; weigh 5 &gt; weigh 6</t>
  </si>
  <si>
    <t>Weight 5</t>
  </si>
  <si>
    <t>Weight 6</t>
  </si>
  <si>
    <t>organic matter    (empty » full &gt; burnt)</t>
  </si>
  <si>
    <t>CaCO3 @ 950 (one burn) (empty » full &gt; burnt)</t>
  </si>
  <si>
    <t>soil moisture sub-sample in  empty phial (empty»wet &gt; dry)</t>
  </si>
  <si>
    <t>PSA WET gritty mud: MT&lt;1mm &gt;  &lt;1mm dry &gt; dry siv 32-1mm @ half-phi (CEFAS)</t>
  </si>
  <si>
    <t xml:space="preserve">PSA dry sieve 32mm - 1mm @ 1/2 phi intervals                               </t>
  </si>
  <si>
    <t>22.4mm</t>
  </si>
  <si>
    <t>PSA dry sieve 32-8@ 1-phi then 1/2-phi below 8mm 32 - 2mm + pan</t>
  </si>
  <si>
    <t xml:space="preserve">PSA dry sieve 16mm-2mm @ 1/2-phi + pan    </t>
  </si>
  <si>
    <t>conditional formatting is set for most of these cells. Some have checks on &lt;0 values = red cell</t>
  </si>
  <si>
    <t>Dummy calculation data</t>
  </si>
  <si>
    <t>Calc 1</t>
  </si>
  <si>
    <t>Calc 2</t>
  </si>
  <si>
    <t>Calc 3</t>
  </si>
  <si>
    <t>Calc 4</t>
  </si>
  <si>
    <t>Calc 5</t>
  </si>
  <si>
    <t>Calc 6</t>
  </si>
  <si>
    <t>Calc 7</t>
  </si>
  <si>
    <t>Calc 8</t>
  </si>
  <si>
    <t>Calc 9</t>
  </si>
  <si>
    <t>Calc 10</t>
  </si>
  <si>
    <t>Calc 11</t>
  </si>
  <si>
    <t>Calc 12</t>
  </si>
  <si>
    <t>Calc 13</t>
  </si>
  <si>
    <t>Calc 14</t>
  </si>
  <si>
    <t>Calc 15</t>
  </si>
  <si>
    <t>Calc 16</t>
  </si>
  <si>
    <t>Calc 17</t>
  </si>
  <si>
    <t>Calc 18</t>
  </si>
  <si>
    <t>Calc 19</t>
  </si>
  <si>
    <t>Calc 20</t>
  </si>
  <si>
    <t>Calc 21</t>
  </si>
  <si>
    <t>Calc 22</t>
  </si>
  <si>
    <t>Calc 23</t>
  </si>
  <si>
    <t>Calc 24</t>
  </si>
  <si>
    <t>Calc 25</t>
  </si>
  <si>
    <t>Calc 26</t>
  </si>
  <si>
    <t>Calc 27</t>
  </si>
  <si>
    <t>Calc 28</t>
  </si>
  <si>
    <t>Calc 29</t>
  </si>
  <si>
    <t>Calc 30</t>
  </si>
  <si>
    <t xml:space="preserve">weight and shape (A/B/C axes lengths in CM )                                      </t>
  </si>
  <si>
    <t>Calculation titles</t>
  </si>
  <si>
    <t>Wt2-Wt1</t>
  </si>
  <si>
    <t>Wt3-Wt2</t>
  </si>
  <si>
    <t>Wt4-Wt3</t>
  </si>
  <si>
    <t>Wt5-Wt4</t>
  </si>
  <si>
    <t>Wt5-Wt6</t>
  </si>
  <si>
    <t>weigh 1 » weigh 2 (together) &gt; then later reweigh 1 » weight 2</t>
  </si>
  <si>
    <t>Weight 1a</t>
  </si>
  <si>
    <t>Weight 2a</t>
  </si>
  <si>
    <t>Wt1a-Wt1</t>
  </si>
  <si>
    <t>Wt2a-Wt2</t>
  </si>
  <si>
    <t>Wt water</t>
  </si>
  <si>
    <t>Wt dry soil</t>
  </si>
  <si>
    <t>SM %</t>
  </si>
  <si>
    <t>Wt burnt</t>
  </si>
  <si>
    <t>Wt loss</t>
  </si>
  <si>
    <t>OM %</t>
  </si>
  <si>
    <t>Wt burnt2</t>
  </si>
  <si>
    <t>Wt loss 2</t>
  </si>
  <si>
    <t>CaCO3 %</t>
  </si>
  <si>
    <t>Wt burnt3</t>
  </si>
  <si>
    <t>Wt loss 3</t>
  </si>
  <si>
    <t>Burn 3 %</t>
  </si>
  <si>
    <t>Wt dry sample</t>
  </si>
  <si>
    <t>&lt;1.0mm</t>
  </si>
  <si>
    <t>Wt sample</t>
  </si>
  <si>
    <t>Wt 32.0mm</t>
  </si>
  <si>
    <t>Wt 16.0mm</t>
  </si>
  <si>
    <t>Wt 8.0mm</t>
  </si>
  <si>
    <t>Wt 4.0mm</t>
  </si>
  <si>
    <t>Wt 2.0mm</t>
  </si>
  <si>
    <t>Wt 1.0mm</t>
  </si>
  <si>
    <t>Wt 0.5mm</t>
  </si>
  <si>
    <t>Wt 0.25mm</t>
  </si>
  <si>
    <t>Wt 0.125mm</t>
  </si>
  <si>
    <t>Wt 0.063mm</t>
  </si>
  <si>
    <t>% 32.0mm</t>
  </si>
  <si>
    <t>% 16.0mm</t>
  </si>
  <si>
    <t>% 8.0mm</t>
  </si>
  <si>
    <t>% 4.0mm</t>
  </si>
  <si>
    <t>% 2.0mm</t>
  </si>
  <si>
    <t>% 1.0mm</t>
  </si>
  <si>
    <t>% 0.5mm</t>
  </si>
  <si>
    <t>% 0.25mm</t>
  </si>
  <si>
    <t>% 0.125mm</t>
  </si>
  <si>
    <t>% 0.063mm</t>
  </si>
  <si>
    <t>% 128mm</t>
  </si>
  <si>
    <t>% 90.5mm</t>
  </si>
  <si>
    <t>% 64mm</t>
  </si>
  <si>
    <t>% 45mm</t>
  </si>
  <si>
    <t>% 32mm</t>
  </si>
  <si>
    <t>% 22.6mm</t>
  </si>
  <si>
    <t>% 16mm</t>
  </si>
  <si>
    <t>% 11.3mm</t>
  </si>
  <si>
    <t>% 8mm</t>
  </si>
  <si>
    <t>% 5.6mm</t>
  </si>
  <si>
    <t>% 4mm</t>
  </si>
  <si>
    <t>% 2.8mm</t>
  </si>
  <si>
    <t>% 2mm</t>
  </si>
  <si>
    <t>% 1.4mm</t>
  </si>
  <si>
    <t>% 1mm</t>
  </si>
  <si>
    <t>% pan</t>
  </si>
  <si>
    <t>% 22.4mm</t>
  </si>
  <si>
    <t>% 11.2mm</t>
  </si>
  <si>
    <t>% 13.2mm</t>
  </si>
  <si>
    <t>% 9.5mm</t>
  </si>
  <si>
    <t>% 6.7mm</t>
  </si>
  <si>
    <t>% 4.75mm</t>
  </si>
  <si>
    <t>% 3.35mm</t>
  </si>
  <si>
    <t>% 2.36mm</t>
  </si>
  <si>
    <t>% 1.6mm</t>
  </si>
  <si>
    <t>% 1.18mm</t>
  </si>
  <si>
    <t>% 0.71mm</t>
  </si>
  <si>
    <t>% 710um</t>
  </si>
  <si>
    <t>% 500um</t>
  </si>
  <si>
    <t>% 355um</t>
  </si>
  <si>
    <t>% 250um</t>
  </si>
  <si>
    <t>% 180um</t>
  </si>
  <si>
    <t>% 125um</t>
  </si>
  <si>
    <t>% 90um</t>
  </si>
  <si>
    <t>% 63um</t>
  </si>
  <si>
    <t>% moisture</t>
  </si>
  <si>
    <t>%WSA&gt;2.8mm</t>
  </si>
  <si>
    <t>Wt moist soil</t>
  </si>
  <si>
    <t>Wt WSA soil</t>
  </si>
  <si>
    <t>Wt moisture</t>
  </si>
  <si>
    <t>Wt WSA residue</t>
  </si>
  <si>
    <t>Wt WSA rock</t>
  </si>
  <si>
    <t>% rocks</t>
  </si>
  <si>
    <t>sediment</t>
  </si>
  <si>
    <t>mls water original</t>
  </si>
  <si>
    <t>mg l-1</t>
  </si>
  <si>
    <t>Sediment</t>
  </si>
  <si>
    <t>Runoff vol</t>
  </si>
  <si>
    <t>Wt soil 1</t>
  </si>
  <si>
    <t>Wt soil 2</t>
  </si>
  <si>
    <t>Wt soil 3</t>
  </si>
  <si>
    <t>Wt water 1</t>
  </si>
  <si>
    <t>Wt water 2</t>
  </si>
  <si>
    <t>Wt water 3</t>
  </si>
  <si>
    <t>SM % 1</t>
  </si>
  <si>
    <t>SM % 2</t>
  </si>
  <si>
    <t>SM % 3</t>
  </si>
  <si>
    <t>Wt water 4</t>
  </si>
  <si>
    <t>Wt soil 4</t>
  </si>
  <si>
    <t>SM % 4</t>
  </si>
  <si>
    <t>Wt soil</t>
  </si>
  <si>
    <t>SG</t>
  </si>
  <si>
    <t>Volume</t>
  </si>
  <si>
    <t>Pore volume</t>
  </si>
  <si>
    <t>wet diatom g</t>
  </si>
  <si>
    <t>Gravimetric moisture</t>
  </si>
  <si>
    <t>dry adjusted diatom</t>
  </si>
  <si>
    <t>&lt;2mm fines g</t>
  </si>
  <si>
    <t>total sample g</t>
  </si>
  <si>
    <t>% stones</t>
  </si>
  <si>
    <t>% fines</t>
  </si>
  <si>
    <t>Db g cm-3</t>
  </si>
  <si>
    <t>% porosity</t>
  </si>
  <si>
    <t>wt fines</t>
  </si>
  <si>
    <t>Wt &gt;2mm</t>
  </si>
  <si>
    <t>Wt &lt;2mm</t>
  </si>
  <si>
    <t>% &gt;2mm</t>
  </si>
  <si>
    <t>% &lt;2mm</t>
  </si>
  <si>
    <t>Total wt</t>
  </si>
  <si>
    <t>Wt2-Wt3</t>
  </si>
  <si>
    <t>Wt1-Wt1a</t>
  </si>
  <si>
    <t>Wt2-Wt2a</t>
  </si>
  <si>
    <t>1 as % of 1a</t>
  </si>
  <si>
    <t>2 as % of 2a</t>
  </si>
  <si>
    <t>1a as % of 1</t>
  </si>
  <si>
    <t>2a as % of 2</t>
  </si>
  <si>
    <t>CaCO3 as % of mineral</t>
  </si>
  <si>
    <t>Burn3 as % of burn2</t>
  </si>
  <si>
    <t>Wt burnt 2</t>
  </si>
  <si>
    <t>Burn2 % of initial wt</t>
  </si>
  <si>
    <t>Burn2 % of burn2 wt</t>
  </si>
  <si>
    <t>32.0mm  bkr</t>
  </si>
  <si>
    <t>16.0mm bkr</t>
  </si>
  <si>
    <t>8.0mm bkr</t>
  </si>
  <si>
    <t>4.0mm bkr</t>
  </si>
  <si>
    <t>2.0mm bkr</t>
  </si>
  <si>
    <t>1.0mm bkr</t>
  </si>
  <si>
    <t>0.5mm bkr</t>
  </si>
  <si>
    <t>0.25mm bkr</t>
  </si>
  <si>
    <t>0.125mm bkr</t>
  </si>
  <si>
    <t>0.063mm bkr</t>
  </si>
  <si>
    <t>32.0mm+dry</t>
  </si>
  <si>
    <t>16.0mm+dry</t>
  </si>
  <si>
    <t>8.0mm+dry</t>
  </si>
  <si>
    <t>4.0mm+dry</t>
  </si>
  <si>
    <t>2.0mm+dry</t>
  </si>
  <si>
    <t>1.0mm+dry</t>
  </si>
  <si>
    <t>0.5mm+dry</t>
  </si>
  <si>
    <t>0.25mm+dry</t>
  </si>
  <si>
    <t>0.125mm+dry</t>
  </si>
  <si>
    <t>0.063mm+dry</t>
  </si>
  <si>
    <t>Calc 31</t>
  </si>
  <si>
    <t>Calc 32</t>
  </si>
  <si>
    <t>Calc 33</t>
  </si>
  <si>
    <t>Calc 34</t>
  </si>
  <si>
    <t>Calc 35</t>
  </si>
  <si>
    <t>Calc 36</t>
  </si>
  <si>
    <t>Calc 37</t>
  </si>
  <si>
    <t>Calc 38</t>
  </si>
  <si>
    <t>Calc 39</t>
  </si>
  <si>
    <t>Calc 40</t>
  </si>
  <si>
    <t>Calc 41</t>
  </si>
  <si>
    <t>Calc 42</t>
  </si>
  <si>
    <t>Calc 43</t>
  </si>
  <si>
    <t>Calc 44</t>
  </si>
  <si>
    <t>Calc 45</t>
  </si>
  <si>
    <t>Calc 46</t>
  </si>
  <si>
    <t>Calc 47</t>
  </si>
  <si>
    <t>Calc 48</t>
  </si>
  <si>
    <t>Calc 49</t>
  </si>
  <si>
    <t>Calc 50</t>
  </si>
  <si>
    <t>Calc 51</t>
  </si>
  <si>
    <t>of dry soil CaCO3 %</t>
  </si>
  <si>
    <t>1: Blank</t>
  </si>
  <si>
    <t>oldval</t>
  </si>
  <si>
    <t>currval</t>
  </si>
  <si>
    <t>copyval</t>
  </si>
  <si>
    <t>count</t>
  </si>
  <si>
    <t xml:space="preserve">1&gt; In cell A14 enter or paste from elsewhere labels </t>
  </si>
  <si>
    <t>3&gt; Enter filename to save-as or accept date-time name</t>
  </si>
  <si>
    <t xml:space="preserve">     &gt;      = weigh next step later</t>
  </si>
  <si>
    <r>
      <rPr>
        <sz val="14"/>
        <color theme="1"/>
        <rFont val="Work Sans"/>
      </rPr>
      <t xml:space="preserve">  »   </t>
    </r>
    <r>
      <rPr>
        <sz val="11"/>
        <color theme="1"/>
        <rFont val="Calibri"/>
        <family val="2"/>
        <scheme val="minor"/>
      </rPr>
      <t xml:space="preserve"> = weigh next step now</t>
    </r>
  </si>
  <si>
    <t>2&gt; Select setup from A1 drop-down list above</t>
  </si>
  <si>
    <t>Wet core</t>
  </si>
  <si>
    <t>Dry core</t>
  </si>
  <si>
    <t>Core ring</t>
  </si>
  <si>
    <t>Crucible</t>
  </si>
  <si>
    <t>Crucible + soil</t>
  </si>
  <si>
    <t>Burnt 550c</t>
  </si>
  <si>
    <t>wt wet soil</t>
  </si>
  <si>
    <t>wt dry soil</t>
  </si>
  <si>
    <t>wt LOI sample</t>
  </si>
  <si>
    <t>wt LOI residual</t>
  </si>
  <si>
    <t>% GSM</t>
  </si>
  <si>
    <t>Db g/cm3</t>
  </si>
  <si>
    <t>wt moisture</t>
  </si>
  <si>
    <t>%OM 550</t>
  </si>
  <si>
    <t>wt loss</t>
  </si>
  <si>
    <t xml:space="preserve"> fixed vol other sample &gt; dry &gt; &gt; LOI = %SM, DB, LOI (Vol=100.00)</t>
  </si>
  <si>
    <t>Tray</t>
  </si>
  <si>
    <t>Dry soil+tray</t>
  </si>
  <si>
    <t>Wet soil+tray</t>
  </si>
  <si>
    <t>Cruc + dry peat</t>
  </si>
  <si>
    <t>Burnt</t>
  </si>
  <si>
    <t>Dry wt</t>
  </si>
  <si>
    <t>Burnt residue</t>
  </si>
  <si>
    <t>Fixed vol peat Db-LOI: Cruc &gt; dry+peat &gt; burnt (Vol=10.00)</t>
  </si>
  <si>
    <t>Fixed vol peat %SM-Db-%LOI: Cruc &gt; wet wt &gt; dry &gt; burnt (Vol=10.00)</t>
  </si>
  <si>
    <t>Cruc+wet</t>
  </si>
  <si>
    <t>Cruc+dry</t>
  </si>
  <si>
    <t>Cruc+burnt 550c</t>
  </si>
  <si>
    <t>Wet wt</t>
  </si>
  <si>
    <t>Burn wt loss</t>
  </si>
  <si>
    <t>%SM</t>
  </si>
  <si>
    <r>
      <t xml:space="preserve">Fixed vol peat %SM-Db-%LOI: Cruc </t>
    </r>
    <r>
      <rPr>
        <b/>
        <sz val="16"/>
        <color theme="1"/>
        <rFont val="Calibri"/>
        <family val="2"/>
        <scheme val="minor"/>
      </rPr>
      <t>»</t>
    </r>
    <r>
      <rPr>
        <sz val="11"/>
        <color theme="1"/>
        <rFont val="Calibri"/>
        <family val="2"/>
        <scheme val="minor"/>
      </rPr>
      <t xml:space="preserve"> wet wt &gt; dry &gt; burnt (Vol=10.00)</t>
    </r>
  </si>
  <si>
    <t xml:space="preserve"> fixed vol other sample &gt; dry &gt; stones &gt; LOI = %SM, DB, stones, LOI (Vol=100.00)</t>
  </si>
  <si>
    <t>Wt stones</t>
  </si>
  <si>
    <t>Wt stones &gt;2mm</t>
  </si>
  <si>
    <t>Wt fine earth &lt;2mm</t>
  </si>
  <si>
    <t>Labcell soil core &gt; dry &gt; ring &gt; stones &gt; LOI = %SM, DB, Stones, LOI (Vol=248.82)</t>
  </si>
  <si>
    <t>UK pitman Soil core &gt; dry &gt; ring &gt; stones &gt; LOI = %SM, DB, sotnes, LOI (Vol=219.34)</t>
  </si>
  <si>
    <t>US pitman Soil core &gt; dry &gt; ring &gt; LOI = %SM, DB, LOI (Vol=68.20)</t>
  </si>
  <si>
    <t>US pitman Soil core &gt; dry &gt; ring &gt; stones &gt; LOI = %SM, DB, stones, LOI (Vol=68.20)</t>
  </si>
  <si>
    <t>fixed vol shallow sample &gt; dry &gt; LOI = %SM, DB, LOI (Vol=76.97)</t>
  </si>
  <si>
    <t>fixed vol shallow sample &gt; dry &gt; stones &gt; LOI = %SM, DB, stones, LOI (Vol=76.97)</t>
  </si>
  <si>
    <t>fixed vol deep sample &gt; dry &gt; LOI = %SM, DB, LOI (Vol=192.42)</t>
  </si>
  <si>
    <t xml:space="preserve"> fixed vol new sample &gt; dry &gt; LOI = %SM, DB, LOI (Vol=192.42)</t>
  </si>
  <si>
    <t>fixed vol deep sample &gt; dry &gt; stones &gt; LOI = %SM, DB, stones, LOI (Vol=192.42)</t>
  </si>
  <si>
    <t xml:space="preserve"> fixed vol new sample &gt; dry &gt; stones &gt; LOI = %SM, DB, stones, LOI (Vol=192.42)</t>
  </si>
  <si>
    <t>Average wt 6x9 bag</t>
  </si>
  <si>
    <t>Average wt no1 tray</t>
  </si>
  <si>
    <t>Wet soil in bag and tray</t>
  </si>
  <si>
    <t>Dry soil in tray</t>
  </si>
  <si>
    <t>Labcell soil core in 5x7 bag-in-tray &gt; dry &gt; stones &gt; LOI = %SM, DB, Stones, LOI (Vol=248.82)</t>
  </si>
  <si>
    <t>Labcell soil core in 6x9 bag-in-tray &gt; dry &gt; stones &gt; LOI = %SM, DB, Stones, LOI (Vol=248.82)</t>
  </si>
  <si>
    <t>variable soil core in bag-in-tray &gt; dry &gt; stones &gt; LOI = %SM, DB, Stones, LOI</t>
  </si>
  <si>
    <t>core volume cm-3</t>
  </si>
  <si>
    <t>Quick label / tare set</t>
  </si>
  <si>
    <t>notes / tare</t>
  </si>
  <si>
    <t>Sample jar + sediment</t>
  </si>
  <si>
    <t>SM tin</t>
  </si>
  <si>
    <t>SM tin+wet sampe</t>
  </si>
  <si>
    <t>Beaker &gt;5mm</t>
  </si>
  <si>
    <t>beaker 5-2mm</t>
  </si>
  <si>
    <t>beaker 2mm-710um</t>
  </si>
  <si>
    <t>beaker 710-425um</t>
  </si>
  <si>
    <t>beaker 425-250um</t>
  </si>
  <si>
    <t>beaker &lt;250um</t>
  </si>
  <si>
    <t>Dry sed+bkr &gt;5mm</t>
  </si>
  <si>
    <t>Dry sed+bkr 5-2mm</t>
  </si>
  <si>
    <t>Dry sed+bkr 2mm-710um</t>
  </si>
  <si>
    <t>Dry sed+bkr 710-425um</t>
  </si>
  <si>
    <t>Dry sed+bkr 425-250um</t>
  </si>
  <si>
    <t>Dry sed+bkr &lt;250um</t>
  </si>
  <si>
    <t>SM tin+dry sed</t>
  </si>
  <si>
    <t>Wt jar or average</t>
  </si>
  <si>
    <t>Wet sediment in jar</t>
  </si>
  <si>
    <t>Dry sediment</t>
  </si>
  <si>
    <t>moisture sample wt</t>
  </si>
  <si>
    <t>dry mositure sample</t>
  </si>
  <si>
    <t>% water content</t>
  </si>
  <si>
    <t>wt sed  &gt;5mm</t>
  </si>
  <si>
    <t>wt sed  5-2mm</t>
  </si>
  <si>
    <t>wt sed  2mm-710um</t>
  </si>
  <si>
    <t>wt sed  710-425um</t>
  </si>
  <si>
    <t>wt sed  425-250um</t>
  </si>
  <si>
    <t>wt sed  &lt;250um</t>
  </si>
  <si>
    <t>Wt paint &gt;5mm</t>
  </si>
  <si>
    <t>Wt paint 5mm-250um</t>
  </si>
  <si>
    <t>wt water in SM sample</t>
  </si>
  <si>
    <t>Sample jar after subsampling</t>
  </si>
  <si>
    <t>Wet wt sediment used</t>
  </si>
  <si>
    <t>Dry wt sediment used</t>
  </si>
  <si>
    <t>Andy Cheung pot &gt; SM tin &gt; SM tin+wet &gt; empty bkrs &gt; SM tin+dry &gt; bkrs + dry sediment &gt; MT jar &gt; LOI</t>
  </si>
  <si>
    <t>Wt paint &lt;250um</t>
  </si>
  <si>
    <t>LOI &lt;250um crucible</t>
  </si>
  <si>
    <t>LOI &lt;250um cruc+sed</t>
  </si>
  <si>
    <t>LOI &lt;250um burnt</t>
  </si>
  <si>
    <t>LOI 5mm-250um cruc+sed</t>
  </si>
  <si>
    <t>LOI 5mm-250um burnt</t>
  </si>
  <si>
    <t>LOI 5mm-250um crucible</t>
  </si>
  <si>
    <t>LOI 5mm-250 sample wt</t>
  </si>
  <si>
    <t>LOI 5mm-250 organic loss</t>
  </si>
  <si>
    <t>LOI 5mm-250 % OM</t>
  </si>
  <si>
    <t>LOI &lt;250um sample wt</t>
  </si>
  <si>
    <t>LOI &lt;250um organic loss</t>
  </si>
  <si>
    <t>LOI &lt;250um % OM</t>
  </si>
  <si>
    <t>Settling tube - 10 drops</t>
  </si>
  <si>
    <t>Drop 1</t>
  </si>
  <si>
    <t>Drop 2</t>
  </si>
  <si>
    <t>Drop 3</t>
  </si>
  <si>
    <t>Drop 4</t>
  </si>
  <si>
    <t>Drop 5</t>
  </si>
  <si>
    <t>Drop 6</t>
  </si>
  <si>
    <t>Drop 7</t>
  </si>
  <si>
    <t>Drop 8</t>
  </si>
  <si>
    <t>Drop 9</t>
  </si>
  <si>
    <t>Drop 10</t>
  </si>
  <si>
    <t>g</t>
  </si>
  <si>
    <t>ug</t>
  </si>
  <si>
    <t>mg</t>
  </si>
  <si>
    <t>dg</t>
  </si>
  <si>
    <t>kg</t>
  </si>
  <si>
    <t>oz</t>
  </si>
  <si>
    <t>lb</t>
  </si>
  <si>
    <r>
      <t xml:space="preserve">Selected weight Units </t>
    </r>
    <r>
      <rPr>
        <b/>
        <sz val="8"/>
        <rFont val="Arial"/>
        <family val="2"/>
      </rPr>
      <t>(edit in AH1:AH11)</t>
    </r>
  </si>
  <si>
    <t>LOI crucible</t>
  </si>
  <si>
    <t>Crucible + sed</t>
  </si>
  <si>
    <t>Post 550 burn</t>
  </si>
  <si>
    <t>LOI sample wt</t>
  </si>
  <si>
    <t>LOI residual wt</t>
  </si>
  <si>
    <t>% Organic matter</t>
  </si>
  <si>
    <t>LOI loss wt</t>
  </si>
  <si>
    <t>Root corer soil core in 6x9 bag-in-tray &gt; dry &gt; stones &gt; LOI = %SM, DB, Stones, LOI (Vol=248.82)</t>
  </si>
  <si>
    <t>Labcell soil core &gt; dry &gt; ring &gt; Stones &gt; LOI = %SM, DB, LOI (Vol=248.82)</t>
  </si>
  <si>
    <t>Wt Stones &gt;2mm + no.1 tray</t>
  </si>
  <si>
    <t>Wt Stones &gt;2mm</t>
  </si>
  <si>
    <t>% stones &gt;2mm</t>
  </si>
  <si>
    <t>UK pitman Soil core &gt; dry &gt; ring &gt; Stones &gt; LOI = %SM, DB, LOI (Vol=219.34)</t>
  </si>
  <si>
    <t>Wt stones in no.1 tray</t>
  </si>
  <si>
    <t xml:space="preserve">PSA dry sieve 128mm - 1mm @ 1/2 phi intervals (for laser difffraction)                     </t>
  </si>
  <si>
    <t>1_1_1</t>
  </si>
  <si>
    <t>1_1_2</t>
  </si>
  <si>
    <t>1_1_3</t>
  </si>
  <si>
    <t>1_1_4</t>
  </si>
  <si>
    <t>1_1_5</t>
  </si>
  <si>
    <t>1_1_6</t>
  </si>
  <si>
    <t>1_1_7</t>
  </si>
  <si>
    <t>1_1_8</t>
  </si>
  <si>
    <t>1_1_9</t>
  </si>
  <si>
    <t>1_1_10</t>
  </si>
  <si>
    <t>1_2_1</t>
  </si>
  <si>
    <t>1_2_2</t>
  </si>
  <si>
    <t>1_2_3</t>
  </si>
  <si>
    <t>1_2_4</t>
  </si>
  <si>
    <t>1_2_5</t>
  </si>
  <si>
    <t>1_2_6</t>
  </si>
  <si>
    <t>1_2_7</t>
  </si>
  <si>
    <t>1_2_8</t>
  </si>
  <si>
    <t>1_2_9</t>
  </si>
  <si>
    <t>1_2_10</t>
  </si>
  <si>
    <t>2_1_1</t>
  </si>
  <si>
    <t>2_1_2</t>
  </si>
  <si>
    <t>2_1_3</t>
  </si>
  <si>
    <t>2_1_4</t>
  </si>
  <si>
    <t>2_1_5</t>
  </si>
  <si>
    <t>2_1_6</t>
  </si>
  <si>
    <t>2_1_7</t>
  </si>
  <si>
    <t>2_1_8</t>
  </si>
  <si>
    <t>2_1_9</t>
  </si>
  <si>
    <t>2_1_10</t>
  </si>
  <si>
    <t>2_1_11</t>
  </si>
  <si>
    <t>2_2_1</t>
  </si>
  <si>
    <t>2_2_2</t>
  </si>
  <si>
    <t>2_2_3</t>
  </si>
  <si>
    <t>2_2_4</t>
  </si>
  <si>
    <t>2_2_5</t>
  </si>
  <si>
    <t>2_2_6</t>
  </si>
  <si>
    <t>2_2_7</t>
  </si>
  <si>
    <t>2_2_8</t>
  </si>
  <si>
    <t>2_2_9</t>
  </si>
  <si>
    <t>2_2_10</t>
  </si>
  <si>
    <t>2_3_1</t>
  </si>
  <si>
    <t>2_3_2</t>
  </si>
  <si>
    <t>2_3_3</t>
  </si>
  <si>
    <t>2_3_4</t>
  </si>
  <si>
    <t>2_3_5</t>
  </si>
  <si>
    <t>2_3_6</t>
  </si>
  <si>
    <t>2_3_7</t>
  </si>
  <si>
    <t>2_3_8</t>
  </si>
  <si>
    <t>2_3_9</t>
  </si>
  <si>
    <t>2_3_10</t>
  </si>
  <si>
    <t>2_7_1</t>
  </si>
  <si>
    <t>2_7_2</t>
  </si>
  <si>
    <t>2_7_3</t>
  </si>
  <si>
    <t>2_7_4</t>
  </si>
  <si>
    <t>2_7_5</t>
  </si>
  <si>
    <t>2_7_6</t>
  </si>
  <si>
    <t>2_7_7</t>
  </si>
  <si>
    <t>2_7_8</t>
  </si>
  <si>
    <t>2_7_9</t>
  </si>
  <si>
    <t>2_7_10</t>
  </si>
  <si>
    <t>2_7_11</t>
  </si>
  <si>
    <t>1_3_1</t>
  </si>
  <si>
    <t>1_3_2</t>
  </si>
  <si>
    <t>1_3_3</t>
  </si>
  <si>
    <t>1_3_4</t>
  </si>
  <si>
    <t>1_3_5</t>
  </si>
  <si>
    <t>1_3_6</t>
  </si>
  <si>
    <t>1_3_7</t>
  </si>
  <si>
    <t>1_3_8</t>
  </si>
  <si>
    <t>1_3_9</t>
  </si>
  <si>
    <t>1_3_10</t>
  </si>
  <si>
    <t>1_4_1</t>
  </si>
  <si>
    <t>1_4_2</t>
  </si>
  <si>
    <t>1_4_3</t>
  </si>
  <si>
    <t>1_4_4</t>
  </si>
  <si>
    <t>1_4_5</t>
  </si>
  <si>
    <t>1_4_6</t>
  </si>
  <si>
    <t>1_4_7</t>
  </si>
  <si>
    <t>1_4_8</t>
  </si>
  <si>
    <t>1_4_9</t>
  </si>
  <si>
    <t>1_4_10</t>
  </si>
  <si>
    <t>1_4_11</t>
  </si>
  <si>
    <t>2_4_1</t>
  </si>
  <si>
    <t>2_4_2</t>
  </si>
  <si>
    <t>2_4_3</t>
  </si>
  <si>
    <t>2_4_4</t>
  </si>
  <si>
    <t>2_4_5</t>
  </si>
  <si>
    <t>2_4_6</t>
  </si>
  <si>
    <t>2_4_7</t>
  </si>
  <si>
    <t>2_4_8</t>
  </si>
  <si>
    <t>2_4_9</t>
  </si>
  <si>
    <t>2_4_10</t>
  </si>
  <si>
    <t>2_4_11</t>
  </si>
  <si>
    <t>2_5_1</t>
  </si>
  <si>
    <t>2_5_2</t>
  </si>
  <si>
    <t>2_5_3</t>
  </si>
  <si>
    <t>2_5_4</t>
  </si>
  <si>
    <t>2_5_5</t>
  </si>
  <si>
    <t>2_5_6</t>
  </si>
  <si>
    <t>2_5_7</t>
  </si>
  <si>
    <t>2_5_8</t>
  </si>
  <si>
    <t>2_5_9</t>
  </si>
  <si>
    <t>2_5_10</t>
  </si>
  <si>
    <t>2_6_1</t>
  </si>
  <si>
    <t>2_6_2</t>
  </si>
  <si>
    <t>2_6_3</t>
  </si>
  <si>
    <t>2_6_4</t>
  </si>
  <si>
    <t>2_6_5</t>
  </si>
  <si>
    <t>2_6_6</t>
  </si>
  <si>
    <t>2_6_7</t>
  </si>
  <si>
    <t>2_6_8</t>
  </si>
  <si>
    <t>2_6_9</t>
  </si>
  <si>
    <t>2_6_10</t>
  </si>
  <si>
    <t>2_6_11</t>
  </si>
  <si>
    <t>2_8_1</t>
  </si>
  <si>
    <t>2_8_2</t>
  </si>
  <si>
    <t>2_8_3</t>
  </si>
  <si>
    <t>2_8_4</t>
  </si>
  <si>
    <t>2_8_5</t>
  </si>
  <si>
    <t>2_8_6</t>
  </si>
  <si>
    <t>2_8_7</t>
  </si>
  <si>
    <t>2_8_8</t>
  </si>
  <si>
    <t>2_8_9</t>
  </si>
  <si>
    <t>2_8_10</t>
  </si>
  <si>
    <t>2_8_11</t>
  </si>
  <si>
    <t>1_5_1</t>
  </si>
  <si>
    <t>1_5_2</t>
  </si>
  <si>
    <t>1_5_3</t>
  </si>
  <si>
    <t>1_5_4</t>
  </si>
  <si>
    <t>1_5_5</t>
  </si>
  <si>
    <t>1_5_6</t>
  </si>
  <si>
    <t>1_5_7</t>
  </si>
  <si>
    <t>1_5_8</t>
  </si>
  <si>
    <t>1_5_9</t>
  </si>
  <si>
    <t>1_5_10</t>
  </si>
  <si>
    <t>1_5_11</t>
  </si>
  <si>
    <t>1_6_1</t>
  </si>
  <si>
    <t>1_6_2</t>
  </si>
  <si>
    <t>1_6_3</t>
  </si>
  <si>
    <t>1_6_4</t>
  </si>
  <si>
    <t>1_6_5</t>
  </si>
  <si>
    <t>1_6_6</t>
  </si>
  <si>
    <t>1_6_7</t>
  </si>
  <si>
    <t>1_6_8</t>
  </si>
  <si>
    <t>1_6_9</t>
  </si>
  <si>
    <t>1_6_10</t>
  </si>
  <si>
    <t>1_6_11</t>
  </si>
  <si>
    <t>2_9_1</t>
  </si>
  <si>
    <t>2_9_2</t>
  </si>
  <si>
    <t>2_9_3</t>
  </si>
  <si>
    <t>2_9_4</t>
  </si>
  <si>
    <t>2_9_5</t>
  </si>
  <si>
    <t>2_9_6</t>
  </si>
  <si>
    <t>2_9_7</t>
  </si>
  <si>
    <t>2_9_8</t>
  </si>
  <si>
    <t>2_9_9</t>
  </si>
  <si>
    <t>2_9_10</t>
  </si>
  <si>
    <t>2_9_11</t>
  </si>
  <si>
    <t>2_10_1</t>
  </si>
  <si>
    <t>2_10_2</t>
  </si>
  <si>
    <t>2_10_3</t>
  </si>
  <si>
    <t>2_10_4</t>
  </si>
  <si>
    <t>2_10_5</t>
  </si>
  <si>
    <t>2_10_6</t>
  </si>
  <si>
    <t>2_10_7</t>
  </si>
  <si>
    <t>2_10_8</t>
  </si>
  <si>
    <t>2_10_9</t>
  </si>
  <si>
    <t>2_10_10</t>
  </si>
  <si>
    <t>2_10_11</t>
  </si>
  <si>
    <t>2_11_1</t>
  </si>
  <si>
    <t>2_11_2</t>
  </si>
  <si>
    <t>2_11_3</t>
  </si>
  <si>
    <t>2_11_4</t>
  </si>
  <si>
    <t>2_11_5</t>
  </si>
  <si>
    <t>2_11_6</t>
  </si>
  <si>
    <t>2_11_7</t>
  </si>
  <si>
    <t>2_11_8</t>
  </si>
  <si>
    <t>2_11_9</t>
  </si>
  <si>
    <t>2_11_10</t>
  </si>
  <si>
    <t>2_12_1</t>
  </si>
  <si>
    <t>2_12_2</t>
  </si>
  <si>
    <t>2_12_3</t>
  </si>
  <si>
    <t>2_12_4</t>
  </si>
  <si>
    <t>2_12_5</t>
  </si>
  <si>
    <t>2_12_6</t>
  </si>
  <si>
    <t>2_12_7</t>
  </si>
  <si>
    <t>2_12_8</t>
  </si>
  <si>
    <t>2_12_9</t>
  </si>
  <si>
    <t>2_12_10</t>
  </si>
  <si>
    <t>1: one-off 'single list' weighing</t>
  </si>
  <si>
    <t>4 or 5-DP ANALYTICAL</t>
  </si>
  <si>
    <t>Data In (From 4 or 5-DP ANALYTICAL (COM15))</t>
  </si>
  <si>
    <t>1_7_1</t>
  </si>
  <si>
    <t>1_7_2</t>
  </si>
  <si>
    <t>1_7_3</t>
  </si>
  <si>
    <t>1_7_4</t>
  </si>
  <si>
    <t>1_7_5</t>
  </si>
  <si>
    <t>1_7_6</t>
  </si>
  <si>
    <t>1_7_7</t>
  </si>
  <si>
    <t>1_7_8</t>
  </si>
  <si>
    <t>1_7_9</t>
  </si>
  <si>
    <t>1_7_10</t>
  </si>
  <si>
    <t>1_8_1</t>
  </si>
  <si>
    <t>1_8_2</t>
  </si>
  <si>
    <t>1_8_3</t>
  </si>
  <si>
    <t>1_8_4</t>
  </si>
  <si>
    <t>1_8_5</t>
  </si>
  <si>
    <t>1_8_6</t>
  </si>
  <si>
    <t>1_8_7</t>
  </si>
  <si>
    <t>1_8_8</t>
  </si>
  <si>
    <t>1_8_9</t>
  </si>
  <si>
    <t>1_8_10</t>
  </si>
  <si>
    <t>1_9_1</t>
  </si>
  <si>
    <t>1_9_2</t>
  </si>
  <si>
    <t>1_9_3</t>
  </si>
  <si>
    <t>1_9_4</t>
  </si>
  <si>
    <t>1_9_5</t>
  </si>
  <si>
    <t>1_9_6</t>
  </si>
  <si>
    <t>1_9_7</t>
  </si>
  <si>
    <t>1_9_8</t>
  </si>
  <si>
    <t>1_9_9</t>
  </si>
  <si>
    <t>1_9_10</t>
  </si>
  <si>
    <t>1_9_11</t>
  </si>
  <si>
    <t>2_13_1</t>
  </si>
  <si>
    <t>2_13_2</t>
  </si>
  <si>
    <t>2_13_3</t>
  </si>
  <si>
    <t>2_13_4</t>
  </si>
  <si>
    <t>2_13_5</t>
  </si>
  <si>
    <t>2_13_6</t>
  </si>
  <si>
    <t>2_13_7</t>
  </si>
  <si>
    <t>2_13_8</t>
  </si>
  <si>
    <t>2_13_9</t>
  </si>
  <si>
    <t>2_13_10</t>
  </si>
  <si>
    <t>2_14_1</t>
  </si>
  <si>
    <t>2_14_2</t>
  </si>
  <si>
    <t>2_14_3</t>
  </si>
  <si>
    <t>2_14_4</t>
  </si>
  <si>
    <t>2_14_5</t>
  </si>
  <si>
    <t>2_14_6</t>
  </si>
  <si>
    <t>2_14_7</t>
  </si>
  <si>
    <t>2_14_8</t>
  </si>
  <si>
    <t>2_14_9</t>
  </si>
  <si>
    <t>2_14_10</t>
  </si>
  <si>
    <t>2_14_11</t>
  </si>
  <si>
    <t>1_10_1</t>
  </si>
  <si>
    <t>1_10_2</t>
  </si>
  <si>
    <t>1_10_3</t>
  </si>
  <si>
    <t>1_10_4</t>
  </si>
  <si>
    <t>1_10_5</t>
  </si>
  <si>
    <t>1_10_6</t>
  </si>
  <si>
    <t>1_10_7</t>
  </si>
  <si>
    <t>1_10_8</t>
  </si>
  <si>
    <t>1_10_9</t>
  </si>
  <si>
    <t>1_10_10</t>
  </si>
  <si>
    <t>1_10_11</t>
  </si>
  <si>
    <t>1_11_1</t>
  </si>
  <si>
    <t>1_11_2</t>
  </si>
  <si>
    <t>1_11_3</t>
  </si>
  <si>
    <t>1_11_4</t>
  </si>
  <si>
    <t>1_11_5</t>
  </si>
  <si>
    <t>1_11_6</t>
  </si>
  <si>
    <t>1_11_7</t>
  </si>
  <si>
    <t>1_11_8</t>
  </si>
  <si>
    <t>1_11_9</t>
  </si>
  <si>
    <t>1_11_10</t>
  </si>
  <si>
    <t>1_12_1</t>
  </si>
  <si>
    <t>1_12_2</t>
  </si>
  <si>
    <t>1_12_3</t>
  </si>
  <si>
    <t>1_12_4</t>
  </si>
  <si>
    <t>1_12_5</t>
  </si>
  <si>
    <t>1_12_6</t>
  </si>
  <si>
    <t>1_12_7</t>
  </si>
  <si>
    <t>1_12_8</t>
  </si>
  <si>
    <t>1_12_9</t>
  </si>
  <si>
    <t>1_12_10</t>
  </si>
  <si>
    <t>1_12_11</t>
  </si>
  <si>
    <t>2_15_1</t>
  </si>
  <si>
    <t>2_15_2</t>
  </si>
  <si>
    <t>2_15_3</t>
  </si>
  <si>
    <t>2_15_4</t>
  </si>
  <si>
    <t>2_15_5</t>
  </si>
  <si>
    <t>2_15_6</t>
  </si>
  <si>
    <t>2_15_7</t>
  </si>
  <si>
    <t>2_15_8</t>
  </si>
  <si>
    <t>2_15_9</t>
  </si>
  <si>
    <t>2_15_10</t>
  </si>
  <si>
    <t>2_16_1</t>
  </si>
  <si>
    <t>2_16_2</t>
  </si>
  <si>
    <t>2_16_3</t>
  </si>
  <si>
    <t>2_16_4</t>
  </si>
  <si>
    <t>2_16_5</t>
  </si>
  <si>
    <t>2_16_6</t>
  </si>
  <si>
    <t>2_16_7</t>
  </si>
  <si>
    <t>2_16_8</t>
  </si>
  <si>
    <t>2_16_9</t>
  </si>
  <si>
    <t>2_16_10</t>
  </si>
  <si>
    <t>2_17_1</t>
  </si>
  <si>
    <t>2_17_2</t>
  </si>
  <si>
    <t>2_17_3</t>
  </si>
  <si>
    <t>2_17_4</t>
  </si>
  <si>
    <t>2_17_5</t>
  </si>
  <si>
    <t>2_17_6</t>
  </si>
  <si>
    <t>2_17_7</t>
  </si>
  <si>
    <t>2_17_8</t>
  </si>
  <si>
    <t>2_17_9</t>
  </si>
  <si>
    <t>2_17_10</t>
  </si>
  <si>
    <t>2_18_1</t>
  </si>
  <si>
    <t>2_18_2</t>
  </si>
  <si>
    <t>2_18_3</t>
  </si>
  <si>
    <t>2_18_4</t>
  </si>
  <si>
    <t>2_18_5</t>
  </si>
  <si>
    <t>2_18_6</t>
  </si>
  <si>
    <t>2_18_7</t>
  </si>
  <si>
    <t>2_18_8</t>
  </si>
  <si>
    <t>2_18_9</t>
  </si>
  <si>
    <t>2_18_10</t>
  </si>
  <si>
    <t>2_18_11</t>
  </si>
  <si>
    <t>Blank</t>
  </si>
  <si>
    <t>089DF31B-2B64-4859-8A99-D165C7E3E593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</si>
  <si>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089DF31B-2B64-4859-8A99-D165C7E3E593","IsGenerated":true,"Name":"4 or 5-DP ANALYTICAL","Version":null,"BaudRate":1200}</t>
  </si>
  <si>
    <t>+  2.31584 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</si>
</sst>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h:mm:ss.00"/>
    <numFmt numFmtId="165" formatCode=";;;"/>
    <numFmt numFmtId="166" formatCode="[$-F400]h:mm:ss\ AM/PM"/>
    <numFmt numFmtId="167" formatCode="0.00000000000000"/>
    <numFmt numFmtId="168" formatCode="0.000"/>
  </numFmts>
  <fonts count="43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color rgb="FF000000"/>
      <name val="Segoe UI"/>
      <family val="2"/>
    </font>
    <font>
      <sz val="11"/>
      <color rgb="FF9C0006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b/>
      <sz val="13"/>
      <name val="Calibri"/>
      <family val="2"/>
      <scheme val="minor"/>
    </font>
    <font>
      <b/>
      <sz val="10"/>
      <color rgb="FFFFFF00"/>
      <name val="Arial"/>
      <family val="2"/>
    </font>
    <font>
      <b/>
      <sz val="11"/>
      <color rgb="FFFFFF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Work Sans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8"/>
      <name val="Arial"/>
      <family val="2"/>
    </font>
    <font>
      <b/>
      <sz val="16"/>
      <color rgb="FFFF00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fgColor rgb="FFFF0000"/>
        <bgColor theme="0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18" fillId="17" borderId="0" applyNumberFormat="0" applyBorder="0" applyAlignment="0" applyProtection="0"/>
    <xf numFmtId="0" fontId="26" fillId="18" borderId="0" applyNumberFormat="0" applyBorder="0" applyAlignment="0" applyProtection="0"/>
  </cellStyleXfs>
  <cellXfs count="139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4" fillId="2" borderId="0" xfId="0" applyFont="1" applyFill="1" applyAlignment="1" applyProtection="1">
      <alignment horizontal="left"/>
    </xf>
    <xf numFmtId="0" fontId="10" fillId="5" borderId="0" xfId="0" applyFont="1" applyFill="1" applyAlignment="1" applyProtection="1">
      <alignment horizontal="left" vertical="center" indent="1"/>
      <protection locked="0"/>
    </xf>
    <xf numFmtId="0" fontId="11" fillId="6" borderId="3" xfId="0" applyFont="1" applyFill="1" applyBorder="1" applyAlignment="1" applyProtection="1">
      <alignment horizontal="left" vertical="center" indent="1"/>
      <protection locked="0"/>
    </xf>
    <xf numFmtId="0" fontId="6" fillId="6" borderId="0" xfId="0" applyFont="1" applyFill="1" applyBorder="1" applyAlignment="1" applyProtection="1">
      <alignment horizontal="left" vertical="center" indent="1"/>
      <protection locked="0"/>
    </xf>
    <xf numFmtId="0" fontId="6" fillId="6" borderId="4" xfId="0" applyFont="1" applyFill="1" applyBorder="1" applyAlignment="1" applyProtection="1">
      <alignment horizontal="left" vertical="center" indent="1"/>
      <protection locked="0"/>
    </xf>
    <xf numFmtId="0" fontId="11" fillId="6" borderId="5" xfId="0" applyFont="1" applyFill="1" applyBorder="1" applyAlignment="1" applyProtection="1">
      <alignment horizontal="left" vertical="center" indent="1"/>
      <protection locked="0"/>
    </xf>
    <xf numFmtId="0" fontId="6" fillId="6" borderId="6" xfId="0" applyFont="1" applyFill="1" applyBorder="1" applyAlignment="1" applyProtection="1">
      <alignment horizontal="left" vertical="center" indent="1"/>
      <protection locked="0"/>
    </xf>
    <xf numFmtId="0" fontId="6" fillId="6" borderId="7" xfId="0" applyFont="1" applyFill="1" applyBorder="1" applyAlignment="1" applyProtection="1">
      <alignment horizontal="left" vertical="center" indent="1"/>
      <protection locked="0"/>
    </xf>
    <xf numFmtId="0" fontId="6" fillId="6" borderId="8" xfId="0" applyFont="1" applyFill="1" applyBorder="1" applyAlignment="1" applyProtection="1">
      <alignment horizontal="left" vertical="center" indent="1"/>
      <protection locked="0"/>
    </xf>
    <xf numFmtId="0" fontId="6" fillId="6" borderId="10" xfId="0" applyFont="1" applyFill="1" applyBorder="1" applyAlignment="1" applyProtection="1">
      <alignment horizontal="left" vertical="center" indent="1"/>
      <protection locked="0"/>
    </xf>
    <xf numFmtId="0" fontId="11" fillId="6" borderId="9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5" fillId="7" borderId="0" xfId="0" applyFont="1" applyFill="1" applyAlignment="1" applyProtection="1">
      <alignment horizontal="left" vertical="center" indent="1"/>
    </xf>
    <xf numFmtId="0" fontId="12" fillId="7" borderId="0" xfId="0" applyFont="1" applyFill="1" applyAlignment="1" applyProtection="1">
      <alignment horizontal="left" vertical="center" indent="1"/>
      <protection locked="0"/>
    </xf>
    <xf numFmtId="0" fontId="6" fillId="2" borderId="11" xfId="0" applyFont="1" applyFill="1" applyBorder="1" applyAlignment="1" applyProtection="1">
      <alignment horizontal="left" vertical="center" indent="1"/>
      <protection locked="0"/>
    </xf>
    <xf numFmtId="0" fontId="14" fillId="8" borderId="12" xfId="0" applyFont="1" applyFill="1" applyBorder="1" applyAlignment="1" applyProtection="1">
      <alignment horizontal="center" vertical="center"/>
    </xf>
    <xf numFmtId="0" fontId="14" fillId="8" borderId="13" xfId="0" applyFont="1" applyFill="1" applyBorder="1" applyAlignment="1" applyProtection="1">
      <alignment horizontal="center" vertical="center"/>
    </xf>
    <xf numFmtId="0" fontId="15" fillId="9" borderId="15" xfId="0" applyFont="1" applyFill="1" applyBorder="1" applyAlignment="1" applyProtection="1">
      <alignment horizontal="right" vertical="center" indent="1"/>
      <protection locked="0"/>
    </xf>
    <xf numFmtId="0" fontId="10" fillId="10" borderId="0" xfId="0" applyFont="1" applyFill="1" applyAlignment="1">
      <alignment horizontal="center" vertical="center"/>
    </xf>
    <xf numFmtId="0" fontId="15" fillId="11" borderId="16" xfId="0" applyFont="1" applyFill="1" applyBorder="1" applyAlignment="1" applyProtection="1">
      <alignment horizontal="right" vertical="center" indent="1"/>
      <protection locked="0"/>
    </xf>
    <xf numFmtId="164" fontId="15" fillId="11" borderId="16" xfId="0" applyNumberFormat="1" applyFont="1" applyFill="1" applyBorder="1" applyAlignment="1" applyProtection="1">
      <alignment horizontal="left" vertical="center" indent="1"/>
      <protection locked="0"/>
    </xf>
    <xf numFmtId="0" fontId="15" fillId="12" borderId="18" xfId="0" applyFont="1" applyFill="1" applyBorder="1" applyAlignment="1" applyProtection="1">
      <alignment horizontal="right" vertical="center" indent="1"/>
      <protection locked="0"/>
    </xf>
    <xf numFmtId="0" fontId="15" fillId="12" borderId="19" xfId="0" applyFont="1" applyFill="1" applyBorder="1" applyAlignment="1" applyProtection="1">
      <alignment horizontal="right" vertical="center" indent="1"/>
      <protection locked="0"/>
    </xf>
    <xf numFmtId="164" fontId="15" fillId="12" borderId="18" xfId="0" applyNumberFormat="1" applyFont="1" applyFill="1" applyBorder="1" applyAlignment="1" applyProtection="1">
      <alignment horizontal="left" vertical="center" indent="1"/>
      <protection locked="0"/>
    </xf>
    <xf numFmtId="164" fontId="15" fillId="12" borderId="19" xfId="0" applyNumberFormat="1" applyFont="1" applyFill="1" applyBorder="1" applyAlignment="1" applyProtection="1">
      <alignment horizontal="left" vertical="center" indent="1"/>
      <protection locked="0"/>
    </xf>
    <xf numFmtId="164" fontId="15" fillId="13" borderId="19" xfId="0" applyNumberFormat="1" applyFont="1" applyFill="1" applyBorder="1" applyAlignment="1" applyProtection="1">
      <alignment horizontal="left" vertical="center" indent="1"/>
      <protection locked="0"/>
    </xf>
    <xf numFmtId="0" fontId="15" fillId="13" borderId="19" xfId="0" applyFont="1" applyFill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center"/>
    </xf>
    <xf numFmtId="0" fontId="0" fillId="0" borderId="20" xfId="0" applyBorder="1"/>
    <xf numFmtId="0" fontId="0" fillId="0" borderId="14" xfId="0" applyBorder="1" applyAlignment="1">
      <alignment horizontal="center"/>
    </xf>
    <xf numFmtId="0" fontId="0" fillId="0" borderId="22" xfId="0" applyBorder="1"/>
    <xf numFmtId="0" fontId="0" fillId="0" borderId="0" xfId="0" applyAlignment="1">
      <alignment horizontal="left"/>
    </xf>
    <xf numFmtId="165" fontId="0" fillId="0" borderId="0" xfId="0" applyNumberFormat="1"/>
    <xf numFmtId="0" fontId="1" fillId="0" borderId="0" xfId="1" applyBorder="1" applyAlignment="1">
      <alignment wrapText="1"/>
    </xf>
    <xf numFmtId="0" fontId="1" fillId="0" borderId="0" xfId="1" applyBorder="1"/>
    <xf numFmtId="0" fontId="0" fillId="16" borderId="0" xfId="0" applyFill="1"/>
    <xf numFmtId="167" fontId="0" fillId="0" borderId="0" xfId="0" applyNumberFormat="1"/>
    <xf numFmtId="0" fontId="0" fillId="0" borderId="23" xfId="0" applyBorder="1"/>
    <xf numFmtId="0" fontId="0" fillId="0" borderId="24" xfId="0" applyBorder="1" applyAlignment="1">
      <alignment horizontal="center"/>
    </xf>
    <xf numFmtId="0" fontId="0" fillId="0" borderId="24" xfId="0" applyBorder="1" applyAlignment="1">
      <alignment horizontal="center" wrapText="1"/>
    </xf>
    <xf numFmtId="0" fontId="0" fillId="0" borderId="25" xfId="0" applyBorder="1" applyAlignment="1">
      <alignment horizontal="center"/>
    </xf>
    <xf numFmtId="0" fontId="0" fillId="0" borderId="14" xfId="0" applyBorder="1"/>
    <xf numFmtId="166" fontId="18" fillId="17" borderId="14" xfId="2" applyNumberFormat="1" applyBorder="1"/>
    <xf numFmtId="0" fontId="15" fillId="11" borderId="16" xfId="0" quotePrefix="1" applyFont="1" applyFill="1" applyBorder="1" applyAlignment="1" applyProtection="1">
      <alignment horizontal="right" vertical="center" indent="1"/>
      <protection locked="0"/>
    </xf>
    <xf numFmtId="0" fontId="15" fillId="13" borderId="19" xfId="0" quotePrefix="1" applyFont="1" applyFill="1" applyBorder="1" applyAlignment="1" applyProtection="1">
      <alignment horizontal="right" vertical="center" indent="1"/>
      <protection locked="0"/>
    </xf>
    <xf numFmtId="0" fontId="20" fillId="0" borderId="14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21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NumberFormat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0" xfId="0" applyAlignment="1">
      <alignment wrapText="1"/>
    </xf>
    <xf numFmtId="0" fontId="1" fillId="0" borderId="0" xfId="1" applyBorder="1" applyAlignment="1">
      <alignment horizontal="center" wrapText="1"/>
    </xf>
    <xf numFmtId="0" fontId="27" fillId="15" borderId="31" xfId="1" applyFont="1" applyFill="1" applyBorder="1" applyAlignment="1">
      <alignment horizontal="center" wrapText="1"/>
    </xf>
    <xf numFmtId="0" fontId="0" fillId="0" borderId="30" xfId="0" applyBorder="1"/>
    <xf numFmtId="0" fontId="0" fillId="0" borderId="33" xfId="0" applyBorder="1"/>
    <xf numFmtId="0" fontId="0" fillId="0" borderId="32" xfId="0" applyBorder="1"/>
    <xf numFmtId="0" fontId="18" fillId="17" borderId="32" xfId="2" applyBorder="1"/>
    <xf numFmtId="0" fontId="18" fillId="17" borderId="32" xfId="2" applyBorder="1" applyAlignment="1">
      <alignment horizontal="center"/>
    </xf>
    <xf numFmtId="0" fontId="0" fillId="0" borderId="34" xfId="0" applyBorder="1"/>
    <xf numFmtId="0" fontId="18" fillId="17" borderId="34" xfId="2" applyBorder="1"/>
    <xf numFmtId="0" fontId="18" fillId="17" borderId="34" xfId="2" applyBorder="1" applyAlignment="1">
      <alignment horizontal="center"/>
    </xf>
    <xf numFmtId="0" fontId="26" fillId="0" borderId="34" xfId="3" applyFill="1" applyBorder="1"/>
    <xf numFmtId="0" fontId="27" fillId="0" borderId="35" xfId="1" applyFont="1" applyBorder="1"/>
    <xf numFmtId="0" fontId="28" fillId="0" borderId="35" xfId="1" applyFont="1" applyBorder="1"/>
    <xf numFmtId="0" fontId="27" fillId="0" borderId="35" xfId="0" applyFont="1" applyBorder="1"/>
    <xf numFmtId="0" fontId="0" fillId="0" borderId="0" xfId="0" applyBorder="1" applyAlignment="1">
      <alignment wrapText="1"/>
    </xf>
    <xf numFmtId="0" fontId="27" fillId="19" borderId="31" xfId="1" applyFont="1" applyFill="1" applyBorder="1" applyAlignment="1">
      <alignment horizontal="center" wrapText="1"/>
    </xf>
    <xf numFmtId="0" fontId="27" fillId="0" borderId="0" xfId="1" applyFont="1" applyBorder="1"/>
    <xf numFmtId="0" fontId="0" fillId="0" borderId="36" xfId="0" applyBorder="1"/>
    <xf numFmtId="0" fontId="0" fillId="0" borderId="36" xfId="0" applyBorder="1" applyAlignment="1">
      <alignment wrapText="1"/>
    </xf>
    <xf numFmtId="0" fontId="27" fillId="0" borderId="36" xfId="1" applyFont="1" applyBorder="1"/>
    <xf numFmtId="0" fontId="27" fillId="0" borderId="0" xfId="1" applyFont="1" applyFill="1" applyBorder="1"/>
    <xf numFmtId="0" fontId="0" fillId="0" borderId="26" xfId="0" applyBorder="1"/>
    <xf numFmtId="0" fontId="0" fillId="0" borderId="24" xfId="0" applyBorder="1"/>
    <xf numFmtId="0" fontId="0" fillId="0" borderId="0" xfId="0" quotePrefix="1"/>
    <xf numFmtId="0" fontId="0" fillId="0" borderId="0" xfId="0" applyBorder="1"/>
    <xf numFmtId="2" fontId="0" fillId="0" borderId="0" xfId="0" applyNumberFormat="1"/>
    <xf numFmtId="0" fontId="30" fillId="14" borderId="14" xfId="0" applyFont="1" applyFill="1" applyBorder="1" applyAlignment="1">
      <alignment horizontal="center"/>
    </xf>
    <xf numFmtId="0" fontId="19" fillId="14" borderId="31" xfId="2" applyFont="1" applyFill="1" applyBorder="1"/>
    <xf numFmtId="0" fontId="0" fillId="20" borderId="0" xfId="0" applyFill="1"/>
    <xf numFmtId="0" fontId="32" fillId="20" borderId="0" xfId="0" applyFont="1" applyFill="1" applyAlignment="1"/>
    <xf numFmtId="0" fontId="32" fillId="20" borderId="36" xfId="0" applyFont="1" applyFill="1" applyBorder="1" applyAlignment="1"/>
    <xf numFmtId="0" fontId="33" fillId="0" borderId="32" xfId="0" applyFont="1" applyBorder="1"/>
    <xf numFmtId="0" fontId="0" fillId="0" borderId="0" xfId="0" applyAlignment="1">
      <alignment vertical="center"/>
    </xf>
    <xf numFmtId="0" fontId="29" fillId="14" borderId="37" xfId="0" applyFont="1" applyFill="1" applyBorder="1" applyAlignment="1">
      <alignment horizontal="center"/>
    </xf>
    <xf numFmtId="0" fontId="30" fillId="14" borderId="37" xfId="0" applyFont="1" applyFill="1" applyBorder="1" applyAlignment="1">
      <alignment horizontal="center"/>
    </xf>
    <xf numFmtId="168" fontId="0" fillId="0" borderId="0" xfId="0" applyNumberFormat="1"/>
    <xf numFmtId="0" fontId="0" fillId="0" borderId="0" xfId="0" applyFill="1"/>
    <xf numFmtId="168" fontId="0" fillId="0" borderId="0" xfId="0" applyNumberFormat="1" applyFill="1"/>
    <xf numFmtId="2" fontId="0" fillId="0" borderId="0" xfId="0" applyNumberFormat="1" applyFill="1"/>
    <xf numFmtId="0" fontId="27" fillId="0" borderId="38" xfId="1" applyFont="1" applyBorder="1"/>
    <xf numFmtId="0" fontId="27" fillId="0" borderId="39" xfId="1" applyFont="1" applyBorder="1"/>
    <xf numFmtId="0" fontId="27" fillId="0" borderId="14" xfId="1" applyFont="1" applyFill="1" applyBorder="1"/>
    <xf numFmtId="0" fontId="0" fillId="21" borderId="34" xfId="0" applyFill="1" applyBorder="1"/>
    <xf numFmtId="0" fontId="0" fillId="22" borderId="34" xfId="0" applyFill="1" applyBorder="1"/>
    <xf numFmtId="0" fontId="0" fillId="23" borderId="34" xfId="0" applyFill="1" applyBorder="1"/>
    <xf numFmtId="0" fontId="0" fillId="24" borderId="34" xfId="0" applyFill="1" applyBorder="1"/>
    <xf numFmtId="0" fontId="0" fillId="25" borderId="34" xfId="0" applyFill="1" applyBorder="1"/>
    <xf numFmtId="0" fontId="0" fillId="26" borderId="34" xfId="0" applyFill="1" applyBorder="1"/>
    <xf numFmtId="0" fontId="27" fillId="0" borderId="40" xfId="1" applyFont="1" applyFill="1" applyBorder="1"/>
    <xf numFmtId="0" fontId="36" fillId="0" borderId="0" xfId="0" applyFont="1" applyFill="1" applyBorder="1" applyAlignment="1">
      <alignment horizontal="right" wrapText="1"/>
    </xf>
    <xf numFmtId="0" fontId="37" fillId="0" borderId="14" xfId="0" applyFont="1" applyFill="1" applyBorder="1" applyAlignment="1">
      <alignment horizontal="left"/>
    </xf>
    <xf numFmtId="0" fontId="0" fillId="0" borderId="31" xfId="0" applyBorder="1"/>
    <xf numFmtId="0" fontId="0" fillId="0" borderId="41" xfId="0" applyBorder="1"/>
    <xf numFmtId="0" fontId="0" fillId="0" borderId="37" xfId="0" applyBorder="1"/>
    <xf numFmtId="0" fontId="23" fillId="27" borderId="42" xfId="0" applyFont="1" applyFill="1" applyBorder="1"/>
    <xf numFmtId="0" fontId="23" fillId="27" borderId="43" xfId="0" applyFont="1" applyFill="1" applyBorder="1"/>
    <xf numFmtId="0" fontId="23" fillId="27" borderId="44" xfId="0" applyFont="1" applyFill="1" applyBorder="1"/>
    <xf numFmtId="0" fontId="23" fillId="27" borderId="45" xfId="0" applyFont="1" applyFill="1" applyBorder="1" applyAlignment="1">
      <alignment horizontal="left"/>
    </xf>
    <xf numFmtId="0" fontId="23" fillId="27" borderId="46" xfId="0" applyFont="1" applyFill="1" applyBorder="1"/>
    <xf numFmtId="0" fontId="23" fillId="27" borderId="47" xfId="0" applyFont="1" applyFill="1" applyBorder="1"/>
    <xf numFmtId="0" fontId="6" fillId="3" borderId="0" xfId="0" applyFont="1" applyFill="1" applyAlignment="1" applyProtection="1">
      <alignment horizontal="left" vertical="center" indent="1"/>
    </xf>
    <xf numFmtId="0" fontId="39" fillId="20" borderId="0" xfId="0" applyFont="1" applyFill="1" applyAlignment="1">
      <alignment horizontal="center" vertical="center"/>
    </xf>
    <xf numFmtId="0" fontId="40" fillId="14" borderId="0" xfId="2" applyFont="1" applyFill="1" applyBorder="1" applyAlignment="1">
      <alignment horizontal="center" vertical="center"/>
    </xf>
    <xf numFmtId="0" fontId="18" fillId="17" borderId="14" xfId="2" applyBorder="1" applyAlignment="1">
      <alignment horizontal="right"/>
    </xf>
    <xf numFmtId="0" fontId="18" fillId="17" borderId="31" xfId="2" applyBorder="1" applyAlignment="1">
      <alignment horizontal="right"/>
    </xf>
    <xf numFmtId="0" fontId="31" fillId="20" borderId="26" xfId="0" applyFont="1" applyFill="1" applyBorder="1" applyAlignment="1">
      <alignment horizontal="center"/>
    </xf>
    <xf numFmtId="0" fontId="31" fillId="20" borderId="24" xfId="0" applyFont="1" applyFill="1" applyBorder="1" applyAlignment="1">
      <alignment horizontal="center"/>
    </xf>
    <xf numFmtId="0" fontId="7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vertical="top" wrapText="1" indent="1"/>
    </xf>
    <xf numFmtId="0" fontId="16" fillId="2" borderId="0" xfId="0" applyFont="1" applyFill="1" applyAlignment="1" applyProtection="1">
      <alignment horizontal="left" indent="1"/>
    </xf>
    <xf numFmtId="0" fontId="16" fillId="2" borderId="17" xfId="0" applyFont="1" applyFill="1" applyBorder="1" applyAlignment="1" applyProtection="1">
      <alignment horizontal="left" indent="1"/>
    </xf>
    <xf numFmtId="0" fontId="7" fillId="0" borderId="0" xfId="0" applyFont="1" applyAlignment="1">
      <alignment horizontal="left" indent="1"/>
    </xf>
    <xf numFmtId="0" fontId="8" fillId="0" borderId="0" xfId="0" applyFont="1" applyAlignment="1">
      <alignment horizontal="left" vertical="top" wrapText="1" indent="1"/>
    </xf>
    <xf numFmtId="0" fontId="7" fillId="7" borderId="0" xfId="0" applyFont="1" applyFill="1" applyAlignment="1" applyProtection="1">
      <alignment horizontal="left" indent="1"/>
      <protection locked="0"/>
    </xf>
    <xf numFmtId="0" fontId="8" fillId="7" borderId="0" xfId="0" applyFont="1" applyFill="1" applyAlignment="1" applyProtection="1">
      <alignment horizontal="left" vertical="top" wrapText="1" indent="1"/>
      <protection locked="0"/>
    </xf>
    <xf numFmtId="0" fontId="13" fillId="7" borderId="0" xfId="0" applyFont="1" applyFill="1" applyAlignment="1" applyProtection="1">
      <alignment horizontal="left" vertical="center" wrapText="1" indent="1"/>
      <protection locked="0"/>
    </xf>
    <xf numFmtId="0" fontId="5" fillId="2" borderId="0" xfId="0" applyFont="1" applyFill="1" applyAlignment="1" applyProtection="1">
      <alignment horizontal="left"/>
    </xf>
    <xf numFmtId="0" fontId="6" fillId="3" borderId="0" xfId="0" applyFont="1" applyFill="1" applyAlignment="1" applyProtection="1">
      <alignment horizontal="left" vertical="center" indent="1"/>
    </xf>
    <xf numFmtId="0" fontId="7" fillId="2" borderId="0" xfId="0" applyFont="1" applyFill="1" applyAlignment="1" applyProtection="1">
      <alignment horizontal="left" indent="1"/>
      <protection locked="0"/>
    </xf>
    <xf numFmtId="0" fontId="8" fillId="2" borderId="0" xfId="0" applyFont="1" applyFill="1" applyAlignment="1" applyProtection="1">
      <alignment horizontal="left" vertical="top" wrapText="1" indent="1"/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9" fillId="4" borderId="0" xfId="0" applyFont="1" applyFill="1" applyBorder="1" applyAlignment="1" applyProtection="1">
      <alignment horizontal="left" vertical="center" indent="1"/>
      <protection locked="0"/>
    </xf>
    <xf numFmtId="0" fontId="9" fillId="4" borderId="2" xfId="0" applyFont="1" applyFill="1" applyBorder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left" indent="1"/>
      <protection locked="0"/>
    </xf>
  </cellXfs>
  <cellStyles count="4">
    <cellStyle name="Bad" xfId="2" builtinId="27"/>
    <cellStyle name="Good" xfId="3" builtinId="26"/>
    <cellStyle name="Heading 2" xfId="1" builtinId="17"/>
    <cellStyle name="Normal" xfId="0" builtinId="0"/>
  </cellStyles>
  <dxfs count="554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ont>
        <b val="0"/>
        <i val="0"/>
        <strike val="0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theme="7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lor auto="1"/>
      </font>
      <fill>
        <patternFill>
          <bgColor theme="8" tint="0.3999450666829432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0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  <border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0C7683B3-E304-4E27-9495-339461A9BD5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B$3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B$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2</xdr:row>
          <xdr:rowOff>38100</xdr:rowOff>
        </xdr:from>
        <xdr:to>
          <xdr:col>1</xdr:col>
          <xdr:colOff>1912620</xdr:colOff>
          <xdr:row>2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save every sample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83820</xdr:colOff>
          <xdr:row>0</xdr:row>
          <xdr:rowOff>160020</xdr:rowOff>
        </xdr:from>
        <xdr:to>
          <xdr:col>16</xdr:col>
          <xdr:colOff>594360</xdr:colOff>
          <xdr:row>3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83820</xdr:colOff>
          <xdr:row>1</xdr:row>
          <xdr:rowOff>22860</xdr:rowOff>
        </xdr:from>
        <xdr:to>
          <xdr:col>1</xdr:col>
          <xdr:colOff>2118360</xdr:colOff>
          <xdr:row>1</xdr:row>
          <xdr:rowOff>266700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 save at end of session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708660</xdr:colOff>
      <xdr:row>20</xdr:row>
      <xdr:rowOff>196215</xdr:rowOff>
    </xdr:from>
    <xdr:to>
      <xdr:col>11</xdr:col>
      <xdr:colOff>590550</xdr:colOff>
      <xdr:row>21</xdr:row>
      <xdr:rowOff>192405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AC30ECB-B700-3955-3B93-5A2BB4A0CD16}"/>
            </a:ext>
          </a:extLst>
        </xdr:cNvPr>
        <xdr:cNvSpPr/>
      </xdr:nvSpPr>
      <xdr:spPr>
        <a:xfrm>
          <a:off x="8404860" y="5463540"/>
          <a:ext cx="62484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AB13EB-58F0-47DE-B630-C50CB75966A7}" name="TBL_CUR" displayName="TBL_CUR" ref="A4:K5" totalsRowShown="0" headerRowDxfId="25" dataDxfId="23">
  <autoFilter ref="A4:K5" xr:uid="{52AB13EB-58F0-47DE-B630-C50CB75966A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9524B066-CA62-4528-A38E-2850A694FADD}" name="TIME" dataDxfId="12"/>
    <tableColumn id="2" xr3:uid="{8479D999-7FB9-4654-94E9-7A09190AC3E0}" name="CH1" dataDxfId="13"/>
    <tableColumn id="3" xr3:uid="{B6F773D2-61E0-41C8-94B4-B8A1F069FDEA}" name="CH2" dataDxfId="22"/>
    <tableColumn id="4" xr3:uid="{88010F31-F8BE-4183-B2BD-B6AB5DDAC42D}" name="CH3" dataDxfId="21"/>
    <tableColumn id="5" xr3:uid="{8686F2CA-D718-400F-9C79-424DB8D4F1A4}" name="CH4" dataDxfId="20"/>
    <tableColumn id="6" xr3:uid="{0FECC544-864F-4DE0-B709-04F784123DE8}" name="CH5" dataDxfId="19"/>
    <tableColumn id="7" xr3:uid="{29898C8F-773D-4495-B010-FBFD73080E6C}" name="CH6" dataDxfId="18"/>
    <tableColumn id="8" xr3:uid="{9D8078BB-B4CB-4425-BE62-10A560F50D56}" name="CH7" dataDxfId="17"/>
    <tableColumn id="9" xr3:uid="{3124A585-0BDA-46FC-9384-9402DA056159}" name="CH8" dataDxfId="16"/>
    <tableColumn id="10" xr3:uid="{C6DC00D1-AA7D-4E4B-A1F9-4B21BEA48C22}" name="CH9" dataDxfId="15"/>
    <tableColumn id="11" xr3:uid="{4770F221-0ED6-41B8-99DF-F232FC1CD9EF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23700B-27AB-4BFD-9269-029CD3D6DAD5}" name="TBL_HST" displayName="TBL_HST" ref="A7:K22" totalsRowShown="0" headerRowDxfId="24" dataDxfId="11">
  <autoFilter ref="A7:K22" xr:uid="{2323700B-27AB-4BFD-9269-029CD3D6DA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9562D05D-9EAE-4106-BD53-DD4502BB3632}" name="TIME" dataDxfId="0"/>
    <tableColumn id="2" xr3:uid="{1DF893B8-547E-493C-8286-DDFEF4666B7E}" name="CH1" dataDxfId="1"/>
    <tableColumn id="3" xr3:uid="{BF3C04FC-7231-4549-A4EB-E7288FE0A5A6}" name="CH2" dataDxfId="10"/>
    <tableColumn id="4" xr3:uid="{36B62FCB-F37B-46CC-8173-2BFA22C59367}" name="CH3" dataDxfId="9"/>
    <tableColumn id="5" xr3:uid="{135A60F7-40E3-4106-967E-11FA1767C423}" name="CH4" dataDxfId="8"/>
    <tableColumn id="6" xr3:uid="{732E0898-ABFA-48CC-9D80-C114A23F6CC9}" name="CH5" dataDxfId="7"/>
    <tableColumn id="7" xr3:uid="{630ABFC3-E2EF-487B-946B-4A1E7D0F4146}" name="CH6" dataDxfId="6"/>
    <tableColumn id="8" xr3:uid="{E5BE0D88-B971-4972-83D0-E144C46A64FB}" name="CH7" dataDxfId="5"/>
    <tableColumn id="9" xr3:uid="{85589D82-4C1A-45A0-8F37-F5584B35B1E2}" name="CH8" dataDxfId="4"/>
    <tableColumn id="10" xr3:uid="{892CC187-8BA3-4E85-99C9-AB7A7CF853F4}" name="CH9" dataDxfId="3"/>
    <tableColumn id="11" xr3:uid="{B26469C0-CFB1-4D97-992C-3354BFE996E7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1F32-E603-41B5-AA6C-06CF6FAB6136}">
  <sheetPr codeName="Sheet1"/>
  <dimension ref="A1:CF627"/>
  <sheetViews>
    <sheetView showZeros="0" tabSelected="1" topLeftCell="A362" zoomScale="196" zoomScaleNormal="196" workbookViewId="0">
      <selection activeCell="D373" sqref="D373"/>
    </sheetView>
  </sheetViews>
  <sheetFormatPr defaultRowHeight="14.4" x14ac:dyDescent="0.3"/>
  <cols>
    <col min="1" max="1" width="37.33203125" customWidth="1"/>
    <col min="2" max="2" width="40.109375" customWidth="1"/>
    <col min="3" max="3" width="11.6640625" customWidth="1"/>
    <col min="4" max="4" width="9.88671875" bestFit="1" customWidth="1"/>
    <col min="5" max="5" width="12" customWidth="1"/>
    <col min="6" max="6" width="10.44140625" customWidth="1"/>
    <col min="7" max="7" width="11.44140625" customWidth="1"/>
    <col min="13" max="13" width="8.33203125" customWidth="1"/>
    <col min="14" max="14" width="18.44140625" customWidth="1"/>
    <col min="15" max="15" width="17.5546875" customWidth="1"/>
  </cols>
  <sheetData>
    <row r="1" spans="1:84" ht="17.25" customHeight="1" x14ac:dyDescent="0.3">
      <c r="A1" s="120" t="s">
        <v>841</v>
      </c>
      <c r="B1" s="121"/>
      <c r="C1" s="44" t="s">
        <v>38</v>
      </c>
      <c r="D1" s="40" t="s">
        <v>34</v>
      </c>
      <c r="E1" s="31" t="s">
        <v>35</v>
      </c>
      <c r="F1" t="s">
        <v>36</v>
      </c>
      <c r="G1" t="s">
        <v>37</v>
      </c>
      <c r="L1" s="118" t="s">
        <v>70</v>
      </c>
      <c r="M1" s="118"/>
      <c r="N1" s="45">
        <f ca="1">NOW()</f>
        <v>45625.66361585648</v>
      </c>
      <c r="O1" s="39"/>
      <c r="AH1" s="106"/>
      <c r="AI1" t="s">
        <v>39</v>
      </c>
    </row>
    <row r="2" spans="1:84" ht="17.399999999999999" x14ac:dyDescent="0.3">
      <c r="A2" s="87" t="s">
        <v>511</v>
      </c>
      <c r="B2" s="49" t="b">
        <v>0</v>
      </c>
      <c r="C2" s="48" t="str">
        <f t="shared" ref="C2:C11" si="0">IF(B$6&gt;=D2,"DONE","")</f>
        <v>DONE</v>
      </c>
      <c r="D2" s="41">
        <v>1</v>
      </c>
      <c r="E2" s="32">
        <f>VLOOKUP($B$7,Setups!$A$3:$N$100,D2+4)</f>
        <v>1</v>
      </c>
      <c r="F2" s="50">
        <f>IF(    E2&gt;0,   IF(         HLOOKUP(D2+1,Setups!$E$2:N$100,B$7+1)=0,MAX( E2, VLOOKUP($B$7, Setups!$A$3:$Y$100,25)  ),      HLOOKUP(D2+1,Setups!$E$2:N$100,B$7+1) - 1          ),0        )</f>
        <v>1</v>
      </c>
      <c r="G2" s="33" t="str">
        <f>IF(  F2&gt;0, IF(F2&gt;E2,"Right","Down"),"")</f>
        <v>Down</v>
      </c>
      <c r="H2">
        <f>IF(G2="Right",1,0)</f>
        <v>0</v>
      </c>
      <c r="J2" s="30"/>
      <c r="K2" s="34"/>
      <c r="L2" s="118" t="s">
        <v>71</v>
      </c>
      <c r="M2" s="118"/>
      <c r="N2" s="45" cm="1">
        <f t="array" ref="N2">TBL_CUR[TIME]</f>
        <v>45625.662517256947</v>
      </c>
      <c r="AH2" s="107" t="s">
        <v>629</v>
      </c>
      <c r="AI2" t="s">
        <v>40</v>
      </c>
    </row>
    <row r="3" spans="1:84" ht="15" thickBot="1" x14ac:dyDescent="0.35">
      <c r="A3" t="s">
        <v>510</v>
      </c>
      <c r="B3" s="35" t="b">
        <v>0</v>
      </c>
      <c r="C3" s="48" t="str">
        <f t="shared" si="0"/>
        <v>DONE</v>
      </c>
      <c r="D3" s="41">
        <v>2</v>
      </c>
      <c r="E3" s="32">
        <f>VLOOKUP($B$7,Setups!$A$3:$N$100,D3+4)</f>
        <v>0</v>
      </c>
      <c r="F3" s="50">
        <f>IF(    E3&gt;0,   IF(         HLOOKUP(D3+1,Setups!$E$2:N$100,B$7+1)=0,MAX( E3, VLOOKUP($B$7, Setups!$A$3:$Y$100,25)  ),      HLOOKUP(D3+1,Setups!$E$2:N$100,B$7+1) - 1          ),0        )</f>
        <v>0</v>
      </c>
      <c r="G3" s="33" t="str">
        <f t="shared" ref="G3:G11" si="1">IF(  F3&gt;0, IF(F3&gt;E3,"Right","Down"),"")</f>
        <v/>
      </c>
      <c r="H3">
        <f t="shared" ref="H3:H11" si="2">IF(G3="Right",1,0)</f>
        <v>0</v>
      </c>
      <c r="J3" s="30"/>
      <c r="K3" s="34"/>
      <c r="L3" s="119" t="s">
        <v>72</v>
      </c>
      <c r="M3" s="119"/>
      <c r="N3" s="82">
        <f>IF(ISBLANK('Data In'!B22),"",IF(RIGHT('Data In'!B22,1)&lt;&gt;RIGHT(B4,1),VALUE(MID('Data In'!B22,1,LEN('Data In'!B22))),VALUE(MID('Data In'!B22,1,LEN('Data In'!B22)-LEN(B4)))))</f>
        <v>2.3158400000000001</v>
      </c>
      <c r="AH3" s="107" t="s">
        <v>630</v>
      </c>
      <c r="AI3" t="s">
        <v>41</v>
      </c>
    </row>
    <row r="4" spans="1:84" ht="18" customHeight="1" x14ac:dyDescent="0.3">
      <c r="A4" s="104" t="s">
        <v>635</v>
      </c>
      <c r="B4" s="105" t="s">
        <v>628</v>
      </c>
      <c r="C4" s="48" t="str">
        <f t="shared" si="0"/>
        <v>DONE</v>
      </c>
      <c r="D4" s="41">
        <v>3</v>
      </c>
      <c r="E4" s="32">
        <f>VLOOKUP($B$7,Setups!$A$3:$N$100,D4+4)</f>
        <v>0</v>
      </c>
      <c r="F4" s="50">
        <f>IF(    E4&gt;0,   IF(         HLOOKUP(D4+1,Setups!$E$2:N$100,B$7+1)=0,MAX( E4, VLOOKUP($B$7, Setups!$A$3:$Y$100,25)  ),      HLOOKUP(D4+1,Setups!$E$2:N$100,B$7+1) - 1          ),0        )</f>
        <v>0</v>
      </c>
      <c r="G4" s="33" t="str">
        <f t="shared" si="1"/>
        <v/>
      </c>
      <c r="H4">
        <f t="shared" si="2"/>
        <v>0</v>
      </c>
      <c r="J4" s="30"/>
      <c r="K4" s="109" t="s">
        <v>507</v>
      </c>
      <c r="L4" s="110">
        <f>COUNT(avertime)</f>
        <v>1</v>
      </c>
      <c r="M4" s="110" t="s">
        <v>504</v>
      </c>
      <c r="N4" s="110">
        <v>45625.662517256947</v>
      </c>
      <c r="O4" s="111"/>
      <c r="U4" t="str">
        <f>IF(B2,"x","")</f>
        <v/>
      </c>
      <c r="AH4" s="107" t="s">
        <v>628</v>
      </c>
      <c r="AI4" t="s">
        <v>42</v>
      </c>
    </row>
    <row r="5" spans="1:84" ht="15" customHeight="1" thickBot="1" x14ac:dyDescent="0.35">
      <c r="A5" s="88" t="s">
        <v>43</v>
      </c>
      <c r="B5" s="89">
        <f>COUNTA(A14:A10014)+13</f>
        <v>429</v>
      </c>
      <c r="C5" s="48" t="str">
        <f t="shared" si="0"/>
        <v>DONE</v>
      </c>
      <c r="D5" s="42">
        <v>4</v>
      </c>
      <c r="E5" s="32">
        <f>VLOOKUP($B$7,Setups!$A$3:$N$100,D5+4)</f>
        <v>0</v>
      </c>
      <c r="F5" s="50">
        <f>IF(    E5&gt;0,   IF(         HLOOKUP(D5+1,Setups!$E$2:N$100,B$7+1)=0,MAX( E5, VLOOKUP($B$7, Setups!$A$3:$Y$100,25)  ),      HLOOKUP(D5+1,Setups!$E$2:N$100,B$7+1) - 1          ),0        )</f>
        <v>0</v>
      </c>
      <c r="G5" s="33" t="str">
        <f t="shared" si="1"/>
        <v/>
      </c>
      <c r="H5">
        <f t="shared" si="2"/>
        <v>0</v>
      </c>
      <c r="J5" s="30"/>
      <c r="K5" s="112" t="s">
        <v>506</v>
      </c>
      <c r="L5" s="113">
        <v>0</v>
      </c>
      <c r="M5" s="113" t="s">
        <v>505</v>
      </c>
      <c r="N5" s="113">
        <f>IF(ISERROR(O5),0,O5)</f>
        <v>45625.662517256947</v>
      </c>
      <c r="O5" s="114">
        <f>'Data In'!A22</f>
        <v>45625.662517256947</v>
      </c>
      <c r="AH5" s="107" t="s">
        <v>631</v>
      </c>
    </row>
    <row r="6" spans="1:84" ht="15" customHeight="1" x14ac:dyDescent="0.3">
      <c r="A6" s="81" t="s">
        <v>69</v>
      </c>
      <c r="B6" s="81">
        <v>5</v>
      </c>
      <c r="C6" s="48" t="str">
        <f t="shared" si="0"/>
        <v>DONE</v>
      </c>
      <c r="D6" s="41">
        <v>5</v>
      </c>
      <c r="E6" s="32">
        <f>VLOOKUP($B$7,Setups!$A$3:$N$100,D6+4)</f>
        <v>0</v>
      </c>
      <c r="F6" s="50">
        <f>IF(    E6&gt;0,   IF(         HLOOKUP(D6+1,Setups!$E$2:N$100,B$7+1)=0,MAX( E6, VLOOKUP($B$7, Setups!$A$3:$Y$100,25)  ),      HLOOKUP(D6+1,Setups!$E$2:N$100,B$7+1) - 1          ),0        )</f>
        <v>0</v>
      </c>
      <c r="G6" s="33" t="str">
        <f t="shared" si="1"/>
        <v/>
      </c>
      <c r="H6">
        <f t="shared" si="2"/>
        <v>0</v>
      </c>
      <c r="I6" s="117" t="str" cm="1">
        <f t="array" ref="I6">IF(ISBLANK(TBL_CUR[CH1]),"To start use Data Streamer &gt; 'Connect a Device' '","To finish use Data Streamer &gt; Disconnect Device")</f>
        <v>To finish use Data Streamer &gt; Disconnect Device</v>
      </c>
      <c r="J6" s="117"/>
      <c r="K6" s="117"/>
      <c r="L6" s="117"/>
      <c r="M6" s="117"/>
      <c r="N6" s="117"/>
      <c r="O6" s="117"/>
      <c r="AH6" s="107" t="s">
        <v>632</v>
      </c>
      <c r="CF6">
        <f>COLUMN()</f>
        <v>84</v>
      </c>
    </row>
    <row r="7" spans="1:84" ht="15.75" customHeight="1" x14ac:dyDescent="0.3">
      <c r="A7" s="81" t="s">
        <v>79</v>
      </c>
      <c r="B7" s="81">
        <f>VALUE(LEFT(A1,FIND(":",A1,1)-1))</f>
        <v>1</v>
      </c>
      <c r="C7" s="48" t="str">
        <f t="shared" si="0"/>
        <v/>
      </c>
      <c r="D7" s="41">
        <v>6</v>
      </c>
      <c r="E7" s="32">
        <f>VLOOKUP($B$7,Setups!$A$3:$N$100,D7+4)</f>
        <v>0</v>
      </c>
      <c r="F7" s="50">
        <f>IF(    E7&gt;0,   IF(         HLOOKUP(D7+1,Setups!$E$2:N$100,B$7+1)=0,MAX( E7, VLOOKUP($B$7, Setups!$A$3:$Y$100,25)  ),      HLOOKUP(D7+1,Setups!$E$2:N$100,B$7+1) - 1          ),0        )</f>
        <v>0</v>
      </c>
      <c r="G7" s="33" t="str">
        <f t="shared" si="1"/>
        <v/>
      </c>
      <c r="H7">
        <f t="shared" si="2"/>
        <v>0</v>
      </c>
      <c r="I7" s="117"/>
      <c r="J7" s="117"/>
      <c r="K7" s="117"/>
      <c r="L7" s="117"/>
      <c r="M7" s="117"/>
      <c r="N7" s="117"/>
      <c r="O7" s="117"/>
      <c r="AH7" s="107" t="s">
        <v>633</v>
      </c>
      <c r="CF7">
        <f>CF6-AI6</f>
        <v>84</v>
      </c>
    </row>
    <row r="8" spans="1:84" ht="21" x14ac:dyDescent="0.4">
      <c r="A8" s="84" t="s">
        <v>508</v>
      </c>
      <c r="B8" s="83"/>
      <c r="C8" s="48" t="str">
        <f t="shared" si="0"/>
        <v/>
      </c>
      <c r="D8" s="41">
        <v>7</v>
      </c>
      <c r="E8" s="32">
        <f>VLOOKUP($B$7,Setups!$A$3:$N$100,D8+4)</f>
        <v>0</v>
      </c>
      <c r="F8" s="50">
        <f>IF(    E8&gt;0,   IF(         HLOOKUP(D8+1,Setups!$E$2:N$100,B$7+1)=0,MAX( E8, VLOOKUP($B$7, Setups!$A$3:$Y$100,25)  ),      HLOOKUP(D8+1,Setups!$E$2:N$100,B$7+1) - 1          ),0        )</f>
        <v>0</v>
      </c>
      <c r="G8" s="33" t="str">
        <f t="shared" si="1"/>
        <v/>
      </c>
      <c r="H8">
        <f t="shared" si="2"/>
        <v>0</v>
      </c>
      <c r="AH8" s="107" t="s">
        <v>634</v>
      </c>
    </row>
    <row r="9" spans="1:84" ht="21" x14ac:dyDescent="0.4">
      <c r="A9" s="84" t="s">
        <v>512</v>
      </c>
      <c r="B9" s="83"/>
      <c r="C9" s="48" t="str">
        <f t="shared" si="0"/>
        <v/>
      </c>
      <c r="D9" s="41">
        <v>8</v>
      </c>
      <c r="E9" s="32"/>
      <c r="F9" s="50">
        <f>IF(    E9&gt;0,   IF(         HLOOKUP(D9+1,Setups!$E$2:N$100,B$7+1)=0,MAX( E9, VLOOKUP($B$7, Setups!$A$3:$Y$100,25)  ),      HLOOKUP(D9+1,Setups!$E$2:N$100,B$7+1) - 1          ),0        )</f>
        <v>0</v>
      </c>
      <c r="G9" s="33" t="str">
        <f t="shared" si="1"/>
        <v/>
      </c>
      <c r="H9">
        <f t="shared" si="2"/>
        <v>0</v>
      </c>
      <c r="AH9" s="107"/>
    </row>
    <row r="10" spans="1:84" ht="18" customHeight="1" x14ac:dyDescent="0.4">
      <c r="A10" s="84" t="s">
        <v>509</v>
      </c>
      <c r="B10" s="85"/>
      <c r="C10" s="48" t="str">
        <f t="shared" si="0"/>
        <v/>
      </c>
      <c r="D10" s="41">
        <v>9</v>
      </c>
      <c r="E10" s="32"/>
      <c r="F10" s="50">
        <f>IF(    E10&gt;0,   IF(         HLOOKUP(D10+1,Setups!$E$2:N$100,B$7+1)=0,MAX( E10, VLOOKUP($B$7, Setups!$A$3:$Y$100,25)  ),      HLOOKUP(D10+1,Setups!$E$2:N$100,B$7+1) - 1          ),0        )</f>
        <v>0</v>
      </c>
      <c r="G10" s="33" t="str">
        <f t="shared" si="1"/>
        <v/>
      </c>
      <c r="H10">
        <f t="shared" si="2"/>
        <v>0</v>
      </c>
      <c r="AH10" s="107"/>
    </row>
    <row r="11" spans="1:84" ht="15" customHeight="1" thickBot="1" x14ac:dyDescent="0.35">
      <c r="A11" s="116" t="str" cm="1">
        <f t="array" ref="A11">IF(ISBLANK(TBL_CUR[CH1]),"To start select Data Streamer &gt; 'Connect a Device' '","To finish use Data Streamer &gt; Disconnect Device")</f>
        <v>To finish use Data Streamer &gt; Disconnect Device</v>
      </c>
      <c r="B11" s="116"/>
      <c r="C11" s="51" t="str">
        <f t="shared" si="0"/>
        <v/>
      </c>
      <c r="D11" s="43">
        <v>10</v>
      </c>
      <c r="E11" s="51"/>
      <c r="F11" s="52">
        <f>IF(    E11&gt;0,   IF(         HLOOKUP(D11+1,Setups!$E$2:N$100,B$7+1)=0,MAX( E11, VLOOKUP($B$7, Setups!$A$3:$Y$100,25)  ),      HLOOKUP(D11+1,Setups!$E$2:N$100,B$7+1) - 1          ),0        )</f>
        <v>0</v>
      </c>
      <c r="G11" s="33" t="str">
        <f t="shared" si="1"/>
        <v/>
      </c>
      <c r="H11">
        <f t="shared" si="2"/>
        <v>0</v>
      </c>
      <c r="AC11">
        <f>COLUMN()</f>
        <v>29</v>
      </c>
      <c r="AH11" s="108"/>
    </row>
    <row r="12" spans="1:84" ht="17.399999999999999" customHeight="1" x14ac:dyDescent="0.35">
      <c r="A12" s="116"/>
      <c r="B12" s="116"/>
      <c r="D12" s="36" t="s">
        <v>44</v>
      </c>
      <c r="E12" s="37" t="s">
        <v>45</v>
      </c>
      <c r="F12" s="36" t="s">
        <v>46</v>
      </c>
      <c r="G12" s="37" t="s">
        <v>47</v>
      </c>
      <c r="H12" s="36" t="s">
        <v>48</v>
      </c>
      <c r="I12" s="37" t="s">
        <v>49</v>
      </c>
      <c r="J12" s="36" t="s">
        <v>50</v>
      </c>
      <c r="K12" s="37" t="s">
        <v>51</v>
      </c>
      <c r="L12" s="36" t="s">
        <v>52</v>
      </c>
      <c r="M12" s="37" t="s">
        <v>53</v>
      </c>
      <c r="N12" s="36" t="s">
        <v>54</v>
      </c>
      <c r="O12" s="37" t="s">
        <v>55</v>
      </c>
      <c r="P12" s="36" t="s">
        <v>56</v>
      </c>
      <c r="Q12" s="37" t="s">
        <v>57</v>
      </c>
      <c r="R12" s="36" t="s">
        <v>58</v>
      </c>
      <c r="S12" s="37" t="s">
        <v>59</v>
      </c>
      <c r="T12" s="36" t="s">
        <v>60</v>
      </c>
      <c r="U12" s="37" t="s">
        <v>61</v>
      </c>
      <c r="V12" s="36" t="s">
        <v>62</v>
      </c>
      <c r="W12" s="37" t="s">
        <v>63</v>
      </c>
      <c r="X12" s="36" t="s">
        <v>64</v>
      </c>
      <c r="Y12" s="37" t="s">
        <v>65</v>
      </c>
      <c r="Z12" s="36" t="s">
        <v>66</v>
      </c>
      <c r="AA12" s="37" t="s">
        <v>67</v>
      </c>
      <c r="AB12" s="36" t="s">
        <v>68</v>
      </c>
      <c r="AC12" s="37" t="s">
        <v>82</v>
      </c>
      <c r="AD12" s="36" t="s">
        <v>83</v>
      </c>
      <c r="AE12" s="37" t="s">
        <v>84</v>
      </c>
      <c r="AF12" s="36" t="s">
        <v>85</v>
      </c>
      <c r="AG12" s="37" t="s">
        <v>86</v>
      </c>
      <c r="AH12" s="37" t="s">
        <v>293</v>
      </c>
      <c r="AI12" s="37" t="s">
        <v>294</v>
      </c>
      <c r="AJ12" s="37" t="s">
        <v>295</v>
      </c>
      <c r="AK12" s="37" t="s">
        <v>296</v>
      </c>
      <c r="AL12" s="37" t="s">
        <v>297</v>
      </c>
      <c r="AM12" s="37" t="s">
        <v>298</v>
      </c>
      <c r="AN12" s="37" t="s">
        <v>299</v>
      </c>
      <c r="AO12" s="37" t="s">
        <v>300</v>
      </c>
      <c r="AP12" s="37" t="s">
        <v>301</v>
      </c>
      <c r="AQ12" s="37" t="s">
        <v>302</v>
      </c>
      <c r="AR12" s="37" t="s">
        <v>303</v>
      </c>
      <c r="AS12" s="37" t="s">
        <v>304</v>
      </c>
      <c r="AT12" s="37" t="s">
        <v>305</v>
      </c>
      <c r="AU12" s="37" t="s">
        <v>306</v>
      </c>
      <c r="AV12" s="37" t="s">
        <v>307</v>
      </c>
      <c r="AW12" s="37" t="s">
        <v>308</v>
      </c>
      <c r="AX12" s="37" t="s">
        <v>309</v>
      </c>
      <c r="AY12" s="37" t="s">
        <v>310</v>
      </c>
      <c r="AZ12" s="37" t="s">
        <v>311</v>
      </c>
      <c r="BA12" s="37" t="s">
        <v>312</v>
      </c>
      <c r="BB12" s="37" t="s">
        <v>313</v>
      </c>
      <c r="BC12" s="37" t="s">
        <v>314</v>
      </c>
      <c r="BD12" s="37" t="s">
        <v>315</v>
      </c>
      <c r="BE12" s="37" t="s">
        <v>316</v>
      </c>
      <c r="BF12" s="37" t="s">
        <v>317</v>
      </c>
      <c r="BG12" s="37" t="s">
        <v>318</v>
      </c>
      <c r="BH12" s="37" t="s">
        <v>319</v>
      </c>
      <c r="BI12" s="37" t="s">
        <v>320</v>
      </c>
      <c r="BJ12" s="37" t="s">
        <v>321</v>
      </c>
      <c r="BK12" s="37" t="s">
        <v>322</v>
      </c>
      <c r="BL12" s="37" t="s">
        <v>481</v>
      </c>
      <c r="BM12" s="37" t="s">
        <v>482</v>
      </c>
      <c r="BN12" s="37" t="s">
        <v>483</v>
      </c>
      <c r="BO12" s="37" t="s">
        <v>484</v>
      </c>
      <c r="BP12" s="37" t="s">
        <v>485</v>
      </c>
      <c r="BQ12" s="37" t="s">
        <v>486</v>
      </c>
      <c r="BR12" s="37" t="s">
        <v>487</v>
      </c>
      <c r="BS12" s="37" t="s">
        <v>488</v>
      </c>
      <c r="BT12" s="37" t="s">
        <v>489</v>
      </c>
      <c r="BU12" s="37" t="s">
        <v>490</v>
      </c>
      <c r="BV12" s="37" t="s">
        <v>491</v>
      </c>
      <c r="BW12" s="37" t="s">
        <v>492</v>
      </c>
      <c r="BX12" s="37" t="s">
        <v>493</v>
      </c>
      <c r="BY12" s="37" t="s">
        <v>494</v>
      </c>
      <c r="BZ12" s="37" t="s">
        <v>495</v>
      </c>
      <c r="CA12" s="37" t="s">
        <v>496</v>
      </c>
      <c r="CB12" s="37" t="s">
        <v>497</v>
      </c>
      <c r="CC12" s="37" t="s">
        <v>498</v>
      </c>
      <c r="CD12" s="37" t="s">
        <v>499</v>
      </c>
      <c r="CE12" s="37" t="s">
        <v>500</v>
      </c>
      <c r="CF12" s="37" t="s">
        <v>501</v>
      </c>
    </row>
    <row r="13" spans="1:84" s="54" customFormat="1" ht="59.25" customHeight="1" x14ac:dyDescent="0.35">
      <c r="A13" s="36" t="s">
        <v>74</v>
      </c>
      <c r="B13" s="55" t="s">
        <v>567</v>
      </c>
      <c r="C13" s="36" t="s">
        <v>568</v>
      </c>
      <c r="D13" s="56" t="str">
        <f>VLOOKUP($B$7,Setups!$A3:$DB100,COLUMN()+22)</f>
        <v>Weight g</v>
      </c>
      <c r="E13" s="56">
        <f>VLOOKUP($B$7,Setups!$A3:$DB100,COLUMN()+22)</f>
        <v>0</v>
      </c>
      <c r="F13" s="56">
        <f>VLOOKUP($B$7,Setups!$A3:$DB100,COLUMN()+22)</f>
        <v>0</v>
      </c>
      <c r="G13" s="56">
        <f>VLOOKUP($B$7,Setups!$A3:$DB100,COLUMN()+22)</f>
        <v>0</v>
      </c>
      <c r="H13" s="56">
        <f>VLOOKUP($B$7,Setups!$A3:$DB100,COLUMN()+22)</f>
        <v>0</v>
      </c>
      <c r="I13" s="56">
        <f>VLOOKUP($B$7,Setups!$A3:$DB100,COLUMN()+22)</f>
        <v>0</v>
      </c>
      <c r="J13" s="56">
        <f>VLOOKUP($B$7,Setups!$A3:$DB100,COLUMN()+22)</f>
        <v>0</v>
      </c>
      <c r="K13" s="56">
        <f>VLOOKUP($B$7,Setups!$A3:$DB100,COLUMN()+22)</f>
        <v>0</v>
      </c>
      <c r="L13" s="56">
        <f>VLOOKUP($B$7,Setups!$A3:$DB100,COLUMN()+22)</f>
        <v>0</v>
      </c>
      <c r="M13" s="56">
        <f>VLOOKUP($B$7,Setups!$A3:$DB100,COLUMN()+22)</f>
        <v>0</v>
      </c>
      <c r="N13" s="56">
        <f>VLOOKUP($B$7,Setups!$A3:$DB100,COLUMN()+22)</f>
        <v>0</v>
      </c>
      <c r="O13" s="56">
        <f>VLOOKUP($B$7,Setups!$A3:$DB100,COLUMN()+22)</f>
        <v>0</v>
      </c>
      <c r="P13" s="56">
        <f>VLOOKUP($B$7,Setups!$A3:$DB100,COLUMN()+22)</f>
        <v>0</v>
      </c>
      <c r="Q13" s="56">
        <f>VLOOKUP($B$7,Setups!$A3:$DB100,COLUMN()+22)</f>
        <v>0</v>
      </c>
      <c r="R13" s="56">
        <f>VLOOKUP($B$7,Setups!$A3:$DB100,COLUMN()+22)</f>
        <v>0</v>
      </c>
      <c r="S13" s="56">
        <f>VLOOKUP($B$7,Setups!$A3:$DB100,COLUMN()+22)</f>
        <v>0</v>
      </c>
      <c r="T13" s="56">
        <f>VLOOKUP($B$7,Setups!$A3:$DB100,COLUMN()+22)</f>
        <v>0</v>
      </c>
      <c r="U13" s="56">
        <f>VLOOKUP($B$7,Setups!$A3:$DB100,COLUMN()+22)</f>
        <v>0</v>
      </c>
      <c r="V13" s="56">
        <f>VLOOKUP($B$7,Setups!$A3:$DB100,COLUMN()+22)</f>
        <v>0</v>
      </c>
      <c r="W13" s="56">
        <f>VLOOKUP($B$7,Setups!$A3:$DB100,COLUMN()+22)</f>
        <v>0</v>
      </c>
      <c r="X13" s="56">
        <f>VLOOKUP($B$7,Setups!$A3:$DB100,COLUMN()+22)</f>
        <v>0</v>
      </c>
      <c r="Y13" s="56">
        <f>VLOOKUP($B$7,Setups!$A3:$DB100,COLUMN()+22)</f>
        <v>0</v>
      </c>
      <c r="Z13" s="56">
        <f>VLOOKUP($B$7,Setups!$A3:$DB100,COLUMN()+22)</f>
        <v>0</v>
      </c>
      <c r="AA13" s="56">
        <f>VLOOKUP($B$7,Setups!$A3:$DB100,COLUMN()+22)</f>
        <v>0</v>
      </c>
      <c r="AB13" s="56">
        <f>VLOOKUP($B$7,Setups!$A3:$DB100,COLUMN()+22)</f>
        <v>0</v>
      </c>
      <c r="AC13" s="56">
        <f>VLOOKUP($B$7,Setups!$A3:$DB100,COLUMN()+22)</f>
        <v>0</v>
      </c>
      <c r="AD13" s="56">
        <f>VLOOKUP($B$7,Setups!$A3:$DB100,COLUMN()+22)</f>
        <v>0</v>
      </c>
      <c r="AE13" s="56">
        <f>VLOOKUP($B$7,Setups!$A3:$DB100,COLUMN()+22)</f>
        <v>0</v>
      </c>
      <c r="AF13" s="56">
        <f>VLOOKUP($B$7,Setups!$A3:$DB100,COLUMN()+22)</f>
        <v>0</v>
      </c>
      <c r="AG13" s="56"/>
      <c r="AH13" s="70" t="str">
        <f>VLOOKUP($B$7,Setups!$A3:$DB100,COLUMN()+22)</f>
        <v>Weight g</v>
      </c>
      <c r="AI13" s="70">
        <f>VLOOKUP($B$7,Setups!$A3:$DB100,COLUMN()+22)</f>
        <v>0</v>
      </c>
      <c r="AJ13" s="70">
        <f>VLOOKUP($B$7,Setups!$A3:$DB100,COLUMN()+22)</f>
        <v>0</v>
      </c>
      <c r="AK13" s="70">
        <f>VLOOKUP($B$7,Setups!$A3:$DB100,COLUMN()+22)</f>
        <v>0</v>
      </c>
      <c r="AL13" s="70">
        <f>VLOOKUP($B$7,Setups!$A3:$DB100,COLUMN()+22)</f>
        <v>0</v>
      </c>
      <c r="AM13" s="70">
        <f>VLOOKUP($B$7,Setups!$A3:$DB100,COLUMN()+22)</f>
        <v>0</v>
      </c>
      <c r="AN13" s="70">
        <f>VLOOKUP($B$7,Setups!$A3:$DB100,COLUMN()+22)</f>
        <v>0</v>
      </c>
      <c r="AO13" s="70">
        <f>VLOOKUP($B$7,Setups!$A3:$DB100,COLUMN()+22)</f>
        <v>0</v>
      </c>
      <c r="AP13" s="70">
        <f>VLOOKUP($B$7,Setups!$A3:$DB100,COLUMN()+22)</f>
        <v>0</v>
      </c>
      <c r="AQ13" s="70">
        <f>VLOOKUP($B$7,Setups!$A3:$DB100,COLUMN()+22)</f>
        <v>0</v>
      </c>
      <c r="AR13" s="70">
        <f>VLOOKUP($B$7,Setups!$A3:$DB100,COLUMN()+22)</f>
        <v>0</v>
      </c>
      <c r="AS13" s="70">
        <f>VLOOKUP($B$7,Setups!$A3:$DB100,COLUMN()+22)</f>
        <v>0</v>
      </c>
      <c r="AT13" s="70">
        <f>VLOOKUP($B$7,Setups!$A3:$DB100,COLUMN()+22)</f>
        <v>0</v>
      </c>
      <c r="AU13" s="70">
        <f>VLOOKUP($B$7,Setups!$A3:$DB100,COLUMN()+22)</f>
        <v>0</v>
      </c>
      <c r="AV13" s="70">
        <f>VLOOKUP($B$7,Setups!$A3:$DB100,COLUMN()+22)</f>
        <v>0</v>
      </c>
      <c r="AW13" s="70">
        <f>VLOOKUP($B$7,Setups!$A3:$DB100,COLUMN()+22)</f>
        <v>0</v>
      </c>
      <c r="AX13" s="70">
        <f>VLOOKUP($B$7,Setups!$A3:$DB100,COLUMN()+22)</f>
        <v>0</v>
      </c>
      <c r="AY13" s="70">
        <f>VLOOKUP($B$7,Setups!$A3:$DB100,COLUMN()+22)</f>
        <v>0</v>
      </c>
      <c r="AZ13" s="70">
        <f>VLOOKUP($B$7,Setups!$A3:$DB100,COLUMN()+22)</f>
        <v>0</v>
      </c>
      <c r="BA13" s="70">
        <f>VLOOKUP($B$7,Setups!$A3:$DB100,COLUMN()+22)</f>
        <v>0</v>
      </c>
      <c r="BB13" s="70">
        <f>VLOOKUP($B$7,Setups!$A3:$DB100,COLUMN()+22)</f>
        <v>0</v>
      </c>
      <c r="BC13" s="70">
        <f>VLOOKUP($B$7,Setups!$A3:$DB100,COLUMN()+22)</f>
        <v>0</v>
      </c>
      <c r="BD13" s="70">
        <f>VLOOKUP($B$7,Setups!$A3:$DB100,COLUMN()+22)</f>
        <v>0</v>
      </c>
      <c r="BE13" s="70">
        <f>VLOOKUP($B$7,Setups!$A3:$DB100,COLUMN()+22)</f>
        <v>0</v>
      </c>
      <c r="BF13" s="70">
        <f>VLOOKUP($B$7,Setups!$A3:$DB100,COLUMN()+22)</f>
        <v>0</v>
      </c>
      <c r="BG13" s="70">
        <f>VLOOKUP($B$7,Setups!$A3:$DB100,COLUMN()+22)</f>
        <v>0</v>
      </c>
      <c r="BH13" s="70">
        <f>VLOOKUP($B$7,Setups!$A3:$DB100,COLUMN()+22)</f>
        <v>0</v>
      </c>
      <c r="BI13" s="70">
        <f>VLOOKUP($B$7,Setups!$A3:$DB100,COLUMN()+22)</f>
        <v>0</v>
      </c>
      <c r="BJ13" s="70">
        <f>VLOOKUP($B$7,Setups!$A3:$DB100,COLUMN()+22)</f>
        <v>0</v>
      </c>
      <c r="BK13" s="70">
        <f>VLOOKUP($B$7,Setups!$A3:$DB100,COLUMN()+22)</f>
        <v>0</v>
      </c>
      <c r="BL13" s="70">
        <f>VLOOKUP($B$7,Setups!$A3:$DB100,COLUMN()+22)</f>
        <v>0</v>
      </c>
      <c r="BM13" s="70">
        <f>VLOOKUP($B$7,Setups!$A3:$DB100,COLUMN()+22)</f>
        <v>0</v>
      </c>
      <c r="BN13" s="70">
        <f>VLOOKUP($B$7,Setups!$A3:$DB100,COLUMN()+22)</f>
        <v>0</v>
      </c>
      <c r="BO13" s="70">
        <f>VLOOKUP($B$7,Setups!$A3:$DB100,COLUMN()+22)</f>
        <v>0</v>
      </c>
      <c r="BP13" s="70">
        <f>VLOOKUP($B$7,Setups!$A3:$DB100,COLUMN()+22)</f>
        <v>0</v>
      </c>
      <c r="BQ13" s="70">
        <f>VLOOKUP($B$7,Setups!$A3:$DB100,COLUMN()+22)</f>
        <v>0</v>
      </c>
      <c r="BR13" s="70">
        <f>VLOOKUP($B$7,Setups!$A3:$DB100,COLUMN()+22)</f>
        <v>0</v>
      </c>
      <c r="BS13" s="70">
        <f>VLOOKUP($B$7,Setups!$A3:$DB100,COLUMN()+22)</f>
        <v>0</v>
      </c>
      <c r="BT13" s="70">
        <f>VLOOKUP($B$7,Setups!$A3:$DB100,COLUMN()+22)</f>
        <v>0</v>
      </c>
      <c r="BU13" s="70">
        <f>VLOOKUP($B$7,Setups!$A3:$DB100,COLUMN()+22)</f>
        <v>0</v>
      </c>
      <c r="BV13" s="70">
        <f>VLOOKUP($B$7,Setups!$A3:$DB100,COLUMN()+22)</f>
        <v>0</v>
      </c>
      <c r="BW13" s="70">
        <f>VLOOKUP($B$7,Setups!$A3:$DB100,COLUMN()+22)</f>
        <v>0</v>
      </c>
      <c r="BX13" s="70">
        <f>VLOOKUP($B$7,Setups!$A3:$DB100,COLUMN()+22)</f>
        <v>0</v>
      </c>
      <c r="BY13" s="70">
        <f>VLOOKUP($B$7,Setups!$A3:$DB100,COLUMN()+22)</f>
        <v>0</v>
      </c>
      <c r="BZ13" s="70">
        <f>VLOOKUP($B$7,Setups!$A3:$DB100,COLUMN()+22)</f>
        <v>0</v>
      </c>
      <c r="CA13" s="70">
        <f>VLOOKUP($B$7,Setups!$A3:$DB100,COLUMN()+22)</f>
        <v>0</v>
      </c>
      <c r="CB13" s="70">
        <f>VLOOKUP($B$7,Setups!$A3:$DB100,COLUMN()+22)</f>
        <v>0</v>
      </c>
      <c r="CC13" s="70">
        <f>VLOOKUP($B$7,Setups!$A3:$DB100,COLUMN()+22)</f>
        <v>0</v>
      </c>
      <c r="CD13" s="70">
        <f>VLOOKUP($B$7,Setups!$A3:$DB100,COLUMN()+22)</f>
        <v>0</v>
      </c>
      <c r="CE13" s="70">
        <f>VLOOKUP($B$7,Setups!$A3:$DB100,COLUMN()+22)</f>
        <v>0</v>
      </c>
      <c r="CF13" s="70">
        <f>VLOOKUP($B$7,Setups!$A3:$DB100,COLUMN()+22)</f>
        <v>0</v>
      </c>
    </row>
    <row r="14" spans="1:84" ht="17.399999999999999" x14ac:dyDescent="0.35">
      <c r="A14" s="67" t="s">
        <v>651</v>
      </c>
      <c r="B14" s="67"/>
      <c r="C14" s="66"/>
      <c r="D14" s="66">
        <v>57.963880000000003</v>
      </c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CF14" s="66"/>
    </row>
    <row r="15" spans="1:84" s="38" customFormat="1" ht="17.399999999999999" x14ac:dyDescent="0.35">
      <c r="A15" s="67" t="s">
        <v>652</v>
      </c>
      <c r="B15" s="67"/>
      <c r="C15" s="66"/>
      <c r="D15" s="66">
        <v>56.975560000000002</v>
      </c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 s="66"/>
    </row>
    <row r="16" spans="1:84" ht="17.399999999999999" x14ac:dyDescent="0.35">
      <c r="A16" s="67" t="s">
        <v>653</v>
      </c>
      <c r="B16" s="67"/>
      <c r="C16" s="67"/>
      <c r="D16" s="66">
        <v>61.349919999999997</v>
      </c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CF16" s="66"/>
    </row>
    <row r="17" spans="1:84" ht="17.399999999999999" x14ac:dyDescent="0.35">
      <c r="A17" s="67" t="s">
        <v>654</v>
      </c>
      <c r="B17" s="67"/>
      <c r="C17" s="67"/>
      <c r="D17" s="66">
        <v>67.387500000000003</v>
      </c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CF17" s="68"/>
    </row>
    <row r="18" spans="1:84" ht="17.399999999999999" x14ac:dyDescent="0.35">
      <c r="A18" s="67" t="s">
        <v>655</v>
      </c>
      <c r="B18" s="67"/>
      <c r="C18" s="67"/>
      <c r="D18" s="66">
        <v>63.973019999999998</v>
      </c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CF18" s="68"/>
    </row>
    <row r="19" spans="1:84" ht="17.399999999999999" x14ac:dyDescent="0.35">
      <c r="A19" s="67" t="s">
        <v>656</v>
      </c>
      <c r="B19" s="67"/>
      <c r="C19" s="67"/>
      <c r="D19" s="66">
        <v>70.384219999999999</v>
      </c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CF19" s="68"/>
    </row>
    <row r="20" spans="1:84" ht="17.399999999999999" x14ac:dyDescent="0.35">
      <c r="A20" s="67" t="s">
        <v>657</v>
      </c>
      <c r="B20" s="67"/>
      <c r="C20" s="66"/>
      <c r="D20" s="66">
        <v>69.9315</v>
      </c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CF20" s="68"/>
    </row>
    <row r="21" spans="1:84" ht="17.399999999999999" x14ac:dyDescent="0.35">
      <c r="A21" s="67" t="s">
        <v>658</v>
      </c>
      <c r="B21" s="67"/>
      <c r="C21" s="66"/>
      <c r="D21" s="66">
        <v>68.046660000000003</v>
      </c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CF21" s="68"/>
    </row>
    <row r="22" spans="1:84" ht="17.399999999999999" x14ac:dyDescent="0.35">
      <c r="A22" s="67" t="s">
        <v>659</v>
      </c>
      <c r="B22" s="67"/>
      <c r="C22" s="66"/>
      <c r="D22" s="66">
        <v>68.217420000000004</v>
      </c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CF22" s="68"/>
    </row>
    <row r="23" spans="1:84" ht="17.399999999999999" x14ac:dyDescent="0.35">
      <c r="A23" s="67" t="s">
        <v>660</v>
      </c>
      <c r="B23" s="67"/>
      <c r="C23" s="66"/>
      <c r="D23" s="66">
        <v>63.227580000000003</v>
      </c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CF23" s="68"/>
    </row>
    <row r="24" spans="1:84" ht="17.399999999999999" x14ac:dyDescent="0.35">
      <c r="A24" s="67" t="s">
        <v>661</v>
      </c>
      <c r="B24" s="67"/>
      <c r="C24" s="66"/>
      <c r="D24" s="66">
        <v>62.613079999999997</v>
      </c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CF24" s="68"/>
    </row>
    <row r="25" spans="1:84" ht="17.399999999999999" x14ac:dyDescent="0.35">
      <c r="A25" s="67" t="s">
        <v>662</v>
      </c>
      <c r="B25" s="67"/>
      <c r="C25" s="66"/>
      <c r="D25" s="66">
        <v>55.918219999999998</v>
      </c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CF25" s="68"/>
    </row>
    <row r="26" spans="1:84" ht="17.399999999999999" x14ac:dyDescent="0.35">
      <c r="A26" s="67" t="s">
        <v>663</v>
      </c>
      <c r="B26" s="67"/>
      <c r="C26" s="66"/>
      <c r="D26" s="66">
        <v>61.569859999999998</v>
      </c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CF26" s="68"/>
    </row>
    <row r="27" spans="1:84" ht="17.399999999999999" x14ac:dyDescent="0.35">
      <c r="A27" s="67" t="s">
        <v>664</v>
      </c>
      <c r="B27" s="67"/>
      <c r="C27" s="66"/>
      <c r="D27" s="66">
        <v>63.666460000000001</v>
      </c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CF27" s="68"/>
    </row>
    <row r="28" spans="1:84" ht="17.399999999999999" x14ac:dyDescent="0.35">
      <c r="A28" s="67" t="s">
        <v>665</v>
      </c>
      <c r="B28" s="67"/>
      <c r="C28" s="66"/>
      <c r="D28" s="66">
        <v>66.247659999999996</v>
      </c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CF28" s="68"/>
    </row>
    <row r="29" spans="1:84" ht="17.399999999999999" x14ac:dyDescent="0.35">
      <c r="A29" s="67" t="s">
        <v>666</v>
      </c>
      <c r="B29" s="67"/>
      <c r="C29" s="66"/>
      <c r="D29" s="66">
        <v>67.194980000000001</v>
      </c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CF29" s="68"/>
    </row>
    <row r="30" spans="1:84" ht="17.399999999999999" x14ac:dyDescent="0.35">
      <c r="A30" s="67" t="s">
        <v>667</v>
      </c>
      <c r="B30" s="67"/>
      <c r="C30" s="66"/>
      <c r="D30" s="66">
        <v>73.269379999999998</v>
      </c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CF30" s="68"/>
    </row>
    <row r="31" spans="1:84" ht="17.399999999999999" x14ac:dyDescent="0.35">
      <c r="A31" s="67" t="s">
        <v>668</v>
      </c>
      <c r="B31" s="67"/>
      <c r="C31" s="66"/>
      <c r="D31" s="66">
        <v>68.655720000000002</v>
      </c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CF31" s="68"/>
    </row>
    <row r="32" spans="1:84" ht="17.399999999999999" x14ac:dyDescent="0.35">
      <c r="A32" s="67" t="s">
        <v>669</v>
      </c>
      <c r="B32" s="67"/>
      <c r="C32" s="66"/>
      <c r="D32" s="66">
        <v>68.775559999999999</v>
      </c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CF32" s="68"/>
    </row>
    <row r="33" spans="1:84" ht="17.399999999999999" x14ac:dyDescent="0.35">
      <c r="A33" s="67" t="s">
        <v>670</v>
      </c>
      <c r="B33" s="67"/>
      <c r="C33" s="66"/>
      <c r="D33" s="66">
        <v>61.53942</v>
      </c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CF33" s="68"/>
    </row>
    <row r="34" spans="1:84" ht="17.399999999999999" x14ac:dyDescent="0.35">
      <c r="A34" s="67" t="s">
        <v>671</v>
      </c>
      <c r="B34" s="67"/>
      <c r="C34" s="66"/>
      <c r="D34" s="66">
        <v>51.702260000000003</v>
      </c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  <c r="CF34" s="68"/>
    </row>
    <row r="35" spans="1:84" ht="17.399999999999999" x14ac:dyDescent="0.35">
      <c r="A35" s="67" t="s">
        <v>672</v>
      </c>
      <c r="B35" s="67"/>
      <c r="C35" s="66"/>
      <c r="D35" s="66">
        <v>54.016590000000001</v>
      </c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  <c r="CF35" s="68"/>
    </row>
    <row r="36" spans="1:84" ht="17.399999999999999" x14ac:dyDescent="0.35">
      <c r="A36" s="67" t="s">
        <v>673</v>
      </c>
      <c r="B36" s="67"/>
      <c r="C36" s="66"/>
      <c r="D36" s="66">
        <v>59.207349999999998</v>
      </c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  <c r="CF36" s="68"/>
    </row>
    <row r="37" spans="1:84" ht="17.399999999999999" x14ac:dyDescent="0.35">
      <c r="A37" s="67" t="s">
        <v>674</v>
      </c>
      <c r="B37" s="67"/>
      <c r="C37" s="66"/>
      <c r="D37" s="66">
        <v>64.098219999999998</v>
      </c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  <c r="CF37" s="68"/>
    </row>
    <row r="38" spans="1:84" ht="17.399999999999999" x14ac:dyDescent="0.35">
      <c r="A38" s="67" t="s">
        <v>675</v>
      </c>
      <c r="B38" s="67"/>
      <c r="C38" s="66"/>
      <c r="D38" s="66">
        <v>61.636940000000003</v>
      </c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  <c r="CF38" s="68"/>
    </row>
    <row r="39" spans="1:84" ht="17.399999999999999" x14ac:dyDescent="0.35">
      <c r="A39" s="67" t="s">
        <v>676</v>
      </c>
      <c r="B39" s="67"/>
      <c r="C39" s="66"/>
      <c r="D39" s="66">
        <v>62.793759999999999</v>
      </c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  <c r="CF39" s="68"/>
    </row>
    <row r="40" spans="1:84" ht="17.399999999999999" x14ac:dyDescent="0.35">
      <c r="A40" s="67" t="s">
        <v>677</v>
      </c>
      <c r="B40" s="67"/>
      <c r="C40" s="66"/>
      <c r="D40" s="66">
        <v>67.311059999999998</v>
      </c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CF40" s="68"/>
    </row>
    <row r="41" spans="1:84" ht="17.399999999999999" x14ac:dyDescent="0.35">
      <c r="A41" s="67" t="s">
        <v>678</v>
      </c>
      <c r="B41" s="67"/>
      <c r="C41" s="66"/>
      <c r="D41" s="66">
        <v>66.254239999999996</v>
      </c>
      <c r="E41" s="66"/>
      <c r="F41" s="66"/>
      <c r="G41" s="66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  <c r="T41" s="66"/>
      <c r="U41" s="66"/>
      <c r="V41" s="66"/>
      <c r="W41" s="66"/>
      <c r="X41" s="66"/>
      <c r="Y41" s="66"/>
      <c r="Z41" s="66"/>
      <c r="AA41" s="66"/>
      <c r="AB41" s="66"/>
      <c r="AC41" s="66"/>
      <c r="AD41" s="66"/>
      <c r="AE41" s="66"/>
      <c r="AF41" s="66"/>
      <c r="AG41" s="66"/>
      <c r="CF41" s="68"/>
    </row>
    <row r="42" spans="1:84" ht="17.399999999999999" x14ac:dyDescent="0.35">
      <c r="A42" s="67" t="s">
        <v>679</v>
      </c>
      <c r="B42" s="67"/>
      <c r="C42" s="66"/>
      <c r="D42" s="66">
        <v>73.302359999999993</v>
      </c>
      <c r="E42" s="66"/>
      <c r="F42" s="66"/>
      <c r="G42" s="66"/>
      <c r="H42" s="66"/>
      <c r="I42" s="66"/>
      <c r="J42" s="66"/>
      <c r="K42" s="6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66"/>
      <c r="AB42" s="66"/>
      <c r="AC42" s="66"/>
      <c r="AD42" s="66"/>
      <c r="AE42" s="66"/>
      <c r="AF42" s="66"/>
      <c r="AG42" s="66"/>
      <c r="CF42" s="68"/>
    </row>
    <row r="43" spans="1:84" ht="17.399999999999999" x14ac:dyDescent="0.35">
      <c r="A43" s="67" t="s">
        <v>680</v>
      </c>
      <c r="B43" s="67"/>
      <c r="C43" s="66"/>
      <c r="D43" s="66">
        <v>82.659400000000005</v>
      </c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66"/>
      <c r="AB43" s="66"/>
      <c r="AC43" s="66"/>
      <c r="AD43" s="66"/>
      <c r="AE43" s="66"/>
      <c r="AF43" s="66"/>
      <c r="AG43" s="66"/>
      <c r="CF43" s="68"/>
    </row>
    <row r="44" spans="1:84" ht="17.399999999999999" x14ac:dyDescent="0.35">
      <c r="A44" s="67" t="s">
        <v>681</v>
      </c>
      <c r="B44" s="67"/>
      <c r="C44" s="66"/>
      <c r="D44" s="66">
        <v>75.465059999999994</v>
      </c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  <c r="S44" s="66"/>
      <c r="T44" s="66"/>
      <c r="U44" s="66"/>
      <c r="V44" s="66"/>
      <c r="W44" s="66"/>
      <c r="X44" s="66"/>
      <c r="Y44" s="66"/>
      <c r="Z44" s="66"/>
      <c r="AA44" s="66"/>
      <c r="AB44" s="66"/>
      <c r="AC44" s="66"/>
      <c r="AD44" s="66"/>
      <c r="AE44" s="66"/>
      <c r="AF44" s="66"/>
      <c r="AG44" s="66"/>
      <c r="CF44" s="68"/>
    </row>
    <row r="45" spans="1:84" ht="17.399999999999999" x14ac:dyDescent="0.35">
      <c r="A45" s="67" t="s">
        <v>682</v>
      </c>
      <c r="B45" s="67"/>
      <c r="C45" s="66"/>
      <c r="D45" s="66">
        <v>70.28022</v>
      </c>
      <c r="E45" s="66"/>
      <c r="F45" s="66"/>
      <c r="G45" s="66"/>
      <c r="H45" s="66"/>
      <c r="I45" s="66"/>
      <c r="J45" s="66"/>
      <c r="K45" s="66"/>
      <c r="L45" s="66"/>
      <c r="M45" s="66"/>
      <c r="N45" s="66"/>
      <c r="O45" s="66"/>
      <c r="P45" s="66"/>
      <c r="Q45" s="66"/>
      <c r="R45" s="66"/>
      <c r="S45" s="66"/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66"/>
      <c r="AE45" s="66"/>
      <c r="AF45" s="66"/>
      <c r="AG45" s="66"/>
      <c r="CF45" s="68"/>
    </row>
    <row r="46" spans="1:84" ht="17.399999999999999" x14ac:dyDescent="0.35">
      <c r="A46" s="67" t="s">
        <v>683</v>
      </c>
      <c r="B46" s="67"/>
      <c r="C46" s="66"/>
      <c r="D46" s="66">
        <v>57.26952</v>
      </c>
      <c r="E46" s="66"/>
      <c r="F46" s="66"/>
      <c r="G46" s="66"/>
      <c r="H46" s="66"/>
      <c r="I46" s="66"/>
      <c r="J46" s="66"/>
      <c r="K46" s="66"/>
      <c r="L46" s="66"/>
      <c r="M46" s="66"/>
      <c r="N46" s="66"/>
      <c r="O46" s="66"/>
      <c r="P46" s="66"/>
      <c r="Q46" s="66"/>
      <c r="R46" s="66"/>
      <c r="S46" s="66"/>
      <c r="T46" s="66"/>
      <c r="U46" s="66"/>
      <c r="V46" s="66"/>
      <c r="W46" s="66"/>
      <c r="X46" s="66"/>
      <c r="Y46" s="66"/>
      <c r="Z46" s="66"/>
      <c r="AA46" s="66"/>
      <c r="AB46" s="66"/>
      <c r="AC46" s="66"/>
      <c r="AD46" s="66"/>
      <c r="AE46" s="66"/>
      <c r="AF46" s="66"/>
      <c r="AG46" s="66"/>
      <c r="CF46" s="68"/>
    </row>
    <row r="47" spans="1:84" ht="17.399999999999999" x14ac:dyDescent="0.35">
      <c r="A47" s="67" t="s">
        <v>684</v>
      </c>
      <c r="B47" s="67"/>
      <c r="C47" s="66"/>
      <c r="D47" s="66">
        <v>62.827779999999997</v>
      </c>
      <c r="E47" s="66"/>
      <c r="F47" s="66"/>
      <c r="G47" s="66"/>
      <c r="H47" s="66"/>
      <c r="I47" s="66"/>
      <c r="J47" s="66"/>
      <c r="K47" s="66"/>
      <c r="L47" s="66"/>
      <c r="M47" s="66"/>
      <c r="N47" s="66"/>
      <c r="O47" s="66"/>
      <c r="P47" s="66"/>
      <c r="Q47" s="66"/>
      <c r="R47" s="66"/>
      <c r="S47" s="66"/>
      <c r="T47" s="66"/>
      <c r="U47" s="66"/>
      <c r="V47" s="66"/>
      <c r="W47" s="66"/>
      <c r="X47" s="66"/>
      <c r="Y47" s="66"/>
      <c r="Z47" s="66"/>
      <c r="AA47" s="66"/>
      <c r="AB47" s="66"/>
      <c r="AC47" s="66"/>
      <c r="AD47" s="66"/>
      <c r="AE47" s="66"/>
      <c r="AF47" s="66"/>
      <c r="AG47" s="66"/>
      <c r="CF47" s="68"/>
    </row>
    <row r="48" spans="1:84" ht="17.399999999999999" x14ac:dyDescent="0.35">
      <c r="A48" s="67" t="s">
        <v>685</v>
      </c>
      <c r="B48" s="67"/>
      <c r="C48" s="66"/>
      <c r="D48" s="66">
        <v>60.405560000000001</v>
      </c>
      <c r="E48" s="66"/>
      <c r="F48" s="66"/>
      <c r="G48" s="66"/>
      <c r="H48" s="66"/>
      <c r="I48" s="66"/>
      <c r="J48" s="66"/>
      <c r="K48" s="66"/>
      <c r="L48" s="66"/>
      <c r="M48" s="66"/>
      <c r="N48" s="66"/>
      <c r="O48" s="66"/>
      <c r="P48" s="66"/>
      <c r="Q48" s="66"/>
      <c r="R48" s="66"/>
      <c r="S48" s="66"/>
      <c r="T48" s="66"/>
      <c r="U48" s="66"/>
      <c r="V48" s="66"/>
      <c r="W48" s="66"/>
      <c r="X48" s="66"/>
      <c r="Y48" s="66"/>
      <c r="Z48" s="66"/>
      <c r="AA48" s="66"/>
      <c r="AB48" s="66"/>
      <c r="AC48" s="66"/>
      <c r="AD48" s="66"/>
      <c r="AE48" s="66"/>
      <c r="AF48" s="66"/>
      <c r="AG48" s="66"/>
      <c r="CF48" s="68"/>
    </row>
    <row r="49" spans="1:84" ht="17.399999999999999" x14ac:dyDescent="0.35">
      <c r="A49" s="67" t="s">
        <v>686</v>
      </c>
      <c r="B49" s="67"/>
      <c r="C49" s="66"/>
      <c r="D49" s="66">
        <v>62.551960000000001</v>
      </c>
      <c r="E49" s="66"/>
      <c r="F49" s="66"/>
      <c r="G49" s="66"/>
      <c r="H49" s="66"/>
      <c r="I49" s="66"/>
      <c r="J49" s="66"/>
      <c r="K49" s="66"/>
      <c r="L49" s="66"/>
      <c r="M49" s="66"/>
      <c r="N49" s="66"/>
      <c r="O49" s="66"/>
      <c r="P49" s="66"/>
      <c r="Q49" s="66"/>
      <c r="R49" s="66"/>
      <c r="S49" s="66"/>
      <c r="T49" s="66"/>
      <c r="U49" s="66"/>
      <c r="V49" s="66"/>
      <c r="W49" s="66"/>
      <c r="X49" s="66"/>
      <c r="Y49" s="66"/>
      <c r="Z49" s="66"/>
      <c r="AA49" s="66"/>
      <c r="AB49" s="66"/>
      <c r="AC49" s="66"/>
      <c r="AD49" s="66"/>
      <c r="AE49" s="66"/>
      <c r="AF49" s="66"/>
      <c r="AG49" s="66"/>
      <c r="CF49" s="68"/>
    </row>
    <row r="50" spans="1:84" ht="17.399999999999999" x14ac:dyDescent="0.35">
      <c r="A50" s="67" t="s">
        <v>687</v>
      </c>
      <c r="B50" s="67"/>
      <c r="C50" s="66"/>
      <c r="D50" s="66">
        <v>72.069339999999997</v>
      </c>
      <c r="E50" s="66"/>
      <c r="F50" s="66"/>
      <c r="G50" s="66"/>
      <c r="H50" s="66"/>
      <c r="I50" s="66"/>
      <c r="J50" s="66"/>
      <c r="K50" s="66"/>
      <c r="L50" s="66"/>
      <c r="M50" s="66"/>
      <c r="N50" s="66"/>
      <c r="O50" s="66"/>
      <c r="P50" s="66"/>
      <c r="Q50" s="66"/>
      <c r="R50" s="66"/>
      <c r="S50" s="66"/>
      <c r="T50" s="66"/>
      <c r="U50" s="66"/>
      <c r="V50" s="66"/>
      <c r="W50" s="66"/>
      <c r="X50" s="66"/>
      <c r="Y50" s="66"/>
      <c r="Z50" s="66"/>
      <c r="AA50" s="66"/>
      <c r="AB50" s="66"/>
      <c r="AC50" s="66"/>
      <c r="AD50" s="66"/>
      <c r="AE50" s="66"/>
      <c r="AF50" s="66"/>
      <c r="AG50" s="66"/>
      <c r="CF50" s="68"/>
    </row>
    <row r="51" spans="1:84" ht="17.399999999999999" x14ac:dyDescent="0.35">
      <c r="A51" s="67" t="s">
        <v>688</v>
      </c>
      <c r="B51" s="67"/>
      <c r="C51" s="66"/>
      <c r="D51" s="66">
        <v>68.164839999999998</v>
      </c>
      <c r="E51" s="66"/>
      <c r="F51" s="66"/>
      <c r="G51" s="66"/>
      <c r="H51" s="66"/>
      <c r="I51" s="66"/>
      <c r="J51" s="66"/>
      <c r="K51" s="66"/>
      <c r="L51" s="66"/>
      <c r="M51" s="66"/>
      <c r="N51" s="66"/>
      <c r="O51" s="66"/>
      <c r="P51" s="66"/>
      <c r="Q51" s="66"/>
      <c r="R51" s="66"/>
      <c r="S51" s="66"/>
      <c r="T51" s="66"/>
      <c r="U51" s="66"/>
      <c r="V51" s="66"/>
      <c r="W51" s="66"/>
      <c r="X51" s="66"/>
      <c r="Y51" s="66"/>
      <c r="Z51" s="66"/>
      <c r="AA51" s="66"/>
      <c r="AB51" s="66"/>
      <c r="AC51" s="66"/>
      <c r="AD51" s="66"/>
      <c r="AE51" s="66"/>
      <c r="AF51" s="66"/>
      <c r="AG51" s="66"/>
      <c r="CF51" s="68"/>
    </row>
    <row r="52" spans="1:84" ht="17.399999999999999" x14ac:dyDescent="0.35">
      <c r="A52" s="67" t="s">
        <v>689</v>
      </c>
      <c r="B52" s="67"/>
      <c r="C52" s="66"/>
      <c r="D52" s="66">
        <v>63.71604</v>
      </c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66"/>
      <c r="AF52" s="66"/>
      <c r="AG52" s="66"/>
      <c r="CF52" s="68"/>
    </row>
    <row r="53" spans="1:84" ht="17.399999999999999" x14ac:dyDescent="0.35">
      <c r="A53" s="67" t="s">
        <v>690</v>
      </c>
      <c r="B53" s="67"/>
      <c r="C53" s="66"/>
      <c r="D53" s="66">
        <v>74.807159999999996</v>
      </c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66"/>
      <c r="V53" s="66"/>
      <c r="W53" s="66"/>
      <c r="X53" s="66"/>
      <c r="Y53" s="66"/>
      <c r="Z53" s="66"/>
      <c r="AA53" s="66"/>
      <c r="AB53" s="66"/>
      <c r="AC53" s="66"/>
      <c r="AD53" s="66"/>
      <c r="AE53" s="66"/>
      <c r="AF53" s="66"/>
      <c r="AG53" s="66"/>
      <c r="CF53" s="68"/>
    </row>
    <row r="54" spans="1:84" ht="17.399999999999999" x14ac:dyDescent="0.35">
      <c r="A54" s="67" t="s">
        <v>691</v>
      </c>
      <c r="B54" s="67"/>
      <c r="C54" s="66"/>
      <c r="D54" s="66">
        <v>80.289119999999997</v>
      </c>
      <c r="E54" s="66"/>
      <c r="F54" s="66"/>
      <c r="G54" s="66"/>
      <c r="H54" s="66"/>
      <c r="I54" s="66"/>
      <c r="J54" s="66"/>
      <c r="K54" s="66"/>
      <c r="L54" s="66"/>
      <c r="M54" s="66"/>
      <c r="N54" s="66"/>
      <c r="O54" s="66"/>
      <c r="P54" s="66"/>
      <c r="Q54" s="66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  <c r="AE54" s="66"/>
      <c r="AF54" s="66"/>
      <c r="AG54" s="66"/>
      <c r="CF54" s="68"/>
    </row>
    <row r="55" spans="1:84" ht="17.399999999999999" x14ac:dyDescent="0.35">
      <c r="A55" s="67" t="s">
        <v>692</v>
      </c>
      <c r="B55" s="67"/>
      <c r="C55" s="66"/>
      <c r="D55" s="66">
        <v>73.154160000000005</v>
      </c>
      <c r="E55" s="66"/>
      <c r="F55" s="66"/>
      <c r="G55" s="66"/>
      <c r="H55" s="66"/>
      <c r="I55" s="66"/>
      <c r="J55" s="66"/>
      <c r="K55" s="66"/>
      <c r="L55" s="66"/>
      <c r="M55" s="66"/>
      <c r="N55" s="66"/>
      <c r="O55" s="66"/>
      <c r="P55" s="66"/>
      <c r="Q55" s="66"/>
      <c r="R55" s="66"/>
      <c r="S55" s="66"/>
      <c r="T55" s="66"/>
      <c r="U55" s="66"/>
      <c r="V55" s="66"/>
      <c r="W55" s="66"/>
      <c r="X55" s="66"/>
      <c r="Y55" s="66"/>
      <c r="Z55" s="66"/>
      <c r="AA55" s="66"/>
      <c r="AB55" s="66"/>
      <c r="AC55" s="66"/>
      <c r="AD55" s="66"/>
      <c r="AE55" s="66"/>
      <c r="AF55" s="66"/>
      <c r="AG55" s="66"/>
      <c r="CF55" s="68"/>
    </row>
    <row r="56" spans="1:84" ht="17.399999999999999" x14ac:dyDescent="0.35">
      <c r="A56" s="67" t="s">
        <v>693</v>
      </c>
      <c r="B56" s="67"/>
      <c r="C56" s="66"/>
      <c r="D56" s="66">
        <v>61.327800000000003</v>
      </c>
      <c r="E56" s="66"/>
      <c r="F56" s="66"/>
      <c r="G56" s="66"/>
      <c r="H56" s="66"/>
      <c r="I56" s="66"/>
      <c r="J56" s="66"/>
      <c r="K56" s="66"/>
      <c r="L56" s="66"/>
      <c r="M56" s="66"/>
      <c r="N56" s="66"/>
      <c r="O56" s="66"/>
      <c r="P56" s="66"/>
      <c r="Q56" s="66"/>
      <c r="R56" s="66"/>
      <c r="S56" s="66"/>
      <c r="T56" s="66"/>
      <c r="U56" s="66"/>
      <c r="V56" s="66"/>
      <c r="W56" s="66"/>
      <c r="X56" s="66"/>
      <c r="Y56" s="66"/>
      <c r="Z56" s="66"/>
      <c r="AA56" s="66"/>
      <c r="AB56" s="66"/>
      <c r="AC56" s="66"/>
      <c r="AD56" s="66"/>
      <c r="AE56" s="66"/>
      <c r="AF56" s="66"/>
      <c r="AG56" s="66"/>
      <c r="CF56" s="68"/>
    </row>
    <row r="57" spans="1:84" ht="17.399999999999999" x14ac:dyDescent="0.35">
      <c r="A57" s="67" t="s">
        <v>694</v>
      </c>
      <c r="B57" s="67"/>
      <c r="C57" s="66"/>
      <c r="D57" s="66">
        <v>62.473799999999997</v>
      </c>
      <c r="E57" s="66"/>
      <c r="F57" s="66"/>
      <c r="G57" s="66"/>
      <c r="H57" s="66"/>
      <c r="I57" s="66"/>
      <c r="J57" s="66"/>
      <c r="K57" s="66"/>
      <c r="L57" s="66"/>
      <c r="M57" s="66"/>
      <c r="N57" s="66"/>
      <c r="O57" s="66"/>
      <c r="P57" s="66"/>
      <c r="Q57" s="66"/>
      <c r="R57" s="66"/>
      <c r="S57" s="66"/>
      <c r="T57" s="66"/>
      <c r="U57" s="66"/>
      <c r="V57" s="66"/>
      <c r="W57" s="66"/>
      <c r="X57" s="66"/>
      <c r="Y57" s="66"/>
      <c r="Z57" s="66"/>
      <c r="AA57" s="66"/>
      <c r="AB57" s="66"/>
      <c r="AC57" s="66"/>
      <c r="AD57" s="66"/>
      <c r="AE57" s="66"/>
      <c r="AF57" s="66"/>
      <c r="AG57" s="66"/>
      <c r="CF57" s="68"/>
    </row>
    <row r="58" spans="1:84" ht="17.399999999999999" x14ac:dyDescent="0.35">
      <c r="A58" s="67" t="s">
        <v>695</v>
      </c>
      <c r="B58" s="67"/>
      <c r="C58" s="66"/>
      <c r="D58" s="66">
        <v>64.680160000000001</v>
      </c>
      <c r="E58" s="66"/>
      <c r="F58" s="66"/>
      <c r="G58" s="66"/>
      <c r="H58" s="66"/>
      <c r="I58" s="66"/>
      <c r="J58" s="66"/>
      <c r="K58" s="66"/>
      <c r="L58" s="66"/>
      <c r="M58" s="66"/>
      <c r="N58" s="66"/>
      <c r="O58" s="66"/>
      <c r="P58" s="66"/>
      <c r="Q58" s="66"/>
      <c r="R58" s="66"/>
      <c r="S58" s="66"/>
      <c r="T58" s="66"/>
      <c r="U58" s="66"/>
      <c r="V58" s="66"/>
      <c r="W58" s="66"/>
      <c r="X58" s="66"/>
      <c r="Y58" s="66"/>
      <c r="Z58" s="66"/>
      <c r="AA58" s="66"/>
      <c r="AB58" s="66"/>
      <c r="AC58" s="66"/>
      <c r="AD58" s="66"/>
      <c r="AE58" s="66"/>
      <c r="AF58" s="66"/>
      <c r="AG58" s="66"/>
      <c r="CF58" s="68"/>
    </row>
    <row r="59" spans="1:84" ht="17.399999999999999" x14ac:dyDescent="0.35">
      <c r="A59" s="67" t="s">
        <v>696</v>
      </c>
      <c r="B59" s="67"/>
      <c r="C59" s="66"/>
      <c r="D59" s="66">
        <v>72.881659999999997</v>
      </c>
      <c r="E59" s="66"/>
      <c r="F59" s="66"/>
      <c r="G59" s="66"/>
      <c r="H59" s="66"/>
      <c r="I59" s="66"/>
      <c r="J59" s="66"/>
      <c r="K59" s="66"/>
      <c r="L59" s="66"/>
      <c r="M59" s="66"/>
      <c r="N59" s="66"/>
      <c r="O59" s="66"/>
      <c r="P59" s="66"/>
      <c r="Q59" s="66"/>
      <c r="R59" s="66"/>
      <c r="S59" s="66"/>
      <c r="T59" s="66"/>
      <c r="U59" s="66"/>
      <c r="V59" s="66"/>
      <c r="W59" s="66"/>
      <c r="X59" s="66"/>
      <c r="Y59" s="66"/>
      <c r="Z59" s="66"/>
      <c r="AA59" s="66"/>
      <c r="AB59" s="66"/>
      <c r="AC59" s="66"/>
      <c r="AD59" s="66"/>
      <c r="AE59" s="66"/>
      <c r="AF59" s="66"/>
      <c r="AG59" s="66"/>
      <c r="CF59" s="68"/>
    </row>
    <row r="60" spans="1:84" ht="17.399999999999999" x14ac:dyDescent="0.35">
      <c r="A60" s="67" t="s">
        <v>697</v>
      </c>
      <c r="B60" s="67"/>
      <c r="C60" s="66"/>
      <c r="D60" s="66">
        <v>69.530500000000004</v>
      </c>
      <c r="E60" s="66"/>
      <c r="F60" s="66"/>
      <c r="G60" s="66"/>
      <c r="H60" s="66"/>
      <c r="I60" s="66"/>
      <c r="J60" s="66"/>
      <c r="K60" s="66"/>
      <c r="L60" s="66"/>
      <c r="M60" s="66"/>
      <c r="N60" s="66"/>
      <c r="O60" s="66"/>
      <c r="P60" s="66"/>
      <c r="Q60" s="66"/>
      <c r="R60" s="66"/>
      <c r="S60" s="66"/>
      <c r="T60" s="66"/>
      <c r="U60" s="66"/>
      <c r="V60" s="66"/>
      <c r="W60" s="66"/>
      <c r="X60" s="66"/>
      <c r="Y60" s="66"/>
      <c r="Z60" s="66"/>
      <c r="AA60" s="66"/>
      <c r="AB60" s="66"/>
      <c r="AC60" s="66"/>
      <c r="AD60" s="66"/>
      <c r="AE60" s="66"/>
      <c r="AF60" s="66"/>
      <c r="AG60" s="66"/>
      <c r="CF60" s="68"/>
    </row>
    <row r="61" spans="1:84" ht="17.399999999999999" x14ac:dyDescent="0.35">
      <c r="A61" s="67" t="s">
        <v>698</v>
      </c>
      <c r="B61" s="67"/>
      <c r="C61" s="66"/>
      <c r="D61" s="66">
        <v>73.457840000000004</v>
      </c>
      <c r="E61" s="66"/>
      <c r="F61" s="66"/>
      <c r="G61" s="66"/>
      <c r="H61" s="66"/>
      <c r="I61" s="66"/>
      <c r="J61" s="66"/>
      <c r="K61" s="66"/>
      <c r="L61" s="66"/>
      <c r="M61" s="66"/>
      <c r="N61" s="66"/>
      <c r="O61" s="66"/>
      <c r="P61" s="66"/>
      <c r="Q61" s="66"/>
      <c r="R61" s="66"/>
      <c r="S61" s="66"/>
      <c r="T61" s="66"/>
      <c r="U61" s="66"/>
      <c r="V61" s="66"/>
      <c r="W61" s="66"/>
      <c r="X61" s="66"/>
      <c r="Y61" s="66"/>
      <c r="Z61" s="66"/>
      <c r="AA61" s="66"/>
      <c r="AB61" s="66"/>
      <c r="AC61" s="66"/>
      <c r="AD61" s="66"/>
      <c r="AE61" s="66"/>
      <c r="AF61" s="66"/>
      <c r="AG61" s="66"/>
      <c r="CF61" s="68"/>
    </row>
    <row r="62" spans="1:84" ht="17.399999999999999" x14ac:dyDescent="0.35">
      <c r="A62" s="67" t="s">
        <v>699</v>
      </c>
      <c r="B62" s="67"/>
      <c r="C62" s="66"/>
      <c r="D62" s="66">
        <v>70.633139999999997</v>
      </c>
      <c r="E62" s="66"/>
      <c r="F62" s="66"/>
      <c r="G62" s="66"/>
      <c r="H62" s="66"/>
      <c r="I62" s="66"/>
      <c r="J62" s="66"/>
      <c r="K62" s="66"/>
      <c r="L62" s="66"/>
      <c r="M62" s="66"/>
      <c r="N62" s="66"/>
      <c r="O62" s="66"/>
      <c r="P62" s="66"/>
      <c r="Q62" s="66"/>
      <c r="R62" s="66"/>
      <c r="S62" s="66"/>
      <c r="T62" s="66"/>
      <c r="U62" s="66"/>
      <c r="V62" s="66"/>
      <c r="W62" s="66"/>
      <c r="X62" s="66"/>
      <c r="Y62" s="66"/>
      <c r="Z62" s="66"/>
      <c r="AA62" s="66"/>
      <c r="AB62" s="66"/>
      <c r="AC62" s="66"/>
      <c r="AD62" s="66"/>
      <c r="AE62" s="66"/>
      <c r="AF62" s="66"/>
      <c r="AG62" s="66"/>
      <c r="CF62" s="68"/>
    </row>
    <row r="63" spans="1:84" ht="17.399999999999999" x14ac:dyDescent="0.35">
      <c r="A63" s="67" t="s">
        <v>700</v>
      </c>
      <c r="B63" s="67"/>
      <c r="C63" s="66"/>
      <c r="D63" s="66">
        <v>68.357140000000001</v>
      </c>
      <c r="E63" s="66"/>
      <c r="F63" s="66"/>
      <c r="G63" s="66"/>
      <c r="H63" s="66"/>
      <c r="I63" s="66"/>
      <c r="J63" s="66"/>
      <c r="K63" s="66"/>
      <c r="L63" s="66"/>
      <c r="M63" s="66"/>
      <c r="N63" s="66"/>
      <c r="O63" s="66"/>
      <c r="P63" s="66"/>
      <c r="Q63" s="66"/>
      <c r="R63" s="66"/>
      <c r="S63" s="66"/>
      <c r="T63" s="66"/>
      <c r="U63" s="66"/>
      <c r="V63" s="66"/>
      <c r="W63" s="66"/>
      <c r="X63" s="66"/>
      <c r="Y63" s="66"/>
      <c r="Z63" s="66"/>
      <c r="AA63" s="66"/>
      <c r="AB63" s="66"/>
      <c r="AC63" s="66"/>
      <c r="AD63" s="66"/>
      <c r="AE63" s="66"/>
      <c r="AF63" s="66"/>
      <c r="AG63" s="66"/>
      <c r="CF63" s="68"/>
    </row>
    <row r="64" spans="1:84" ht="17.399999999999999" x14ac:dyDescent="0.35">
      <c r="A64" s="67" t="s">
        <v>701</v>
      </c>
      <c r="B64" s="67"/>
      <c r="C64" s="66"/>
      <c r="D64" s="66">
        <v>27.370059999999999</v>
      </c>
      <c r="E64" s="66"/>
      <c r="F64" s="66"/>
      <c r="G64" s="66"/>
      <c r="H64" s="66"/>
      <c r="I64" s="66"/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  <c r="V64" s="66"/>
      <c r="W64" s="66"/>
      <c r="X64" s="66"/>
      <c r="Y64" s="66"/>
      <c r="Z64" s="66"/>
      <c r="AA64" s="66"/>
      <c r="AB64" s="66"/>
      <c r="AC64" s="66"/>
      <c r="AD64" s="66"/>
      <c r="AE64" s="66"/>
      <c r="AF64" s="66"/>
      <c r="AG64" s="66"/>
      <c r="CF64" s="68"/>
    </row>
    <row r="65" spans="1:84" ht="17.399999999999999" x14ac:dyDescent="0.35">
      <c r="A65" s="67" t="s">
        <v>702</v>
      </c>
      <c r="B65" s="67"/>
      <c r="C65" s="66"/>
      <c r="D65" s="66">
        <v>75.802499999999995</v>
      </c>
      <c r="E65" s="66"/>
      <c r="F65" s="66"/>
      <c r="G65" s="66"/>
      <c r="H65" s="66"/>
      <c r="I65" s="66"/>
      <c r="J65" s="66"/>
      <c r="K65" s="66"/>
      <c r="L65" s="66"/>
      <c r="M65" s="66"/>
      <c r="N65" s="66"/>
      <c r="O65" s="66"/>
      <c r="P65" s="66"/>
      <c r="Q65" s="66"/>
      <c r="R65" s="66"/>
      <c r="S65" s="66"/>
      <c r="T65" s="66"/>
      <c r="U65" s="66"/>
      <c r="V65" s="66"/>
      <c r="W65" s="66"/>
      <c r="X65" s="66"/>
      <c r="Y65" s="66"/>
      <c r="Z65" s="66"/>
      <c r="AA65" s="66"/>
      <c r="AB65" s="66"/>
      <c r="AC65" s="66"/>
      <c r="AD65" s="66"/>
      <c r="AE65" s="66"/>
      <c r="AF65" s="66"/>
      <c r="AG65" s="66"/>
      <c r="CF65" s="68"/>
    </row>
    <row r="66" spans="1:84" ht="17.399999999999999" x14ac:dyDescent="0.35">
      <c r="A66" s="67" t="s">
        <v>703</v>
      </c>
      <c r="B66" s="67"/>
      <c r="C66" s="66"/>
      <c r="D66" s="66">
        <v>67.423280000000005</v>
      </c>
      <c r="E66" s="66"/>
      <c r="F66" s="66"/>
      <c r="G66" s="66"/>
      <c r="H66" s="66"/>
      <c r="I66" s="66"/>
      <c r="J66" s="66"/>
      <c r="K66" s="66"/>
      <c r="L66" s="66"/>
      <c r="M66" s="66"/>
      <c r="N66" s="66"/>
      <c r="O66" s="66"/>
      <c r="P66" s="66"/>
      <c r="Q66" s="66"/>
      <c r="R66" s="66"/>
      <c r="S66" s="66"/>
      <c r="T66" s="66"/>
      <c r="U66" s="66"/>
      <c r="V66" s="66"/>
      <c r="W66" s="66"/>
      <c r="X66" s="66"/>
      <c r="Y66" s="66"/>
      <c r="Z66" s="66"/>
      <c r="AA66" s="66"/>
      <c r="AB66" s="66"/>
      <c r="AC66" s="66"/>
      <c r="AD66" s="66"/>
      <c r="AE66" s="66"/>
      <c r="AF66" s="66"/>
      <c r="AG66" s="66"/>
      <c r="CF66" s="68"/>
    </row>
    <row r="67" spans="1:84" ht="17.399999999999999" x14ac:dyDescent="0.35">
      <c r="A67" s="67" t="s">
        <v>704</v>
      </c>
      <c r="B67" s="67"/>
      <c r="C67" s="66"/>
      <c r="D67" s="66">
        <v>73.632859999999994</v>
      </c>
      <c r="E67" s="66"/>
      <c r="F67" s="66"/>
      <c r="G67" s="66"/>
      <c r="H67" s="66"/>
      <c r="I67" s="66"/>
      <c r="J67" s="66"/>
      <c r="K67" s="66"/>
      <c r="L67" s="66"/>
      <c r="M67" s="66"/>
      <c r="N67" s="66"/>
      <c r="O67" s="66"/>
      <c r="P67" s="66"/>
      <c r="Q67" s="66"/>
      <c r="R67" s="66"/>
      <c r="S67" s="66"/>
      <c r="T67" s="66"/>
      <c r="U67" s="66"/>
      <c r="V67" s="66"/>
      <c r="W67" s="66"/>
      <c r="X67" s="66"/>
      <c r="Y67" s="66"/>
      <c r="Z67" s="66"/>
      <c r="AA67" s="66"/>
      <c r="AB67" s="66"/>
      <c r="AC67" s="66"/>
      <c r="AD67" s="66"/>
      <c r="AE67" s="66"/>
      <c r="AF67" s="66"/>
      <c r="AG67" s="66"/>
      <c r="CF67" s="68"/>
    </row>
    <row r="68" spans="1:84" ht="17.399999999999999" x14ac:dyDescent="0.35">
      <c r="A68" s="67" t="s">
        <v>705</v>
      </c>
      <c r="B68" s="67"/>
      <c r="C68" s="66"/>
      <c r="D68" s="66">
        <v>70.956699999999998</v>
      </c>
      <c r="E68" s="66"/>
      <c r="F68" s="66"/>
      <c r="G68" s="66"/>
      <c r="H68" s="66"/>
      <c r="I68" s="66"/>
      <c r="J68" s="66"/>
      <c r="K68" s="66"/>
      <c r="L68" s="66"/>
      <c r="M68" s="66"/>
      <c r="N68" s="66"/>
      <c r="O68" s="66"/>
      <c r="P68" s="66"/>
      <c r="Q68" s="66"/>
      <c r="R68" s="66"/>
      <c r="S68" s="66"/>
      <c r="T68" s="66"/>
      <c r="U68" s="66"/>
      <c r="V68" s="66"/>
      <c r="W68" s="66"/>
      <c r="X68" s="66"/>
      <c r="Y68" s="66"/>
      <c r="Z68" s="66"/>
      <c r="AA68" s="66"/>
      <c r="AB68" s="66"/>
      <c r="AC68" s="66"/>
      <c r="AD68" s="66"/>
      <c r="AE68" s="66"/>
      <c r="AF68" s="66"/>
      <c r="AG68" s="66"/>
      <c r="CF68" s="68"/>
    </row>
    <row r="69" spans="1:84" ht="17.399999999999999" x14ac:dyDescent="0.35">
      <c r="A69" s="67" t="s">
        <v>706</v>
      </c>
      <c r="B69" s="67"/>
      <c r="C69" s="66"/>
      <c r="D69" s="66">
        <v>77.649119999999996</v>
      </c>
      <c r="E69" s="66"/>
      <c r="F69" s="66"/>
      <c r="G69" s="66"/>
      <c r="H69" s="66"/>
      <c r="I69" s="66"/>
      <c r="J69" s="66"/>
      <c r="K69" s="66"/>
      <c r="L69" s="66"/>
      <c r="M69" s="66"/>
      <c r="N69" s="66"/>
      <c r="O69" s="66"/>
      <c r="P69" s="66"/>
      <c r="Q69" s="66"/>
      <c r="R69" s="66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6"/>
      <c r="AF69" s="66"/>
      <c r="AG69" s="66"/>
      <c r="CF69" s="68"/>
    </row>
    <row r="70" spans="1:84" ht="17.399999999999999" x14ac:dyDescent="0.35">
      <c r="A70" s="67" t="s">
        <v>707</v>
      </c>
      <c r="B70" s="67"/>
      <c r="C70" s="66"/>
      <c r="D70" s="66">
        <v>82.013760000000005</v>
      </c>
      <c r="E70" s="66"/>
      <c r="F70" s="66"/>
      <c r="G70" s="66"/>
      <c r="H70" s="66"/>
      <c r="I70" s="66"/>
      <c r="J70" s="66"/>
      <c r="K70" s="66"/>
      <c r="L70" s="66"/>
      <c r="M70" s="66"/>
      <c r="N70" s="66"/>
      <c r="O70" s="66"/>
      <c r="P70" s="66"/>
      <c r="Q70" s="66"/>
      <c r="R70" s="66"/>
      <c r="S70" s="66"/>
      <c r="T70" s="66"/>
      <c r="U70" s="66"/>
      <c r="V70" s="66"/>
      <c r="W70" s="66"/>
      <c r="X70" s="66"/>
      <c r="Y70" s="66"/>
      <c r="Z70" s="66"/>
      <c r="AA70" s="66"/>
      <c r="AB70" s="66"/>
      <c r="AC70" s="66"/>
      <c r="AD70" s="66"/>
      <c r="AE70" s="66"/>
      <c r="AF70" s="66"/>
      <c r="AG70" s="66"/>
      <c r="CF70" s="68"/>
    </row>
    <row r="71" spans="1:84" ht="17.399999999999999" x14ac:dyDescent="0.35">
      <c r="A71" s="67" t="s">
        <v>708</v>
      </c>
      <c r="B71" s="67"/>
      <c r="C71" s="66"/>
      <c r="D71" s="66">
        <v>85.643320000000003</v>
      </c>
      <c r="E71" s="66"/>
      <c r="F71" s="66"/>
      <c r="G71" s="66"/>
      <c r="H71" s="66"/>
      <c r="I71" s="66"/>
      <c r="J71" s="66"/>
      <c r="K71" s="66"/>
      <c r="L71" s="66"/>
      <c r="M71" s="66"/>
      <c r="N71" s="66"/>
      <c r="O71" s="66"/>
      <c r="P71" s="66"/>
      <c r="Q71" s="66"/>
      <c r="R71" s="66"/>
      <c r="S71" s="66"/>
      <c r="T71" s="66"/>
      <c r="U71" s="66"/>
      <c r="V71" s="66"/>
      <c r="W71" s="66"/>
      <c r="X71" s="66"/>
      <c r="Y71" s="66"/>
      <c r="Z71" s="66"/>
      <c r="AA71" s="66"/>
      <c r="AB71" s="66"/>
      <c r="AC71" s="66"/>
      <c r="AD71" s="66"/>
      <c r="AE71" s="66"/>
      <c r="AF71" s="66"/>
      <c r="AG71" s="66"/>
      <c r="CF71" s="68"/>
    </row>
    <row r="72" spans="1:84" ht="17.399999999999999" x14ac:dyDescent="0.35">
      <c r="A72" s="67" t="s">
        <v>709</v>
      </c>
      <c r="B72" s="67"/>
      <c r="C72" s="66"/>
      <c r="D72" s="66">
        <v>79.347999999999999</v>
      </c>
      <c r="E72" s="66"/>
      <c r="F72" s="66"/>
      <c r="G72" s="66"/>
      <c r="H72" s="66"/>
      <c r="I72" s="66"/>
      <c r="J72" s="66"/>
      <c r="K72" s="66"/>
      <c r="L72" s="66"/>
      <c r="M72" s="66"/>
      <c r="N72" s="66"/>
      <c r="O72" s="66"/>
      <c r="P72" s="66"/>
      <c r="Q72" s="66"/>
      <c r="R72" s="66"/>
      <c r="S72" s="66"/>
      <c r="T72" s="66"/>
      <c r="U72" s="66"/>
      <c r="V72" s="66"/>
      <c r="W72" s="66"/>
      <c r="X72" s="66"/>
      <c r="Y72" s="66"/>
      <c r="Z72" s="66"/>
      <c r="AA72" s="66"/>
      <c r="AB72" s="66"/>
      <c r="AC72" s="66"/>
      <c r="AD72" s="66"/>
      <c r="AE72" s="66"/>
      <c r="AF72" s="66"/>
      <c r="AG72" s="66"/>
      <c r="CF72" s="68"/>
    </row>
    <row r="73" spans="1:84" ht="17.399999999999999" x14ac:dyDescent="0.35">
      <c r="A73" s="67" t="s">
        <v>710</v>
      </c>
      <c r="B73" s="67"/>
      <c r="C73" s="66"/>
      <c r="D73" s="66">
        <v>84.043480000000002</v>
      </c>
      <c r="E73" s="66"/>
      <c r="F73" s="66"/>
      <c r="G73" s="66"/>
      <c r="H73" s="66"/>
      <c r="I73" s="66"/>
      <c r="J73" s="66"/>
      <c r="K73" s="66"/>
      <c r="L73" s="66"/>
      <c r="M73" s="66"/>
      <c r="N73" s="66"/>
      <c r="O73" s="66"/>
      <c r="P73" s="66"/>
      <c r="Q73" s="66"/>
      <c r="R73" s="66"/>
      <c r="S73" s="66"/>
      <c r="T73" s="66"/>
      <c r="U73" s="66"/>
      <c r="V73" s="66"/>
      <c r="W73" s="66"/>
      <c r="X73" s="66"/>
      <c r="Y73" s="66"/>
      <c r="Z73" s="66"/>
      <c r="AA73" s="66"/>
      <c r="AB73" s="66"/>
      <c r="AC73" s="66"/>
      <c r="AD73" s="66"/>
      <c r="AE73" s="66"/>
      <c r="AF73" s="66"/>
      <c r="AG73" s="66"/>
      <c r="CF73" s="68"/>
    </row>
    <row r="74" spans="1:84" ht="17.399999999999999" x14ac:dyDescent="0.35">
      <c r="A74" s="67" t="s">
        <v>711</v>
      </c>
      <c r="B74" s="67"/>
      <c r="C74" s="66"/>
      <c r="D74" s="66">
        <v>82.654340000000005</v>
      </c>
      <c r="E74" s="66"/>
      <c r="F74" s="66"/>
      <c r="G74" s="66"/>
      <c r="H74" s="66"/>
      <c r="I74" s="66"/>
      <c r="J74" s="66"/>
      <c r="K74" s="66"/>
      <c r="L74" s="66"/>
      <c r="M74" s="66"/>
      <c r="N74" s="66"/>
      <c r="O74" s="66"/>
      <c r="P74" s="66"/>
      <c r="Q74" s="66"/>
      <c r="R74" s="66"/>
      <c r="S74" s="66"/>
      <c r="T74" s="66"/>
      <c r="U74" s="66"/>
      <c r="V74" s="66"/>
      <c r="W74" s="66"/>
      <c r="X74" s="66"/>
      <c r="Y74" s="66"/>
      <c r="Z74" s="66"/>
      <c r="AA74" s="66"/>
      <c r="AB74" s="66"/>
      <c r="AC74" s="66"/>
      <c r="AD74" s="66"/>
      <c r="AE74" s="66"/>
      <c r="AF74" s="66"/>
      <c r="AG74" s="66"/>
      <c r="CF74" s="68"/>
    </row>
    <row r="75" spans="1:84" ht="17.399999999999999" x14ac:dyDescent="0.35">
      <c r="A75" s="67" t="s">
        <v>712</v>
      </c>
      <c r="B75" s="67"/>
      <c r="C75" s="66"/>
      <c r="D75" s="66">
        <v>63.386119999999998</v>
      </c>
      <c r="E75" s="66"/>
      <c r="F75" s="66"/>
      <c r="G75" s="66"/>
      <c r="H75" s="66"/>
      <c r="I75" s="66"/>
      <c r="J75" s="66"/>
      <c r="K75" s="66"/>
      <c r="L75" s="66"/>
      <c r="M75" s="66"/>
      <c r="N75" s="66"/>
      <c r="O75" s="66"/>
      <c r="P75" s="66"/>
      <c r="Q75" s="66"/>
      <c r="R75" s="66"/>
      <c r="S75" s="66"/>
      <c r="T75" s="66"/>
      <c r="U75" s="66"/>
      <c r="V75" s="66"/>
      <c r="W75" s="66"/>
      <c r="X75" s="66"/>
      <c r="Y75" s="66"/>
      <c r="Z75" s="66"/>
      <c r="AA75" s="66"/>
      <c r="AB75" s="66"/>
      <c r="AC75" s="66"/>
      <c r="AD75" s="66"/>
      <c r="AE75" s="66"/>
      <c r="AF75" s="66"/>
      <c r="AG75" s="66"/>
      <c r="CF75" s="68"/>
    </row>
    <row r="76" spans="1:84" ht="17.399999999999999" x14ac:dyDescent="0.35">
      <c r="A76" s="67" t="s">
        <v>713</v>
      </c>
      <c r="B76" s="67"/>
      <c r="C76" s="66"/>
      <c r="D76" s="66">
        <v>58.695740000000001</v>
      </c>
      <c r="E76" s="66"/>
      <c r="F76" s="66"/>
      <c r="G76" s="66"/>
      <c r="H76" s="66"/>
      <c r="I76" s="66"/>
      <c r="J76" s="66"/>
      <c r="K76" s="66"/>
      <c r="L76" s="66"/>
      <c r="M76" s="66"/>
      <c r="N76" s="66"/>
      <c r="O76" s="66"/>
      <c r="P76" s="66"/>
      <c r="Q76" s="66"/>
      <c r="R76" s="66"/>
      <c r="S76" s="66"/>
      <c r="T76" s="66"/>
      <c r="U76" s="66"/>
      <c r="V76" s="66"/>
      <c r="W76" s="66"/>
      <c r="X76" s="66"/>
      <c r="Y76" s="66"/>
      <c r="Z76" s="66"/>
      <c r="AA76" s="66"/>
      <c r="AB76" s="66"/>
      <c r="AC76" s="66"/>
      <c r="AD76" s="66"/>
      <c r="AE76" s="66"/>
      <c r="AF76" s="66"/>
      <c r="AG76" s="66"/>
      <c r="CF76" s="68"/>
    </row>
    <row r="77" spans="1:84" ht="17.399999999999999" x14ac:dyDescent="0.35">
      <c r="A77" s="67" t="s">
        <v>714</v>
      </c>
      <c r="B77" s="67"/>
      <c r="C77" s="66"/>
      <c r="D77" s="66">
        <v>49.530360000000002</v>
      </c>
      <c r="E77" s="66"/>
      <c r="F77" s="66"/>
      <c r="G77" s="66"/>
      <c r="H77" s="66"/>
      <c r="I77" s="66"/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  <c r="V77" s="66"/>
      <c r="W77" s="66"/>
      <c r="X77" s="66"/>
      <c r="Y77" s="66"/>
      <c r="Z77" s="66"/>
      <c r="AA77" s="66"/>
      <c r="AB77" s="66"/>
      <c r="AC77" s="66"/>
      <c r="AD77" s="66"/>
      <c r="AE77" s="66"/>
      <c r="AF77" s="66"/>
      <c r="AG77" s="66"/>
      <c r="CF77" s="68"/>
    </row>
    <row r="78" spans="1:84" ht="17.399999999999999" x14ac:dyDescent="0.35">
      <c r="A78" s="67" t="s">
        <v>715</v>
      </c>
      <c r="B78" s="67"/>
      <c r="C78" s="66"/>
      <c r="D78" s="66">
        <v>54.824660000000002</v>
      </c>
      <c r="E78" s="66"/>
      <c r="F78" s="66"/>
      <c r="G78" s="66"/>
      <c r="H78" s="66"/>
      <c r="I78" s="66"/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  <c r="V78" s="66"/>
      <c r="W78" s="66"/>
      <c r="X78" s="66"/>
      <c r="Y78" s="66"/>
      <c r="Z78" s="66"/>
      <c r="AA78" s="66"/>
      <c r="AB78" s="66"/>
      <c r="AC78" s="66"/>
      <c r="AD78" s="66"/>
      <c r="AE78" s="66"/>
      <c r="AF78" s="66"/>
      <c r="AG78" s="66"/>
      <c r="CF78" s="68"/>
    </row>
    <row r="79" spans="1:84" ht="17.399999999999999" x14ac:dyDescent="0.35">
      <c r="A79" s="67" t="s">
        <v>716</v>
      </c>
      <c r="B79" s="67"/>
      <c r="C79" s="66"/>
      <c r="D79" s="66">
        <v>60.502920000000003</v>
      </c>
      <c r="E79" s="66"/>
      <c r="F79" s="66"/>
      <c r="G79" s="66"/>
      <c r="H79" s="66"/>
      <c r="I79" s="66"/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  <c r="V79" s="66"/>
      <c r="W79" s="66"/>
      <c r="X79" s="66"/>
      <c r="Y79" s="66"/>
      <c r="Z79" s="66"/>
      <c r="AA79" s="66"/>
      <c r="AB79" s="66"/>
      <c r="AC79" s="66"/>
      <c r="AD79" s="66"/>
      <c r="AE79" s="66"/>
      <c r="AF79" s="66"/>
      <c r="AG79" s="66"/>
      <c r="CF79" s="68"/>
    </row>
    <row r="80" spans="1:84" ht="17.399999999999999" x14ac:dyDescent="0.35">
      <c r="A80" s="67" t="s">
        <v>717</v>
      </c>
      <c r="B80" s="67"/>
      <c r="C80" s="66"/>
      <c r="D80" s="66">
        <v>62.83822</v>
      </c>
      <c r="E80" s="66"/>
      <c r="F80" s="66"/>
      <c r="G80" s="66"/>
      <c r="H80" s="66"/>
      <c r="I80" s="66"/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  <c r="V80" s="66"/>
      <c r="W80" s="66"/>
      <c r="X80" s="66"/>
      <c r="Y80" s="66"/>
      <c r="Z80" s="66"/>
      <c r="AA80" s="66"/>
      <c r="AB80" s="66"/>
      <c r="AC80" s="66"/>
      <c r="AD80" s="66"/>
      <c r="AE80" s="66"/>
      <c r="AF80" s="66"/>
      <c r="AG80" s="66"/>
      <c r="CF80" s="68"/>
    </row>
    <row r="81" spans="1:84" ht="17.399999999999999" x14ac:dyDescent="0.35">
      <c r="A81" s="67" t="s">
        <v>718</v>
      </c>
      <c r="B81" s="67"/>
      <c r="C81" s="66"/>
      <c r="D81" s="66">
        <v>67.027119999999996</v>
      </c>
      <c r="E81" s="66"/>
      <c r="F81" s="66"/>
      <c r="G81" s="66"/>
      <c r="H81" s="66"/>
      <c r="I81" s="66"/>
      <c r="J81" s="66"/>
      <c r="K81" s="66"/>
      <c r="L81" s="66"/>
      <c r="M81" s="66"/>
      <c r="N81" s="66"/>
      <c r="O81" s="66"/>
      <c r="P81" s="66"/>
      <c r="Q81" s="66"/>
      <c r="R81" s="66"/>
      <c r="S81" s="66"/>
      <c r="T81" s="66"/>
      <c r="U81" s="66"/>
      <c r="V81" s="66"/>
      <c r="W81" s="66"/>
      <c r="X81" s="66"/>
      <c r="Y81" s="66"/>
      <c r="Z81" s="66"/>
      <c r="AA81" s="66"/>
      <c r="AB81" s="66"/>
      <c r="AC81" s="66"/>
      <c r="AD81" s="66"/>
      <c r="AE81" s="66"/>
      <c r="AF81" s="66"/>
      <c r="AG81" s="66"/>
      <c r="CF81" s="68"/>
    </row>
    <row r="82" spans="1:84" ht="17.399999999999999" x14ac:dyDescent="0.35">
      <c r="A82" s="67" t="s">
        <v>719</v>
      </c>
      <c r="B82" s="67"/>
      <c r="C82" s="66"/>
      <c r="D82" s="66">
        <v>67.581559999999996</v>
      </c>
      <c r="E82" s="66"/>
      <c r="F82" s="66"/>
      <c r="G82" s="66"/>
      <c r="H82" s="66"/>
      <c r="I82" s="66"/>
      <c r="J82" s="66"/>
      <c r="K82" s="66"/>
      <c r="L82" s="66"/>
      <c r="M82" s="66"/>
      <c r="N82" s="66"/>
      <c r="O82" s="66"/>
      <c r="P82" s="66"/>
      <c r="Q82" s="66"/>
      <c r="R82" s="66"/>
      <c r="S82" s="66"/>
      <c r="T82" s="66"/>
      <c r="U82" s="66"/>
      <c r="V82" s="66"/>
      <c r="W82" s="66"/>
      <c r="X82" s="66"/>
      <c r="Y82" s="66"/>
      <c r="Z82" s="66"/>
      <c r="AA82" s="66"/>
      <c r="AB82" s="66"/>
      <c r="AC82" s="66"/>
      <c r="AD82" s="66"/>
      <c r="AE82" s="66"/>
      <c r="AF82" s="66"/>
      <c r="AG82" s="66"/>
      <c r="CF82" s="68"/>
    </row>
    <row r="83" spans="1:84" ht="17.399999999999999" x14ac:dyDescent="0.35">
      <c r="A83" s="67" t="s">
        <v>720</v>
      </c>
      <c r="B83" s="67"/>
      <c r="C83" s="66"/>
      <c r="D83" s="66">
        <v>70.713419999999999</v>
      </c>
      <c r="E83" s="66"/>
      <c r="F83" s="66"/>
      <c r="G83" s="66"/>
      <c r="H83" s="66"/>
      <c r="I83" s="66"/>
      <c r="J83" s="66"/>
      <c r="K83" s="66"/>
      <c r="L83" s="66"/>
      <c r="M83" s="66"/>
      <c r="N83" s="66"/>
      <c r="O83" s="66"/>
      <c r="P83" s="66"/>
      <c r="Q83" s="66"/>
      <c r="R83" s="66"/>
      <c r="S83" s="66"/>
      <c r="T83" s="66"/>
      <c r="U83" s="66"/>
      <c r="V83" s="66"/>
      <c r="W83" s="66"/>
      <c r="X83" s="66"/>
      <c r="Y83" s="66"/>
      <c r="Z83" s="66"/>
      <c r="AA83" s="66"/>
      <c r="AB83" s="66"/>
      <c r="AC83" s="66"/>
      <c r="AD83" s="66"/>
      <c r="AE83" s="66"/>
      <c r="AF83" s="66"/>
      <c r="AG83" s="66"/>
      <c r="CF83" s="68"/>
    </row>
    <row r="84" spans="1:84" ht="17.399999999999999" x14ac:dyDescent="0.35">
      <c r="A84" s="67" t="s">
        <v>721</v>
      </c>
      <c r="B84" s="67"/>
      <c r="C84" s="66"/>
      <c r="D84" s="66">
        <v>71.017679999999999</v>
      </c>
      <c r="E84" s="66"/>
      <c r="F84" s="66"/>
      <c r="G84" s="66"/>
      <c r="H84" s="66"/>
      <c r="I84" s="66"/>
      <c r="J84" s="66"/>
      <c r="K84" s="66"/>
      <c r="L84" s="66"/>
      <c r="M84" s="66"/>
      <c r="N84" s="66"/>
      <c r="O84" s="66"/>
      <c r="P84" s="66"/>
      <c r="Q84" s="66"/>
      <c r="R84" s="66"/>
      <c r="S84" s="66"/>
      <c r="T84" s="66"/>
      <c r="U84" s="66"/>
      <c r="V84" s="66"/>
      <c r="W84" s="66"/>
      <c r="X84" s="66"/>
      <c r="Y84" s="66"/>
      <c r="Z84" s="66"/>
      <c r="AA84" s="66"/>
      <c r="AB84" s="66"/>
      <c r="AC84" s="66"/>
      <c r="AD84" s="66"/>
      <c r="AE84" s="66"/>
      <c r="AF84" s="66"/>
      <c r="AG84" s="66"/>
      <c r="CF84" s="68"/>
    </row>
    <row r="85" spans="1:84" ht="17.399999999999999" x14ac:dyDescent="0.35">
      <c r="A85" s="67" t="s">
        <v>722</v>
      </c>
      <c r="B85" s="67"/>
      <c r="C85" s="66"/>
      <c r="D85" s="66">
        <v>58.789160000000003</v>
      </c>
      <c r="E85" s="66"/>
      <c r="F85" s="66"/>
      <c r="G85" s="66"/>
      <c r="H85" s="66"/>
      <c r="I85" s="66"/>
      <c r="J85" s="66"/>
      <c r="K85" s="66"/>
      <c r="L85" s="66"/>
      <c r="M85" s="66"/>
      <c r="N85" s="66"/>
      <c r="O85" s="66"/>
      <c r="P85" s="66"/>
      <c r="Q85" s="66"/>
      <c r="R85" s="66"/>
      <c r="S85" s="66"/>
      <c r="T85" s="66"/>
      <c r="U85" s="66"/>
      <c r="V85" s="66"/>
      <c r="W85" s="66"/>
      <c r="X85" s="66"/>
      <c r="Y85" s="66"/>
      <c r="Z85" s="66"/>
      <c r="AA85" s="66"/>
      <c r="AB85" s="66"/>
      <c r="AC85" s="66"/>
      <c r="AD85" s="66"/>
      <c r="AE85" s="66"/>
      <c r="AF85" s="66"/>
      <c r="AG85" s="66"/>
      <c r="CF85" s="68"/>
    </row>
    <row r="86" spans="1:84" ht="17.399999999999999" x14ac:dyDescent="0.35">
      <c r="A86" s="67" t="s">
        <v>723</v>
      </c>
      <c r="B86" s="67"/>
      <c r="C86" s="66"/>
      <c r="D86" s="66">
        <v>53.614109999999997</v>
      </c>
      <c r="E86" s="66"/>
      <c r="F86" s="66"/>
      <c r="G86" s="66"/>
      <c r="H86" s="66"/>
      <c r="I86" s="66"/>
      <c r="J86" s="66"/>
      <c r="K86" s="66"/>
      <c r="L86" s="66"/>
      <c r="M86" s="66"/>
      <c r="N86" s="66"/>
      <c r="O86" s="66"/>
      <c r="P86" s="66"/>
      <c r="Q86" s="66"/>
      <c r="R86" s="66"/>
      <c r="S86" s="66"/>
      <c r="T86" s="66"/>
      <c r="U86" s="66"/>
      <c r="V86" s="66"/>
      <c r="W86" s="66"/>
      <c r="X86" s="66"/>
      <c r="Y86" s="66"/>
      <c r="Z86" s="66"/>
      <c r="AA86" s="66"/>
      <c r="AB86" s="66"/>
      <c r="AC86" s="66"/>
      <c r="AD86" s="66"/>
      <c r="AE86" s="66"/>
      <c r="AF86" s="66"/>
      <c r="AG86" s="66"/>
      <c r="CF86" s="68"/>
    </row>
    <row r="87" spans="1:84" ht="17.399999999999999" x14ac:dyDescent="0.35">
      <c r="A87" s="67" t="s">
        <v>724</v>
      </c>
      <c r="B87" s="67"/>
      <c r="C87" s="66"/>
      <c r="D87" s="66">
        <v>51.589440000000003</v>
      </c>
      <c r="E87" s="66"/>
      <c r="F87" s="66"/>
      <c r="G87" s="66"/>
      <c r="H87" s="66"/>
      <c r="I87" s="66"/>
      <c r="J87" s="66"/>
      <c r="K87" s="66"/>
      <c r="L87" s="66"/>
      <c r="M87" s="66"/>
      <c r="N87" s="66"/>
      <c r="O87" s="66"/>
      <c r="P87" s="66"/>
      <c r="Q87" s="66"/>
      <c r="R87" s="66"/>
      <c r="S87" s="66"/>
      <c r="T87" s="66"/>
      <c r="U87" s="66"/>
      <c r="V87" s="66"/>
      <c r="W87" s="66"/>
      <c r="X87" s="66"/>
      <c r="Y87" s="66"/>
      <c r="Z87" s="66"/>
      <c r="AA87" s="66"/>
      <c r="AB87" s="66"/>
      <c r="AC87" s="66"/>
      <c r="AD87" s="66"/>
      <c r="AE87" s="66"/>
      <c r="AF87" s="66"/>
      <c r="AG87" s="66"/>
      <c r="CF87" s="68"/>
    </row>
    <row r="88" spans="1:84" ht="17.399999999999999" x14ac:dyDescent="0.35">
      <c r="A88" s="67" t="s">
        <v>725</v>
      </c>
      <c r="B88" s="67"/>
      <c r="C88" s="66"/>
      <c r="D88" s="66">
        <v>56.705440000000003</v>
      </c>
      <c r="E88" s="66"/>
      <c r="F88" s="66"/>
      <c r="G88" s="66"/>
      <c r="H88" s="66"/>
      <c r="I88" s="66"/>
      <c r="J88" s="66"/>
      <c r="K88" s="66"/>
      <c r="L88" s="66"/>
      <c r="M88" s="66"/>
      <c r="N88" s="66"/>
      <c r="O88" s="66"/>
      <c r="P88" s="66"/>
      <c r="Q88" s="66"/>
      <c r="R88" s="66"/>
      <c r="S88" s="66"/>
      <c r="T88" s="66"/>
      <c r="U88" s="66"/>
      <c r="V88" s="66"/>
      <c r="W88" s="66"/>
      <c r="X88" s="66"/>
      <c r="Y88" s="66"/>
      <c r="Z88" s="66"/>
      <c r="AA88" s="66"/>
      <c r="AB88" s="66"/>
      <c r="AC88" s="66"/>
      <c r="AD88" s="66"/>
      <c r="AE88" s="66"/>
      <c r="AF88" s="66"/>
      <c r="AG88" s="66"/>
      <c r="CF88" s="68"/>
    </row>
    <row r="89" spans="1:84" ht="17.399999999999999" x14ac:dyDescent="0.35">
      <c r="A89" s="67" t="s">
        <v>726</v>
      </c>
      <c r="B89" s="67"/>
      <c r="C89" s="66"/>
      <c r="D89" s="66">
        <v>66.217079999999996</v>
      </c>
      <c r="E89" s="66"/>
      <c r="F89" s="66"/>
      <c r="G89" s="66"/>
      <c r="H89" s="66"/>
      <c r="I89" s="66"/>
      <c r="J89" s="66"/>
      <c r="K89" s="66"/>
      <c r="L89" s="66"/>
      <c r="M89" s="66"/>
      <c r="N89" s="66"/>
      <c r="O89" s="66"/>
      <c r="P89" s="66"/>
      <c r="Q89" s="66"/>
      <c r="R89" s="66"/>
      <c r="S89" s="66"/>
      <c r="T89" s="66"/>
      <c r="U89" s="66"/>
      <c r="V89" s="66"/>
      <c r="W89" s="66"/>
      <c r="X89" s="66"/>
      <c r="Y89" s="66"/>
      <c r="Z89" s="66"/>
      <c r="AA89" s="66"/>
      <c r="AB89" s="66"/>
      <c r="AC89" s="66"/>
      <c r="AD89" s="66"/>
      <c r="AE89" s="66"/>
      <c r="AF89" s="66"/>
      <c r="AG89" s="66"/>
      <c r="CF89" s="68"/>
    </row>
    <row r="90" spans="1:84" ht="17.399999999999999" x14ac:dyDescent="0.35">
      <c r="A90" s="67" t="s">
        <v>727</v>
      </c>
      <c r="B90" s="67"/>
      <c r="C90" s="66"/>
      <c r="D90" s="66">
        <v>64.599180000000004</v>
      </c>
      <c r="E90" s="66"/>
      <c r="F90" s="66"/>
      <c r="G90" s="66"/>
      <c r="H90" s="66"/>
      <c r="I90" s="66"/>
      <c r="J90" s="66"/>
      <c r="K90" s="66"/>
      <c r="L90" s="66"/>
      <c r="M90" s="66"/>
      <c r="N90" s="66"/>
      <c r="O90" s="66"/>
      <c r="P90" s="66"/>
      <c r="Q90" s="66"/>
      <c r="R90" s="66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6"/>
      <c r="AF90" s="66"/>
      <c r="AG90" s="66"/>
      <c r="CF90" s="68"/>
    </row>
    <row r="91" spans="1:84" ht="17.399999999999999" x14ac:dyDescent="0.35">
      <c r="A91" s="67" t="s">
        <v>728</v>
      </c>
      <c r="B91" s="67"/>
      <c r="C91" s="66"/>
      <c r="D91" s="66">
        <v>65.862260000000006</v>
      </c>
      <c r="E91" s="66"/>
      <c r="F91" s="66"/>
      <c r="G91" s="66"/>
      <c r="H91" s="66"/>
      <c r="I91" s="66"/>
      <c r="J91" s="66"/>
      <c r="K91" s="66"/>
      <c r="L91" s="66"/>
      <c r="M91" s="66"/>
      <c r="N91" s="66"/>
      <c r="O91" s="66"/>
      <c r="P91" s="66"/>
      <c r="Q91" s="66"/>
      <c r="R91" s="66"/>
      <c r="S91" s="66"/>
      <c r="T91" s="66"/>
      <c r="U91" s="66"/>
      <c r="V91" s="66"/>
      <c r="W91" s="66"/>
      <c r="X91" s="66"/>
      <c r="Y91" s="66"/>
      <c r="Z91" s="66"/>
      <c r="AA91" s="66"/>
      <c r="AB91" s="66"/>
      <c r="AC91" s="66"/>
      <c r="AD91" s="66"/>
      <c r="AE91" s="66"/>
      <c r="AF91" s="66"/>
      <c r="AG91" s="66"/>
      <c r="CF91" s="68"/>
    </row>
    <row r="92" spans="1:84" ht="17.399999999999999" x14ac:dyDescent="0.35">
      <c r="A92" s="67" t="s">
        <v>729</v>
      </c>
      <c r="B92" s="67"/>
      <c r="C92" s="66"/>
      <c r="D92" s="66">
        <v>68.166020000000003</v>
      </c>
      <c r="E92" s="66"/>
      <c r="F92" s="66"/>
      <c r="G92" s="66"/>
      <c r="H92" s="66"/>
      <c r="I92" s="66"/>
      <c r="J92" s="66"/>
      <c r="K92" s="66"/>
      <c r="L92" s="66"/>
      <c r="M92" s="66"/>
      <c r="N92" s="66"/>
      <c r="O92" s="66"/>
      <c r="P92" s="66"/>
      <c r="Q92" s="66"/>
      <c r="R92" s="66"/>
      <c r="S92" s="66"/>
      <c r="T92" s="66"/>
      <c r="U92" s="66"/>
      <c r="V92" s="66"/>
      <c r="W92" s="66"/>
      <c r="X92" s="66"/>
      <c r="Y92" s="66"/>
      <c r="Z92" s="66"/>
      <c r="AA92" s="66"/>
      <c r="AB92" s="66"/>
      <c r="AC92" s="66"/>
      <c r="AD92" s="66"/>
      <c r="AE92" s="66"/>
      <c r="AF92" s="66"/>
      <c r="AG92" s="66"/>
      <c r="CF92" s="68"/>
    </row>
    <row r="93" spans="1:84" ht="17.399999999999999" x14ac:dyDescent="0.35">
      <c r="A93" s="67" t="s">
        <v>730</v>
      </c>
      <c r="B93" s="67"/>
      <c r="C93" s="66"/>
      <c r="D93" s="66">
        <v>77.563940000000002</v>
      </c>
      <c r="E93" s="66"/>
      <c r="F93" s="66"/>
      <c r="G93" s="66"/>
      <c r="H93" s="66"/>
      <c r="I93" s="66"/>
      <c r="J93" s="66"/>
      <c r="K93" s="66"/>
      <c r="L93" s="66"/>
      <c r="M93" s="66"/>
      <c r="N93" s="66"/>
      <c r="O93" s="66"/>
      <c r="P93" s="66"/>
      <c r="Q93" s="66"/>
      <c r="R93" s="66"/>
      <c r="S93" s="66"/>
      <c r="T93" s="66"/>
      <c r="U93" s="66"/>
      <c r="V93" s="66"/>
      <c r="W93" s="66"/>
      <c r="X93" s="66"/>
      <c r="Y93" s="66"/>
      <c r="Z93" s="66"/>
      <c r="AA93" s="66"/>
      <c r="AB93" s="66"/>
      <c r="AC93" s="66"/>
      <c r="AD93" s="66"/>
      <c r="AE93" s="66"/>
      <c r="AF93" s="66"/>
      <c r="AG93" s="66"/>
      <c r="CF93" s="68"/>
    </row>
    <row r="94" spans="1:84" ht="17.399999999999999" x14ac:dyDescent="0.35">
      <c r="A94" s="67" t="s">
        <v>731</v>
      </c>
      <c r="B94" s="67"/>
      <c r="C94" s="66"/>
      <c r="D94" s="66">
        <v>68.079179999999994</v>
      </c>
      <c r="E94" s="66"/>
      <c r="F94" s="66"/>
      <c r="G94" s="66"/>
      <c r="H94" s="66"/>
      <c r="I94" s="66"/>
      <c r="J94" s="66"/>
      <c r="K94" s="66"/>
      <c r="L94" s="66"/>
      <c r="M94" s="66"/>
      <c r="N94" s="66"/>
      <c r="O94" s="66"/>
      <c r="P94" s="66"/>
      <c r="Q94" s="66"/>
      <c r="R94" s="66"/>
      <c r="S94" s="66"/>
      <c r="T94" s="66"/>
      <c r="U94" s="66"/>
      <c r="V94" s="66"/>
      <c r="W94" s="66"/>
      <c r="X94" s="66"/>
      <c r="Y94" s="66"/>
      <c r="Z94" s="66"/>
      <c r="AA94" s="66"/>
      <c r="AB94" s="66"/>
      <c r="AC94" s="66"/>
      <c r="AD94" s="66"/>
      <c r="AE94" s="66"/>
      <c r="AF94" s="66"/>
      <c r="AG94" s="66"/>
      <c r="CF94" s="68"/>
    </row>
    <row r="95" spans="1:84" ht="17.399999999999999" x14ac:dyDescent="0.35">
      <c r="A95" s="67" t="s">
        <v>732</v>
      </c>
      <c r="B95" s="67"/>
      <c r="C95" s="66"/>
      <c r="D95" s="66">
        <v>74.049220000000005</v>
      </c>
      <c r="E95" s="66"/>
      <c r="F95" s="66"/>
      <c r="G95" s="66"/>
      <c r="H95" s="66"/>
      <c r="I95" s="66"/>
      <c r="J95" s="66"/>
      <c r="K95" s="66"/>
      <c r="L95" s="66"/>
      <c r="M95" s="66"/>
      <c r="N95" s="66"/>
      <c r="O95" s="66"/>
      <c r="P95" s="66"/>
      <c r="Q95" s="66"/>
      <c r="R95" s="66"/>
      <c r="S95" s="66"/>
      <c r="T95" s="66"/>
      <c r="U95" s="66"/>
      <c r="V95" s="66"/>
      <c r="W95" s="66"/>
      <c r="X95" s="66"/>
      <c r="Y95" s="66"/>
      <c r="Z95" s="66"/>
      <c r="AA95" s="66"/>
      <c r="AB95" s="66"/>
      <c r="AC95" s="66"/>
      <c r="AD95" s="66"/>
      <c r="AE95" s="66"/>
      <c r="AF95" s="66"/>
      <c r="AG95" s="66"/>
      <c r="CF95" s="68"/>
    </row>
    <row r="96" spans="1:84" ht="17.399999999999999" x14ac:dyDescent="0.35">
      <c r="A96" s="67" t="s">
        <v>733</v>
      </c>
      <c r="B96" s="67"/>
      <c r="C96" s="66"/>
      <c r="D96" s="66">
        <v>64.388120000000001</v>
      </c>
      <c r="E96" s="66"/>
      <c r="F96" s="66"/>
      <c r="G96" s="66"/>
      <c r="H96" s="66"/>
      <c r="I96" s="66"/>
      <c r="J96" s="66"/>
      <c r="K96" s="66"/>
      <c r="L96" s="66"/>
      <c r="M96" s="66"/>
      <c r="N96" s="66"/>
      <c r="O96" s="66"/>
      <c r="P96" s="66"/>
      <c r="Q96" s="66"/>
      <c r="R96" s="66"/>
      <c r="S96" s="66"/>
      <c r="T96" s="66"/>
      <c r="U96" s="66"/>
      <c r="V96" s="66"/>
      <c r="W96" s="66"/>
      <c r="X96" s="66"/>
      <c r="Y96" s="66"/>
      <c r="Z96" s="66"/>
      <c r="AA96" s="66"/>
      <c r="AB96" s="66"/>
      <c r="AC96" s="66"/>
      <c r="AD96" s="66"/>
      <c r="AE96" s="66"/>
      <c r="AF96" s="66"/>
      <c r="AG96" s="66"/>
      <c r="CF96" s="68"/>
    </row>
    <row r="97" spans="1:84" ht="17.399999999999999" x14ac:dyDescent="0.35">
      <c r="A97" s="67" t="s">
        <v>734</v>
      </c>
      <c r="B97" s="67"/>
      <c r="C97" s="66"/>
      <c r="D97" s="66">
        <v>46.35145</v>
      </c>
      <c r="E97" s="66"/>
      <c r="F97" s="66"/>
      <c r="G97" s="66"/>
      <c r="H97" s="66"/>
      <c r="I97" s="66"/>
      <c r="J97" s="66"/>
      <c r="K97" s="66"/>
      <c r="L97" s="66"/>
      <c r="M97" s="66"/>
      <c r="N97" s="66"/>
      <c r="O97" s="66"/>
      <c r="P97" s="66"/>
      <c r="Q97" s="66"/>
      <c r="R97" s="66"/>
      <c r="S97" s="66"/>
      <c r="T97" s="66"/>
      <c r="U97" s="66"/>
      <c r="V97" s="66"/>
      <c r="W97" s="66"/>
      <c r="X97" s="66"/>
      <c r="Y97" s="66"/>
      <c r="Z97" s="66"/>
      <c r="AA97" s="66"/>
      <c r="AB97" s="66"/>
      <c r="AC97" s="66"/>
      <c r="AD97" s="66"/>
      <c r="AE97" s="66"/>
      <c r="AF97" s="66"/>
      <c r="AG97" s="66"/>
      <c r="CF97" s="68"/>
    </row>
    <row r="98" spans="1:84" ht="17.399999999999999" x14ac:dyDescent="0.35">
      <c r="A98" s="67" t="s">
        <v>735</v>
      </c>
      <c r="B98" s="67"/>
      <c r="C98" s="66"/>
      <c r="D98" s="66">
        <v>54.02693</v>
      </c>
      <c r="E98" s="66"/>
      <c r="F98" s="66"/>
      <c r="G98" s="66"/>
      <c r="H98" s="66"/>
      <c r="I98" s="66"/>
      <c r="J98" s="66"/>
      <c r="K98" s="66"/>
      <c r="L98" s="66"/>
      <c r="M98" s="66"/>
      <c r="N98" s="66"/>
      <c r="O98" s="66"/>
      <c r="P98" s="66"/>
      <c r="Q98" s="66"/>
      <c r="R98" s="66"/>
      <c r="S98" s="66"/>
      <c r="T98" s="66"/>
      <c r="U98" s="66"/>
      <c r="V98" s="66"/>
      <c r="W98" s="66"/>
      <c r="X98" s="66"/>
      <c r="Y98" s="66"/>
      <c r="Z98" s="66"/>
      <c r="AA98" s="66"/>
      <c r="AB98" s="66"/>
      <c r="AC98" s="66"/>
      <c r="AD98" s="66"/>
      <c r="AE98" s="66"/>
      <c r="AF98" s="66"/>
      <c r="AG98" s="66"/>
      <c r="CF98" s="68"/>
    </row>
    <row r="99" spans="1:84" ht="17.399999999999999" x14ac:dyDescent="0.35">
      <c r="A99" s="67" t="s">
        <v>736</v>
      </c>
      <c r="B99" s="67"/>
      <c r="C99" s="66"/>
      <c r="D99" s="66">
        <v>59.193280000000001</v>
      </c>
      <c r="E99" s="66"/>
      <c r="F99" s="66"/>
      <c r="G99" s="66"/>
      <c r="H99" s="66"/>
      <c r="I99" s="66"/>
      <c r="J99" s="66"/>
      <c r="K99" s="66"/>
      <c r="L99" s="66"/>
      <c r="M99" s="66"/>
      <c r="N99" s="66"/>
      <c r="O99" s="66"/>
      <c r="P99" s="66"/>
      <c r="Q99" s="66"/>
      <c r="R99" s="66"/>
      <c r="S99" s="66"/>
      <c r="T99" s="66"/>
      <c r="U99" s="66"/>
      <c r="V99" s="66"/>
      <c r="W99" s="66"/>
      <c r="X99" s="66"/>
      <c r="Y99" s="66"/>
      <c r="Z99" s="66"/>
      <c r="AA99" s="66"/>
      <c r="AB99" s="66"/>
      <c r="AC99" s="66"/>
      <c r="AD99" s="66"/>
      <c r="AE99" s="66"/>
      <c r="AF99" s="66"/>
      <c r="AG99" s="66"/>
      <c r="CF99" s="68"/>
    </row>
    <row r="100" spans="1:84" ht="17.399999999999999" x14ac:dyDescent="0.35">
      <c r="A100" s="67" t="s">
        <v>737</v>
      </c>
      <c r="B100" s="67"/>
      <c r="C100" s="66"/>
      <c r="D100" s="66">
        <v>64.787999999999997</v>
      </c>
      <c r="E100" s="66"/>
      <c r="F100" s="66"/>
      <c r="G100" s="66"/>
      <c r="H100" s="66"/>
      <c r="I100" s="66"/>
      <c r="J100" s="66"/>
      <c r="K100" s="66"/>
      <c r="L100" s="66"/>
      <c r="M100" s="66"/>
      <c r="N100" s="66"/>
      <c r="O100" s="66"/>
      <c r="P100" s="66"/>
      <c r="Q100" s="66"/>
      <c r="R100" s="66"/>
      <c r="S100" s="66"/>
      <c r="T100" s="66"/>
      <c r="U100" s="66"/>
      <c r="V100" s="66"/>
      <c r="W100" s="66"/>
      <c r="X100" s="66"/>
      <c r="Y100" s="66"/>
      <c r="Z100" s="66"/>
      <c r="AA100" s="66"/>
      <c r="AB100" s="66"/>
      <c r="AC100" s="66"/>
      <c r="AD100" s="66"/>
      <c r="AE100" s="66"/>
      <c r="AF100" s="66"/>
      <c r="AG100" s="66"/>
      <c r="CF100" s="68"/>
    </row>
    <row r="101" spans="1:84" ht="17.399999999999999" x14ac:dyDescent="0.35">
      <c r="A101" s="67" t="s">
        <v>738</v>
      </c>
      <c r="B101" s="67"/>
      <c r="C101" s="66"/>
      <c r="D101" s="66">
        <v>64.320419999999999</v>
      </c>
      <c r="E101" s="66"/>
      <c r="F101" s="66"/>
      <c r="G101" s="66"/>
      <c r="H101" s="66"/>
      <c r="I101" s="66"/>
      <c r="J101" s="66"/>
      <c r="K101" s="66"/>
      <c r="L101" s="66"/>
      <c r="M101" s="66"/>
      <c r="N101" s="66"/>
      <c r="O101" s="66"/>
      <c r="P101" s="66"/>
      <c r="Q101" s="66"/>
      <c r="R101" s="66"/>
      <c r="S101" s="66"/>
      <c r="T101" s="66"/>
      <c r="U101" s="66"/>
      <c r="V101" s="66"/>
      <c r="W101" s="66"/>
      <c r="X101" s="66"/>
      <c r="Y101" s="66"/>
      <c r="Z101" s="66"/>
      <c r="AA101" s="66"/>
      <c r="AB101" s="66"/>
      <c r="AC101" s="66"/>
      <c r="AD101" s="66"/>
      <c r="AE101" s="66"/>
      <c r="AF101" s="66"/>
      <c r="AG101" s="66"/>
      <c r="CF101" s="68"/>
    </row>
    <row r="102" spans="1:84" ht="17.399999999999999" x14ac:dyDescent="0.35">
      <c r="A102" s="67" t="s">
        <v>739</v>
      </c>
      <c r="B102" s="67"/>
      <c r="C102" s="66"/>
      <c r="D102" s="66">
        <v>68.311080000000004</v>
      </c>
      <c r="E102" s="66"/>
      <c r="F102" s="66"/>
      <c r="G102" s="66"/>
      <c r="H102" s="66"/>
      <c r="I102" s="66"/>
      <c r="J102" s="66"/>
      <c r="K102" s="66"/>
      <c r="L102" s="66"/>
      <c r="M102" s="66"/>
      <c r="N102" s="66"/>
      <c r="O102" s="66"/>
      <c r="P102" s="66"/>
      <c r="Q102" s="66"/>
      <c r="R102" s="66"/>
      <c r="S102" s="66"/>
      <c r="T102" s="66"/>
      <c r="U102" s="66"/>
      <c r="V102" s="66"/>
      <c r="W102" s="66"/>
      <c r="X102" s="66"/>
      <c r="Y102" s="66"/>
      <c r="Z102" s="66"/>
      <c r="AA102" s="66"/>
      <c r="AB102" s="66"/>
      <c r="AC102" s="66"/>
      <c r="AD102" s="66"/>
      <c r="AE102" s="66"/>
      <c r="AF102" s="66"/>
      <c r="AG102" s="66"/>
      <c r="CF102" s="68"/>
    </row>
    <row r="103" spans="1:84" ht="17.399999999999999" x14ac:dyDescent="0.35">
      <c r="A103" s="67" t="s">
        <v>740</v>
      </c>
      <c r="B103" s="67"/>
      <c r="C103" s="66"/>
      <c r="D103" s="66">
        <v>66.265519999999995</v>
      </c>
      <c r="E103" s="66"/>
      <c r="F103" s="66"/>
      <c r="G103" s="66"/>
      <c r="H103" s="66"/>
      <c r="I103" s="66"/>
      <c r="J103" s="66"/>
      <c r="K103" s="66"/>
      <c r="L103" s="66"/>
      <c r="M103" s="66"/>
      <c r="N103" s="66"/>
      <c r="O103" s="66"/>
      <c r="P103" s="66"/>
      <c r="Q103" s="66"/>
      <c r="R103" s="66"/>
      <c r="S103" s="66"/>
      <c r="T103" s="66"/>
      <c r="U103" s="66"/>
      <c r="V103" s="66"/>
      <c r="W103" s="66"/>
      <c r="X103" s="66"/>
      <c r="Y103" s="66"/>
      <c r="Z103" s="66"/>
      <c r="AA103" s="66"/>
      <c r="AB103" s="66"/>
      <c r="AC103" s="66"/>
      <c r="AD103" s="66"/>
      <c r="AE103" s="66"/>
      <c r="AF103" s="66"/>
      <c r="AG103" s="66"/>
      <c r="CF103" s="68"/>
    </row>
    <row r="104" spans="1:84" ht="17.399999999999999" x14ac:dyDescent="0.35">
      <c r="A104" s="67" t="s">
        <v>741</v>
      </c>
      <c r="B104" s="67"/>
      <c r="C104" s="66"/>
      <c r="D104" s="66">
        <v>73.162779999999998</v>
      </c>
      <c r="E104" s="66"/>
      <c r="F104" s="66"/>
      <c r="G104" s="66"/>
      <c r="H104" s="66"/>
      <c r="I104" s="66"/>
      <c r="J104" s="66"/>
      <c r="K104" s="66"/>
      <c r="L104" s="66"/>
      <c r="M104" s="66"/>
      <c r="N104" s="66"/>
      <c r="O104" s="66"/>
      <c r="P104" s="66"/>
      <c r="Q104" s="66"/>
      <c r="R104" s="66"/>
      <c r="S104" s="66"/>
      <c r="T104" s="66"/>
      <c r="U104" s="66"/>
      <c r="V104" s="66"/>
      <c r="W104" s="66"/>
      <c r="X104" s="66"/>
      <c r="Y104" s="66"/>
      <c r="Z104" s="66"/>
      <c r="AA104" s="66"/>
      <c r="AB104" s="66"/>
      <c r="AC104" s="66"/>
      <c r="AD104" s="66"/>
      <c r="AE104" s="66"/>
      <c r="AF104" s="66"/>
      <c r="AG104" s="66"/>
      <c r="CF104" s="68"/>
    </row>
    <row r="105" spans="1:84" ht="17.399999999999999" x14ac:dyDescent="0.35">
      <c r="A105" s="67" t="s">
        <v>742</v>
      </c>
      <c r="B105" s="67"/>
      <c r="C105" s="66"/>
      <c r="D105" s="66">
        <v>84.458799999999997</v>
      </c>
      <c r="E105" s="66"/>
      <c r="F105" s="66"/>
      <c r="G105" s="66"/>
      <c r="H105" s="66"/>
      <c r="I105" s="66"/>
      <c r="J105" s="66"/>
      <c r="K105" s="66"/>
      <c r="L105" s="66"/>
      <c r="M105" s="66"/>
      <c r="N105" s="66"/>
      <c r="O105" s="66"/>
      <c r="P105" s="66"/>
      <c r="Q105" s="66"/>
      <c r="R105" s="66"/>
      <c r="S105" s="66"/>
      <c r="T105" s="66"/>
      <c r="U105" s="66"/>
      <c r="V105" s="66"/>
      <c r="W105" s="66"/>
      <c r="X105" s="66"/>
      <c r="Y105" s="66"/>
      <c r="Z105" s="66"/>
      <c r="AA105" s="66"/>
      <c r="AB105" s="66"/>
      <c r="AC105" s="66"/>
      <c r="AD105" s="66"/>
      <c r="AE105" s="66"/>
      <c r="AF105" s="66"/>
      <c r="AG105" s="66"/>
      <c r="CF105" s="68"/>
    </row>
    <row r="106" spans="1:84" ht="17.399999999999999" x14ac:dyDescent="0.35">
      <c r="A106" s="67" t="s">
        <v>743</v>
      </c>
      <c r="B106" s="67"/>
      <c r="C106" s="66"/>
      <c r="D106" s="66">
        <v>70.987960000000001</v>
      </c>
      <c r="E106" s="66"/>
      <c r="F106" s="66"/>
      <c r="G106" s="66"/>
      <c r="H106" s="66"/>
      <c r="I106" s="66"/>
      <c r="J106" s="66"/>
      <c r="K106" s="66"/>
      <c r="L106" s="66"/>
      <c r="M106" s="66"/>
      <c r="N106" s="66"/>
      <c r="O106" s="66"/>
      <c r="P106" s="66"/>
      <c r="Q106" s="66"/>
      <c r="R106" s="66"/>
      <c r="S106" s="66"/>
      <c r="T106" s="66"/>
      <c r="U106" s="66"/>
      <c r="V106" s="66"/>
      <c r="W106" s="66"/>
      <c r="X106" s="66"/>
      <c r="Y106" s="66"/>
      <c r="Z106" s="66"/>
      <c r="AA106" s="66"/>
      <c r="AB106" s="66"/>
      <c r="AC106" s="66"/>
      <c r="AD106" s="66"/>
      <c r="AE106" s="66"/>
      <c r="AF106" s="66"/>
      <c r="AG106" s="66"/>
      <c r="CF106" s="68"/>
    </row>
    <row r="107" spans="1:84" ht="17.399999999999999" x14ac:dyDescent="0.35">
      <c r="A107" s="67" t="s">
        <v>744</v>
      </c>
      <c r="B107" s="67"/>
      <c r="C107" s="66"/>
      <c r="D107" s="66">
        <v>86.415859999999995</v>
      </c>
      <c r="E107" s="66"/>
      <c r="F107" s="66"/>
      <c r="G107" s="66"/>
      <c r="H107" s="66"/>
      <c r="I107" s="66"/>
      <c r="J107" s="66"/>
      <c r="K107" s="66"/>
      <c r="L107" s="66"/>
      <c r="M107" s="66"/>
      <c r="N107" s="66"/>
      <c r="O107" s="66"/>
      <c r="P107" s="66"/>
      <c r="Q107" s="66"/>
      <c r="R107" s="66"/>
      <c r="S107" s="66"/>
      <c r="T107" s="66"/>
      <c r="U107" s="66"/>
      <c r="V107" s="66"/>
      <c r="W107" s="66"/>
      <c r="X107" s="66"/>
      <c r="Y107" s="66"/>
      <c r="Z107" s="66"/>
      <c r="AA107" s="66"/>
      <c r="AB107" s="66"/>
      <c r="AC107" s="66"/>
      <c r="AD107" s="66"/>
      <c r="AE107" s="66"/>
      <c r="AF107" s="66"/>
      <c r="AG107" s="66"/>
      <c r="CF107" s="68"/>
    </row>
    <row r="108" spans="1:84" ht="17.399999999999999" x14ac:dyDescent="0.35">
      <c r="A108" s="67" t="s">
        <v>745</v>
      </c>
      <c r="B108" s="67"/>
      <c r="C108" s="66"/>
      <c r="D108" s="66">
        <v>66.742959999999997</v>
      </c>
      <c r="E108" s="66"/>
      <c r="F108" s="66"/>
      <c r="G108" s="66"/>
      <c r="H108" s="66"/>
      <c r="I108" s="66"/>
      <c r="J108" s="66"/>
      <c r="K108" s="66"/>
      <c r="L108" s="66"/>
      <c r="M108" s="66"/>
      <c r="N108" s="66"/>
      <c r="O108" s="66"/>
      <c r="P108" s="66"/>
      <c r="Q108" s="66"/>
      <c r="R108" s="66"/>
      <c r="S108" s="66"/>
      <c r="T108" s="66"/>
      <c r="U108" s="66"/>
      <c r="V108" s="66"/>
      <c r="W108" s="66"/>
      <c r="X108" s="66"/>
      <c r="Y108" s="66"/>
      <c r="Z108" s="66"/>
      <c r="AA108" s="66"/>
      <c r="AB108" s="66"/>
      <c r="AC108" s="66"/>
      <c r="AD108" s="66"/>
      <c r="AE108" s="66"/>
      <c r="AF108" s="66"/>
      <c r="AG108" s="66"/>
      <c r="CF108" s="68"/>
    </row>
    <row r="109" spans="1:84" ht="17.399999999999999" x14ac:dyDescent="0.35">
      <c r="A109" s="67" t="s">
        <v>746</v>
      </c>
      <c r="B109" s="67"/>
      <c r="C109" s="66"/>
      <c r="D109" s="66">
        <v>55.541289999999996</v>
      </c>
      <c r="E109" s="66"/>
      <c r="F109" s="66"/>
      <c r="G109" s="66"/>
      <c r="H109" s="66"/>
      <c r="I109" s="66"/>
      <c r="J109" s="66"/>
      <c r="K109" s="66"/>
      <c r="L109" s="66"/>
      <c r="M109" s="66"/>
      <c r="N109" s="66"/>
      <c r="O109" s="66"/>
      <c r="P109" s="66"/>
      <c r="Q109" s="66"/>
      <c r="R109" s="66"/>
      <c r="S109" s="66"/>
      <c r="T109" s="66"/>
      <c r="U109" s="66"/>
      <c r="V109" s="66"/>
      <c r="W109" s="66"/>
      <c r="X109" s="66"/>
      <c r="Y109" s="66"/>
      <c r="Z109" s="66"/>
      <c r="AA109" s="66"/>
      <c r="AB109" s="66"/>
      <c r="AC109" s="66"/>
      <c r="AD109" s="66"/>
      <c r="AE109" s="66"/>
      <c r="AF109" s="66"/>
      <c r="AG109" s="66"/>
      <c r="CF109" s="68"/>
    </row>
    <row r="110" spans="1:84" ht="17.399999999999999" x14ac:dyDescent="0.35">
      <c r="A110" s="67" t="s">
        <v>747</v>
      </c>
      <c r="B110" s="67"/>
      <c r="C110" s="66"/>
      <c r="D110" s="66">
        <v>62.386499999999998</v>
      </c>
      <c r="E110" s="66"/>
      <c r="F110" s="66"/>
      <c r="G110" s="66"/>
      <c r="H110" s="66"/>
      <c r="I110" s="66"/>
      <c r="J110" s="66"/>
      <c r="K110" s="66"/>
      <c r="L110" s="66"/>
      <c r="M110" s="66"/>
      <c r="N110" s="66"/>
      <c r="O110" s="66"/>
      <c r="P110" s="66"/>
      <c r="Q110" s="66"/>
      <c r="R110" s="66"/>
      <c r="S110" s="66"/>
      <c r="T110" s="66"/>
      <c r="U110" s="66"/>
      <c r="V110" s="66"/>
      <c r="W110" s="66"/>
      <c r="X110" s="66"/>
      <c r="Y110" s="66"/>
      <c r="Z110" s="66"/>
      <c r="AA110" s="66"/>
      <c r="AB110" s="66"/>
      <c r="AC110" s="66"/>
      <c r="AD110" s="66"/>
      <c r="AE110" s="66"/>
      <c r="AF110" s="66"/>
      <c r="AG110" s="66"/>
      <c r="CF110" s="68"/>
    </row>
    <row r="111" spans="1:84" ht="17.399999999999999" x14ac:dyDescent="0.35">
      <c r="A111" s="67" t="s">
        <v>748</v>
      </c>
      <c r="B111" s="67"/>
      <c r="C111" s="66"/>
      <c r="D111" s="66">
        <v>61.738320000000002</v>
      </c>
      <c r="E111" s="66"/>
      <c r="F111" s="66"/>
      <c r="G111" s="66"/>
      <c r="H111" s="66"/>
      <c r="I111" s="66"/>
      <c r="J111" s="66"/>
      <c r="K111" s="66"/>
      <c r="L111" s="66"/>
      <c r="M111" s="66"/>
      <c r="N111" s="66"/>
      <c r="O111" s="66"/>
      <c r="P111" s="66"/>
      <c r="Q111" s="66"/>
      <c r="R111" s="66"/>
      <c r="S111" s="66"/>
      <c r="T111" s="66"/>
      <c r="U111" s="66"/>
      <c r="V111" s="66"/>
      <c r="W111" s="66"/>
      <c r="X111" s="66"/>
      <c r="Y111" s="66"/>
      <c r="Z111" s="66"/>
      <c r="AA111" s="66"/>
      <c r="AB111" s="66"/>
      <c r="AC111" s="66"/>
      <c r="AD111" s="66"/>
      <c r="AE111" s="66"/>
      <c r="AF111" s="66"/>
      <c r="AG111" s="66"/>
      <c r="CF111" s="68"/>
    </row>
    <row r="112" spans="1:84" ht="17.399999999999999" x14ac:dyDescent="0.35">
      <c r="A112" s="67" t="s">
        <v>749</v>
      </c>
      <c r="B112" s="67"/>
      <c r="C112" s="66"/>
      <c r="D112" s="66">
        <v>67.686480000000003</v>
      </c>
      <c r="E112" s="66"/>
      <c r="F112" s="66"/>
      <c r="G112" s="66"/>
      <c r="H112" s="66"/>
      <c r="I112" s="66"/>
      <c r="J112" s="66"/>
      <c r="K112" s="66"/>
      <c r="L112" s="66"/>
      <c r="M112" s="66"/>
      <c r="N112" s="66"/>
      <c r="O112" s="66"/>
      <c r="P112" s="66"/>
      <c r="Q112" s="66"/>
      <c r="R112" s="66"/>
      <c r="S112" s="66"/>
      <c r="T112" s="66"/>
      <c r="U112" s="66"/>
      <c r="V112" s="66"/>
      <c r="W112" s="66"/>
      <c r="X112" s="66"/>
      <c r="Y112" s="66"/>
      <c r="Z112" s="66"/>
      <c r="AA112" s="66"/>
      <c r="AB112" s="66"/>
      <c r="AC112" s="66"/>
      <c r="AD112" s="66"/>
      <c r="AE112" s="66"/>
      <c r="AF112" s="66"/>
      <c r="AG112" s="66"/>
      <c r="CF112" s="68"/>
    </row>
    <row r="113" spans="1:84" ht="17.399999999999999" x14ac:dyDescent="0.35">
      <c r="A113" s="67" t="s">
        <v>750</v>
      </c>
      <c r="B113" s="67"/>
      <c r="C113" s="66"/>
      <c r="D113" s="66">
        <v>60.18074</v>
      </c>
      <c r="E113" s="66"/>
      <c r="F113" s="66"/>
      <c r="G113" s="66"/>
      <c r="H113" s="66"/>
      <c r="I113" s="66"/>
      <c r="J113" s="66"/>
      <c r="K113" s="66"/>
      <c r="L113" s="66"/>
      <c r="M113" s="66"/>
      <c r="N113" s="66"/>
      <c r="O113" s="66"/>
      <c r="P113" s="66"/>
      <c r="Q113" s="66"/>
      <c r="R113" s="66"/>
      <c r="S113" s="66"/>
      <c r="T113" s="66"/>
      <c r="U113" s="66"/>
      <c r="V113" s="66"/>
      <c r="W113" s="66"/>
      <c r="X113" s="66"/>
      <c r="Y113" s="66"/>
      <c r="Z113" s="66"/>
      <c r="AA113" s="66"/>
      <c r="AB113" s="66"/>
      <c r="AC113" s="66"/>
      <c r="AD113" s="66"/>
      <c r="AE113" s="66"/>
      <c r="AF113" s="66"/>
      <c r="AG113" s="66"/>
      <c r="CF113" s="68"/>
    </row>
    <row r="114" spans="1:84" ht="17.399999999999999" x14ac:dyDescent="0.35">
      <c r="A114" s="67" t="s">
        <v>751</v>
      </c>
      <c r="B114" s="67"/>
      <c r="C114" s="66"/>
      <c r="D114" s="66">
        <v>72.334599999999995</v>
      </c>
      <c r="E114" s="66"/>
      <c r="F114" s="66"/>
      <c r="G114" s="66"/>
      <c r="H114" s="66"/>
      <c r="I114" s="66"/>
      <c r="J114" s="66"/>
      <c r="K114" s="66"/>
      <c r="L114" s="66"/>
      <c r="M114" s="66"/>
      <c r="N114" s="66"/>
      <c r="O114" s="66"/>
      <c r="P114" s="66"/>
      <c r="Q114" s="66"/>
      <c r="R114" s="66"/>
      <c r="S114" s="66"/>
      <c r="T114" s="66"/>
      <c r="U114" s="66"/>
      <c r="V114" s="66"/>
      <c r="W114" s="66"/>
      <c r="X114" s="66"/>
      <c r="Y114" s="66"/>
      <c r="Z114" s="66"/>
      <c r="AA114" s="66"/>
      <c r="AB114" s="66"/>
      <c r="AC114" s="66"/>
      <c r="AD114" s="66"/>
      <c r="AE114" s="66"/>
      <c r="AF114" s="66"/>
      <c r="AG114" s="66"/>
      <c r="CF114" s="68"/>
    </row>
    <row r="115" spans="1:84" ht="17.399999999999999" x14ac:dyDescent="0.35">
      <c r="A115" s="67" t="s">
        <v>752</v>
      </c>
      <c r="B115" s="67"/>
      <c r="C115" s="66"/>
      <c r="D115" s="66">
        <v>67.503680000000003</v>
      </c>
      <c r="E115" s="66"/>
      <c r="F115" s="66"/>
      <c r="G115" s="66"/>
      <c r="H115" s="66"/>
      <c r="I115" s="66"/>
      <c r="J115" s="66"/>
      <c r="K115" s="66"/>
      <c r="L115" s="66"/>
      <c r="M115" s="66"/>
      <c r="N115" s="66"/>
      <c r="O115" s="66"/>
      <c r="P115" s="66"/>
      <c r="Q115" s="66"/>
      <c r="R115" s="66"/>
      <c r="S115" s="66"/>
      <c r="T115" s="66"/>
      <c r="U115" s="66"/>
      <c r="V115" s="66"/>
      <c r="W115" s="66"/>
      <c r="X115" s="66"/>
      <c r="Y115" s="66"/>
      <c r="Z115" s="66"/>
      <c r="AA115" s="66"/>
      <c r="AB115" s="66"/>
      <c r="AC115" s="66"/>
      <c r="AD115" s="66"/>
      <c r="AE115" s="66"/>
      <c r="AF115" s="66"/>
      <c r="AG115" s="66"/>
      <c r="CF115" s="68"/>
    </row>
    <row r="116" spans="1:84" ht="17.399999999999999" x14ac:dyDescent="0.35">
      <c r="A116" s="67" t="s">
        <v>753</v>
      </c>
      <c r="B116" s="67"/>
      <c r="C116" s="66"/>
      <c r="D116" s="66">
        <v>81.125839999999997</v>
      </c>
      <c r="E116" s="66"/>
      <c r="F116" s="66"/>
      <c r="G116" s="66"/>
      <c r="H116" s="66"/>
      <c r="I116" s="66"/>
      <c r="J116" s="66"/>
      <c r="K116" s="66"/>
      <c r="L116" s="66"/>
      <c r="M116" s="66"/>
      <c r="N116" s="66"/>
      <c r="O116" s="66"/>
      <c r="P116" s="66"/>
      <c r="Q116" s="66"/>
      <c r="R116" s="66"/>
      <c r="S116" s="66"/>
      <c r="T116" s="66"/>
      <c r="U116" s="66"/>
      <c r="V116" s="66"/>
      <c r="W116" s="66"/>
      <c r="X116" s="66"/>
      <c r="Y116" s="66"/>
      <c r="Z116" s="66"/>
      <c r="AA116" s="66"/>
      <c r="AB116" s="66"/>
      <c r="AC116" s="66"/>
      <c r="AD116" s="66"/>
      <c r="AE116" s="66"/>
      <c r="AF116" s="66"/>
      <c r="AG116" s="66"/>
      <c r="CF116" s="68"/>
    </row>
    <row r="117" spans="1:84" ht="17.399999999999999" x14ac:dyDescent="0.35">
      <c r="A117" s="67" t="s">
        <v>754</v>
      </c>
      <c r="B117" s="67"/>
      <c r="C117" s="66"/>
      <c r="D117" s="66">
        <v>66.379379999999998</v>
      </c>
      <c r="E117" s="66"/>
      <c r="F117" s="66"/>
      <c r="G117" s="66"/>
      <c r="H117" s="66"/>
      <c r="I117" s="66"/>
      <c r="J117" s="66"/>
      <c r="K117" s="66"/>
      <c r="L117" s="66"/>
      <c r="M117" s="66"/>
      <c r="N117" s="66"/>
      <c r="O117" s="66"/>
      <c r="P117" s="66"/>
      <c r="Q117" s="66"/>
      <c r="R117" s="66"/>
      <c r="S117" s="66"/>
      <c r="T117" s="66"/>
      <c r="U117" s="66"/>
      <c r="V117" s="66"/>
      <c r="W117" s="66"/>
      <c r="X117" s="66"/>
      <c r="Y117" s="66"/>
      <c r="Z117" s="66"/>
      <c r="AA117" s="66"/>
      <c r="AB117" s="66"/>
      <c r="AC117" s="66"/>
      <c r="AD117" s="66"/>
      <c r="AE117" s="66"/>
      <c r="AF117" s="66"/>
      <c r="AG117" s="66"/>
      <c r="CF117" s="68"/>
    </row>
    <row r="118" spans="1:84" ht="17.399999999999999" x14ac:dyDescent="0.35">
      <c r="A118" s="67" t="s">
        <v>755</v>
      </c>
      <c r="B118" s="67"/>
      <c r="C118" s="66"/>
      <c r="D118" s="66">
        <v>43.721049999999998</v>
      </c>
      <c r="E118" s="66"/>
      <c r="F118" s="66"/>
      <c r="G118" s="66"/>
      <c r="H118" s="66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  <c r="AD118" s="66"/>
      <c r="AE118" s="66"/>
      <c r="AF118" s="66"/>
      <c r="AG118" s="66"/>
      <c r="CF118" s="68"/>
    </row>
    <row r="119" spans="1:84" ht="17.399999999999999" x14ac:dyDescent="0.35">
      <c r="A119" s="67" t="s">
        <v>756</v>
      </c>
      <c r="B119" s="67"/>
      <c r="C119" s="66"/>
      <c r="D119" s="66">
        <v>52.188360000000003</v>
      </c>
      <c r="E119" s="66"/>
      <c r="F119" s="66"/>
      <c r="G119" s="66"/>
      <c r="H119" s="66"/>
      <c r="I119" s="66"/>
      <c r="J119" s="66"/>
      <c r="K119" s="66"/>
      <c r="L119" s="66"/>
      <c r="M119" s="66"/>
      <c r="N119" s="66"/>
      <c r="O119" s="66"/>
      <c r="P119" s="66"/>
      <c r="Q119" s="66"/>
      <c r="R119" s="66"/>
      <c r="S119" s="66"/>
      <c r="T119" s="66"/>
      <c r="U119" s="66"/>
      <c r="V119" s="66"/>
      <c r="W119" s="66"/>
      <c r="X119" s="66"/>
      <c r="Y119" s="66"/>
      <c r="Z119" s="66"/>
      <c r="AA119" s="66"/>
      <c r="AB119" s="66"/>
      <c r="AC119" s="66"/>
      <c r="AD119" s="66"/>
      <c r="AE119" s="66"/>
      <c r="AF119" s="66"/>
      <c r="AG119" s="66"/>
      <c r="CF119" s="68"/>
    </row>
    <row r="120" spans="1:84" ht="17.399999999999999" x14ac:dyDescent="0.35">
      <c r="A120" s="67" t="s">
        <v>757</v>
      </c>
      <c r="B120" s="67"/>
      <c r="C120" s="66"/>
      <c r="D120" s="66">
        <v>58.624360000000003</v>
      </c>
      <c r="E120" s="66"/>
      <c r="F120" s="66"/>
      <c r="G120" s="66"/>
      <c r="H120" s="66"/>
      <c r="I120" s="66"/>
      <c r="J120" s="66"/>
      <c r="K120" s="66"/>
      <c r="L120" s="66"/>
      <c r="M120" s="66"/>
      <c r="N120" s="66"/>
      <c r="O120" s="66"/>
      <c r="P120" s="66"/>
      <c r="Q120" s="66"/>
      <c r="R120" s="66"/>
      <c r="S120" s="66"/>
      <c r="T120" s="66"/>
      <c r="U120" s="66"/>
      <c r="V120" s="66"/>
      <c r="W120" s="66"/>
      <c r="X120" s="66"/>
      <c r="Y120" s="66"/>
      <c r="Z120" s="66"/>
      <c r="AA120" s="66"/>
      <c r="AB120" s="66"/>
      <c r="AC120" s="66"/>
      <c r="AD120" s="66"/>
      <c r="AE120" s="66"/>
      <c r="AF120" s="66"/>
      <c r="AG120" s="66"/>
      <c r="CF120" s="68"/>
    </row>
    <row r="121" spans="1:84" ht="17.399999999999999" x14ac:dyDescent="0.35">
      <c r="A121" s="67" t="s">
        <v>758</v>
      </c>
      <c r="B121" s="67"/>
      <c r="C121" s="66"/>
      <c r="D121" s="66">
        <v>64.666039999999995</v>
      </c>
      <c r="E121" s="66"/>
      <c r="F121" s="66"/>
      <c r="G121" s="66"/>
      <c r="H121" s="66"/>
      <c r="I121" s="66"/>
      <c r="J121" s="66"/>
      <c r="K121" s="66"/>
      <c r="L121" s="66"/>
      <c r="M121" s="66"/>
      <c r="N121" s="66"/>
      <c r="O121" s="66"/>
      <c r="P121" s="66"/>
      <c r="Q121" s="66"/>
      <c r="R121" s="66"/>
      <c r="S121" s="66"/>
      <c r="T121" s="66"/>
      <c r="U121" s="66"/>
      <c r="V121" s="66"/>
      <c r="W121" s="66"/>
      <c r="X121" s="66"/>
      <c r="Y121" s="66"/>
      <c r="Z121" s="66"/>
      <c r="AA121" s="66"/>
      <c r="AB121" s="66"/>
      <c r="AC121" s="66"/>
      <c r="AD121" s="66"/>
      <c r="AE121" s="66"/>
      <c r="AF121" s="66"/>
      <c r="AG121" s="66"/>
      <c r="CF121" s="68"/>
    </row>
    <row r="122" spans="1:84" ht="17.399999999999999" x14ac:dyDescent="0.35">
      <c r="A122" s="67" t="s">
        <v>759</v>
      </c>
      <c r="B122" s="67"/>
      <c r="C122" s="66"/>
      <c r="D122" s="66">
        <v>63.9711</v>
      </c>
      <c r="E122" s="66"/>
      <c r="F122" s="66"/>
      <c r="G122" s="66"/>
      <c r="H122" s="66"/>
      <c r="I122" s="66"/>
      <c r="J122" s="66"/>
      <c r="K122" s="66"/>
      <c r="L122" s="66"/>
      <c r="M122" s="66"/>
      <c r="N122" s="66"/>
      <c r="O122" s="66"/>
      <c r="P122" s="66"/>
      <c r="Q122" s="66"/>
      <c r="R122" s="66"/>
      <c r="S122" s="66"/>
      <c r="T122" s="66"/>
      <c r="U122" s="66"/>
      <c r="V122" s="66"/>
      <c r="W122" s="66"/>
      <c r="X122" s="66"/>
      <c r="Y122" s="66"/>
      <c r="Z122" s="66"/>
      <c r="AA122" s="66"/>
      <c r="AB122" s="66"/>
      <c r="AC122" s="66"/>
      <c r="AD122" s="66"/>
      <c r="AE122" s="66"/>
      <c r="AF122" s="66"/>
      <c r="AG122" s="66"/>
      <c r="CF122" s="68"/>
    </row>
    <row r="123" spans="1:84" ht="17.399999999999999" x14ac:dyDescent="0.35">
      <c r="A123" s="67" t="s">
        <v>760</v>
      </c>
      <c r="B123" s="67"/>
      <c r="C123" s="66"/>
      <c r="D123" s="66">
        <v>70.561800000000005</v>
      </c>
      <c r="E123" s="66"/>
      <c r="F123" s="66"/>
      <c r="G123" s="66"/>
      <c r="H123" s="66"/>
      <c r="I123" s="66"/>
      <c r="J123" s="66"/>
      <c r="K123" s="66"/>
      <c r="L123" s="66"/>
      <c r="M123" s="66"/>
      <c r="N123" s="66"/>
      <c r="O123" s="66"/>
      <c r="P123" s="66"/>
      <c r="Q123" s="66"/>
      <c r="R123" s="66"/>
      <c r="S123" s="66"/>
      <c r="T123" s="66"/>
      <c r="U123" s="66"/>
      <c r="V123" s="66"/>
      <c r="W123" s="66"/>
      <c r="X123" s="66"/>
      <c r="Y123" s="66"/>
      <c r="Z123" s="66"/>
      <c r="AA123" s="66"/>
      <c r="AB123" s="66"/>
      <c r="AC123" s="66"/>
      <c r="AD123" s="66"/>
      <c r="AE123" s="66"/>
      <c r="AF123" s="66"/>
      <c r="AG123" s="66"/>
      <c r="CF123" s="68"/>
    </row>
    <row r="124" spans="1:84" ht="17.399999999999999" x14ac:dyDescent="0.35">
      <c r="A124" s="67" t="s">
        <v>761</v>
      </c>
      <c r="B124" s="67"/>
      <c r="C124" s="66"/>
      <c r="D124" s="66">
        <v>66.724540000000005</v>
      </c>
      <c r="E124" s="66"/>
      <c r="F124" s="66"/>
      <c r="G124" s="66"/>
      <c r="H124" s="66"/>
      <c r="I124" s="66"/>
      <c r="J124" s="66"/>
      <c r="K124" s="66"/>
      <c r="L124" s="66"/>
      <c r="M124" s="66"/>
      <c r="N124" s="66"/>
      <c r="O124" s="66"/>
      <c r="P124" s="66"/>
      <c r="Q124" s="66"/>
      <c r="R124" s="66"/>
      <c r="S124" s="66"/>
      <c r="T124" s="66"/>
      <c r="U124" s="66"/>
      <c r="V124" s="66"/>
      <c r="W124" s="66"/>
      <c r="X124" s="66"/>
      <c r="Y124" s="66"/>
      <c r="Z124" s="66"/>
      <c r="AA124" s="66"/>
      <c r="AB124" s="66"/>
      <c r="AC124" s="66"/>
      <c r="AD124" s="66"/>
      <c r="AE124" s="66"/>
      <c r="AF124" s="66"/>
      <c r="AG124" s="66"/>
      <c r="CF124" s="68"/>
    </row>
    <row r="125" spans="1:84" ht="17.399999999999999" x14ac:dyDescent="0.35">
      <c r="A125" s="67" t="s">
        <v>762</v>
      </c>
      <c r="B125" s="67"/>
      <c r="C125" s="66"/>
      <c r="D125" s="66">
        <v>75.258979999999994</v>
      </c>
      <c r="E125" s="66"/>
      <c r="F125" s="66"/>
      <c r="G125" s="66"/>
      <c r="H125" s="66"/>
      <c r="I125" s="66"/>
      <c r="J125" s="66"/>
      <c r="K125" s="66"/>
      <c r="L125" s="66"/>
      <c r="M125" s="66"/>
      <c r="N125" s="66"/>
      <c r="O125" s="66"/>
      <c r="P125" s="66"/>
      <c r="Q125" s="66"/>
      <c r="R125" s="66"/>
      <c r="S125" s="66"/>
      <c r="T125" s="66"/>
      <c r="U125" s="66"/>
      <c r="V125" s="66"/>
      <c r="W125" s="66"/>
      <c r="X125" s="66"/>
      <c r="Y125" s="66"/>
      <c r="Z125" s="66"/>
      <c r="AA125" s="66"/>
      <c r="AB125" s="66"/>
      <c r="AC125" s="66"/>
      <c r="AD125" s="66"/>
      <c r="AE125" s="66"/>
      <c r="AF125" s="66"/>
      <c r="AG125" s="66"/>
      <c r="CF125" s="68"/>
    </row>
    <row r="126" spans="1:84" ht="17.399999999999999" x14ac:dyDescent="0.35">
      <c r="A126" s="67" t="s">
        <v>763</v>
      </c>
      <c r="B126" s="67"/>
      <c r="C126" s="66"/>
      <c r="D126" s="66">
        <v>76.692419999999998</v>
      </c>
      <c r="E126" s="66"/>
      <c r="F126" s="66"/>
      <c r="G126" s="66"/>
      <c r="H126" s="66"/>
      <c r="I126" s="66"/>
      <c r="J126" s="66"/>
      <c r="K126" s="66"/>
      <c r="L126" s="66"/>
      <c r="M126" s="66"/>
      <c r="N126" s="66"/>
      <c r="O126" s="66"/>
      <c r="P126" s="66"/>
      <c r="Q126" s="66"/>
      <c r="R126" s="66"/>
      <c r="S126" s="66"/>
      <c r="T126" s="66"/>
      <c r="U126" s="66"/>
      <c r="V126" s="66"/>
      <c r="W126" s="66"/>
      <c r="X126" s="66"/>
      <c r="Y126" s="66"/>
      <c r="Z126" s="66"/>
      <c r="AA126" s="66"/>
      <c r="AB126" s="66"/>
      <c r="AC126" s="66"/>
      <c r="AD126" s="66"/>
      <c r="AE126" s="66"/>
      <c r="AF126" s="66"/>
      <c r="AG126" s="66"/>
      <c r="CF126" s="68"/>
    </row>
    <row r="127" spans="1:84" ht="17.399999999999999" x14ac:dyDescent="0.35">
      <c r="A127" s="67" t="s">
        <v>764</v>
      </c>
      <c r="B127" s="67"/>
      <c r="C127" s="66"/>
      <c r="D127" s="66">
        <v>64.703980000000001</v>
      </c>
      <c r="E127" s="66"/>
      <c r="F127" s="66"/>
      <c r="G127" s="66"/>
      <c r="H127" s="66"/>
      <c r="I127" s="66"/>
      <c r="J127" s="66"/>
      <c r="K127" s="66"/>
      <c r="L127" s="66"/>
      <c r="M127" s="66"/>
      <c r="N127" s="66"/>
      <c r="O127" s="66"/>
      <c r="P127" s="66"/>
      <c r="Q127" s="66"/>
      <c r="R127" s="66"/>
      <c r="S127" s="66"/>
      <c r="T127" s="66"/>
      <c r="U127" s="66"/>
      <c r="V127" s="66"/>
      <c r="W127" s="66"/>
      <c r="X127" s="66"/>
      <c r="Y127" s="66"/>
      <c r="Z127" s="66"/>
      <c r="AA127" s="66"/>
      <c r="AB127" s="66"/>
      <c r="AC127" s="66"/>
      <c r="AD127" s="66"/>
      <c r="AE127" s="66"/>
      <c r="AF127" s="66"/>
      <c r="AG127" s="66"/>
      <c r="CF127" s="68"/>
    </row>
    <row r="128" spans="1:84" ht="17.399999999999999" x14ac:dyDescent="0.35">
      <c r="A128" s="67" t="s">
        <v>765</v>
      </c>
      <c r="B128" s="67"/>
      <c r="C128" s="66"/>
      <c r="D128" s="66">
        <v>28.5748</v>
      </c>
      <c r="E128" s="66"/>
      <c r="F128" s="66"/>
      <c r="G128" s="66"/>
      <c r="H128" s="66"/>
      <c r="I128" s="66"/>
      <c r="J128" s="66"/>
      <c r="K128" s="66"/>
      <c r="L128" s="66"/>
      <c r="M128" s="66"/>
      <c r="N128" s="66"/>
      <c r="O128" s="66"/>
      <c r="P128" s="66"/>
      <c r="Q128" s="66"/>
      <c r="R128" s="66"/>
      <c r="S128" s="66"/>
      <c r="T128" s="66"/>
      <c r="U128" s="66"/>
      <c r="V128" s="66"/>
      <c r="W128" s="66"/>
      <c r="X128" s="66"/>
      <c r="Y128" s="66"/>
      <c r="Z128" s="66"/>
      <c r="AA128" s="66"/>
      <c r="AB128" s="66"/>
      <c r="AC128" s="66"/>
      <c r="AD128" s="66"/>
      <c r="AE128" s="66"/>
      <c r="AF128" s="66"/>
      <c r="AG128" s="66"/>
      <c r="CF128" s="68"/>
    </row>
    <row r="129" spans="1:84" ht="17.399999999999999" x14ac:dyDescent="0.35">
      <c r="A129" s="67" t="s">
        <v>766</v>
      </c>
      <c r="B129" s="67"/>
      <c r="C129" s="66"/>
      <c r="D129" s="66">
        <v>38.001130000000003</v>
      </c>
      <c r="E129" s="66"/>
      <c r="F129" s="66"/>
      <c r="G129" s="66"/>
      <c r="H129" s="66"/>
      <c r="I129" s="66"/>
      <c r="J129" s="66"/>
      <c r="K129" s="66"/>
      <c r="L129" s="66"/>
      <c r="M129" s="66"/>
      <c r="N129" s="66"/>
      <c r="O129" s="66"/>
      <c r="P129" s="66"/>
      <c r="Q129" s="66"/>
      <c r="R129" s="66"/>
      <c r="S129" s="66"/>
      <c r="T129" s="66"/>
      <c r="U129" s="66"/>
      <c r="V129" s="66"/>
      <c r="W129" s="66"/>
      <c r="X129" s="66"/>
      <c r="Y129" s="66"/>
      <c r="Z129" s="66"/>
      <c r="AA129" s="66"/>
      <c r="AB129" s="66"/>
      <c r="AC129" s="66"/>
      <c r="AD129" s="66"/>
      <c r="AE129" s="66"/>
      <c r="AF129" s="66"/>
      <c r="AG129" s="66"/>
      <c r="CF129" s="68"/>
    </row>
    <row r="130" spans="1:84" ht="17.399999999999999" x14ac:dyDescent="0.35">
      <c r="A130" s="67" t="s">
        <v>767</v>
      </c>
      <c r="B130" s="67"/>
      <c r="C130" s="66"/>
      <c r="D130" s="66">
        <v>69.637360000000001</v>
      </c>
      <c r="E130" s="66"/>
      <c r="F130" s="66"/>
      <c r="G130" s="66"/>
      <c r="H130" s="66"/>
      <c r="I130" s="66"/>
      <c r="J130" s="66"/>
      <c r="K130" s="66"/>
      <c r="L130" s="66"/>
      <c r="M130" s="66"/>
      <c r="N130" s="66"/>
      <c r="O130" s="66"/>
      <c r="P130" s="66"/>
      <c r="Q130" s="66"/>
      <c r="R130" s="66"/>
      <c r="S130" s="66"/>
      <c r="T130" s="66"/>
      <c r="U130" s="66"/>
      <c r="V130" s="66"/>
      <c r="W130" s="66"/>
      <c r="X130" s="66"/>
      <c r="Y130" s="66"/>
      <c r="Z130" s="66"/>
      <c r="AA130" s="66"/>
      <c r="AB130" s="66"/>
      <c r="AC130" s="66"/>
      <c r="AD130" s="66"/>
      <c r="AE130" s="66"/>
      <c r="AF130" s="66"/>
      <c r="AG130" s="66"/>
      <c r="CF130" s="68"/>
    </row>
    <row r="131" spans="1:84" ht="17.399999999999999" x14ac:dyDescent="0.35">
      <c r="A131" s="67" t="s">
        <v>768</v>
      </c>
      <c r="B131" s="67"/>
      <c r="C131" s="66"/>
      <c r="D131" s="66">
        <v>69.297160000000005</v>
      </c>
      <c r="E131" s="66"/>
      <c r="F131" s="66"/>
      <c r="G131" s="66"/>
      <c r="H131" s="66"/>
      <c r="I131" s="66"/>
      <c r="J131" s="66"/>
      <c r="K131" s="66"/>
      <c r="L131" s="66"/>
      <c r="M131" s="66"/>
      <c r="N131" s="66"/>
      <c r="O131" s="66"/>
      <c r="P131" s="66"/>
      <c r="Q131" s="66"/>
      <c r="R131" s="66"/>
      <c r="S131" s="66"/>
      <c r="T131" s="66"/>
      <c r="U131" s="66"/>
      <c r="V131" s="66"/>
      <c r="W131" s="66"/>
      <c r="X131" s="66"/>
      <c r="Y131" s="66"/>
      <c r="Z131" s="66"/>
      <c r="AA131" s="66"/>
      <c r="AB131" s="66"/>
      <c r="AC131" s="66"/>
      <c r="AD131" s="66"/>
      <c r="AE131" s="66"/>
      <c r="AF131" s="66"/>
      <c r="AG131" s="66"/>
      <c r="CF131" s="68"/>
    </row>
    <row r="132" spans="1:84" ht="17.399999999999999" x14ac:dyDescent="0.35">
      <c r="A132" s="67" t="s">
        <v>769</v>
      </c>
      <c r="B132" s="67"/>
      <c r="C132" s="66"/>
      <c r="D132" s="66">
        <v>73.1798</v>
      </c>
      <c r="E132" s="66"/>
      <c r="F132" s="66"/>
      <c r="G132" s="66"/>
      <c r="H132" s="66"/>
      <c r="I132" s="66"/>
      <c r="J132" s="66"/>
      <c r="K132" s="66"/>
      <c r="L132" s="66"/>
      <c r="M132" s="66"/>
      <c r="N132" s="66"/>
      <c r="O132" s="66"/>
      <c r="P132" s="66"/>
      <c r="Q132" s="66"/>
      <c r="R132" s="66"/>
      <c r="S132" s="66"/>
      <c r="T132" s="66"/>
      <c r="U132" s="66"/>
      <c r="V132" s="66"/>
      <c r="W132" s="66"/>
      <c r="X132" s="66"/>
      <c r="Y132" s="66"/>
      <c r="Z132" s="66"/>
      <c r="AA132" s="66"/>
      <c r="AB132" s="66"/>
      <c r="AC132" s="66"/>
      <c r="AD132" s="66"/>
      <c r="AE132" s="66"/>
      <c r="AF132" s="66"/>
      <c r="AG132" s="66"/>
      <c r="CF132" s="68"/>
    </row>
    <row r="133" spans="1:84" ht="17.399999999999999" x14ac:dyDescent="0.35">
      <c r="A133" s="67" t="s">
        <v>770</v>
      </c>
      <c r="B133" s="67"/>
      <c r="C133" s="66"/>
      <c r="D133" s="66">
        <v>76.797460000000001</v>
      </c>
      <c r="E133" s="66"/>
      <c r="F133" s="66"/>
      <c r="G133" s="66"/>
      <c r="H133" s="66"/>
      <c r="I133" s="66"/>
      <c r="J133" s="66"/>
      <c r="K133" s="66"/>
      <c r="L133" s="66"/>
      <c r="M133" s="66"/>
      <c r="N133" s="66"/>
      <c r="O133" s="66"/>
      <c r="P133" s="66"/>
      <c r="Q133" s="66"/>
      <c r="R133" s="66"/>
      <c r="S133" s="66"/>
      <c r="T133" s="66"/>
      <c r="U133" s="66"/>
      <c r="V133" s="66"/>
      <c r="W133" s="66"/>
      <c r="X133" s="66"/>
      <c r="Y133" s="66"/>
      <c r="Z133" s="66"/>
      <c r="AA133" s="66"/>
      <c r="AB133" s="66"/>
      <c r="AC133" s="66"/>
      <c r="AD133" s="66"/>
      <c r="AE133" s="66"/>
      <c r="AF133" s="66"/>
      <c r="AG133" s="66"/>
      <c r="CF133" s="68"/>
    </row>
    <row r="134" spans="1:84" ht="17.399999999999999" x14ac:dyDescent="0.35">
      <c r="A134" s="67" t="s">
        <v>771</v>
      </c>
      <c r="B134" s="67"/>
      <c r="C134" s="66"/>
      <c r="D134" s="66">
        <v>89.206419999999994</v>
      </c>
      <c r="E134" s="66"/>
      <c r="F134" s="66"/>
      <c r="G134" s="66"/>
      <c r="H134" s="66"/>
      <c r="I134" s="66"/>
      <c r="J134" s="66"/>
      <c r="K134" s="66"/>
      <c r="L134" s="66"/>
      <c r="M134" s="66"/>
      <c r="N134" s="66"/>
      <c r="O134" s="66"/>
      <c r="P134" s="66"/>
      <c r="Q134" s="66"/>
      <c r="R134" s="66"/>
      <c r="S134" s="66"/>
      <c r="T134" s="66"/>
      <c r="U134" s="66"/>
      <c r="V134" s="66"/>
      <c r="W134" s="66"/>
      <c r="X134" s="66"/>
      <c r="Y134" s="66"/>
      <c r="Z134" s="66"/>
      <c r="AA134" s="66"/>
      <c r="AB134" s="66"/>
      <c r="AC134" s="66"/>
      <c r="AD134" s="66"/>
      <c r="AE134" s="66"/>
      <c r="AF134" s="66"/>
      <c r="AG134" s="66"/>
      <c r="CF134" s="68"/>
    </row>
    <row r="135" spans="1:84" ht="17.399999999999999" x14ac:dyDescent="0.35">
      <c r="A135" s="67" t="s">
        <v>772</v>
      </c>
      <c r="B135" s="67"/>
      <c r="C135" s="66"/>
      <c r="D135" s="66">
        <v>62.928319999999999</v>
      </c>
      <c r="E135" s="66"/>
      <c r="F135" s="66"/>
      <c r="G135" s="66"/>
      <c r="H135" s="66"/>
      <c r="I135" s="66"/>
      <c r="J135" s="66"/>
      <c r="K135" s="66"/>
      <c r="L135" s="66"/>
      <c r="M135" s="66"/>
      <c r="N135" s="66"/>
      <c r="O135" s="66"/>
      <c r="P135" s="66"/>
      <c r="Q135" s="66"/>
      <c r="R135" s="66"/>
      <c r="S135" s="66"/>
      <c r="T135" s="66"/>
      <c r="U135" s="66"/>
      <c r="V135" s="66"/>
      <c r="W135" s="66"/>
      <c r="X135" s="66"/>
      <c r="Y135" s="66"/>
      <c r="Z135" s="66"/>
      <c r="AA135" s="66"/>
      <c r="AB135" s="66"/>
      <c r="AC135" s="66"/>
      <c r="AD135" s="66"/>
      <c r="AE135" s="66"/>
      <c r="AF135" s="66"/>
      <c r="AG135" s="66"/>
      <c r="CF135" s="68"/>
    </row>
    <row r="136" spans="1:84" ht="17.399999999999999" x14ac:dyDescent="0.35">
      <c r="A136" s="67" t="s">
        <v>773</v>
      </c>
      <c r="B136" s="67"/>
      <c r="C136" s="66"/>
      <c r="D136" s="66">
        <v>81.435699999999997</v>
      </c>
      <c r="E136" s="66"/>
      <c r="F136" s="66"/>
      <c r="G136" s="66"/>
      <c r="H136" s="66"/>
      <c r="I136" s="66"/>
      <c r="J136" s="66"/>
      <c r="K136" s="66"/>
      <c r="L136" s="66"/>
      <c r="M136" s="66"/>
      <c r="N136" s="66"/>
      <c r="O136" s="66"/>
      <c r="P136" s="66"/>
      <c r="Q136" s="66"/>
      <c r="R136" s="66"/>
      <c r="S136" s="66"/>
      <c r="T136" s="66"/>
      <c r="U136" s="66"/>
      <c r="V136" s="66"/>
      <c r="W136" s="66"/>
      <c r="X136" s="66"/>
      <c r="Y136" s="66"/>
      <c r="Z136" s="66"/>
      <c r="AA136" s="66"/>
      <c r="AB136" s="66"/>
      <c r="AC136" s="66"/>
      <c r="AD136" s="66"/>
      <c r="AE136" s="66"/>
      <c r="AF136" s="66"/>
      <c r="AG136" s="66"/>
      <c r="CF136" s="68"/>
    </row>
    <row r="137" spans="1:84" ht="17.399999999999999" x14ac:dyDescent="0.35">
      <c r="A137" s="67" t="s">
        <v>774</v>
      </c>
      <c r="B137" s="67"/>
      <c r="C137" s="66"/>
      <c r="D137" s="66">
        <v>75.311000000000007</v>
      </c>
      <c r="E137" s="66"/>
      <c r="F137" s="66"/>
      <c r="G137" s="66"/>
      <c r="H137" s="66"/>
      <c r="I137" s="66"/>
      <c r="J137" s="66"/>
      <c r="K137" s="66"/>
      <c r="L137" s="66"/>
      <c r="M137" s="66"/>
      <c r="N137" s="66"/>
      <c r="O137" s="66"/>
      <c r="P137" s="66"/>
      <c r="Q137" s="66"/>
      <c r="R137" s="66"/>
      <c r="S137" s="66"/>
      <c r="T137" s="66"/>
      <c r="U137" s="66"/>
      <c r="V137" s="66"/>
      <c r="W137" s="66"/>
      <c r="X137" s="66"/>
      <c r="Y137" s="66"/>
      <c r="Z137" s="66"/>
      <c r="AA137" s="66"/>
      <c r="AB137" s="66"/>
      <c r="AC137" s="66"/>
      <c r="AD137" s="66"/>
      <c r="AE137" s="66"/>
      <c r="AF137" s="66"/>
      <c r="AG137" s="66"/>
      <c r="CF137" s="68"/>
    </row>
    <row r="138" spans="1:84" ht="17.399999999999999" x14ac:dyDescent="0.35">
      <c r="A138" s="67" t="s">
        <v>775</v>
      </c>
      <c r="B138" s="67"/>
      <c r="C138" s="66"/>
      <c r="D138" s="66">
        <v>86.953680000000006</v>
      </c>
      <c r="E138" s="66"/>
      <c r="F138" s="66"/>
      <c r="G138" s="66"/>
      <c r="H138" s="66"/>
      <c r="I138" s="66"/>
      <c r="J138" s="66"/>
      <c r="K138" s="66"/>
      <c r="L138" s="66"/>
      <c r="M138" s="66"/>
      <c r="N138" s="66"/>
      <c r="O138" s="66"/>
      <c r="P138" s="66"/>
      <c r="Q138" s="66"/>
      <c r="R138" s="66"/>
      <c r="S138" s="66"/>
      <c r="T138" s="66"/>
      <c r="U138" s="66"/>
      <c r="V138" s="66"/>
      <c r="W138" s="66"/>
      <c r="X138" s="66"/>
      <c r="Y138" s="66"/>
      <c r="Z138" s="66"/>
      <c r="AA138" s="66"/>
      <c r="AB138" s="66"/>
      <c r="AC138" s="66"/>
      <c r="AD138" s="66"/>
      <c r="AE138" s="66"/>
      <c r="AF138" s="66"/>
      <c r="AG138" s="66"/>
      <c r="CF138" s="68"/>
    </row>
    <row r="139" spans="1:84" ht="17.399999999999999" x14ac:dyDescent="0.35">
      <c r="A139" s="67" t="s">
        <v>776</v>
      </c>
      <c r="B139" s="67"/>
      <c r="C139" s="66"/>
      <c r="D139" s="66">
        <v>190.66669999999999</v>
      </c>
      <c r="E139" s="66"/>
      <c r="F139" s="66"/>
      <c r="G139" s="66"/>
      <c r="H139" s="66"/>
      <c r="I139" s="66"/>
      <c r="J139" s="66"/>
      <c r="K139" s="66"/>
      <c r="L139" s="66"/>
      <c r="M139" s="66"/>
      <c r="N139" s="66"/>
      <c r="O139" s="66"/>
      <c r="P139" s="66"/>
      <c r="Q139" s="66"/>
      <c r="R139" s="66"/>
      <c r="S139" s="66"/>
      <c r="T139" s="66"/>
      <c r="U139" s="66"/>
      <c r="V139" s="66"/>
      <c r="W139" s="66"/>
      <c r="X139" s="66"/>
      <c r="Y139" s="66"/>
      <c r="Z139" s="66"/>
      <c r="AA139" s="66"/>
      <c r="AB139" s="66"/>
      <c r="AC139" s="66"/>
      <c r="AD139" s="66"/>
      <c r="AE139" s="66"/>
      <c r="AF139" s="66"/>
      <c r="AG139" s="66"/>
      <c r="CF139" s="68"/>
    </row>
    <row r="140" spans="1:84" ht="17.399999999999999" x14ac:dyDescent="0.35">
      <c r="A140" s="67" t="s">
        <v>777</v>
      </c>
      <c r="B140" s="67"/>
      <c r="C140" s="66"/>
      <c r="D140" s="66">
        <v>27.716190000000001</v>
      </c>
      <c r="E140" s="66"/>
      <c r="F140" s="66"/>
      <c r="G140" s="66"/>
      <c r="H140" s="66"/>
      <c r="I140" s="66"/>
      <c r="J140" s="66"/>
      <c r="K140" s="66"/>
      <c r="L140" s="66"/>
      <c r="M140" s="66"/>
      <c r="N140" s="66"/>
      <c r="O140" s="66"/>
      <c r="P140" s="66"/>
      <c r="Q140" s="66"/>
      <c r="R140" s="66"/>
      <c r="S140" s="66"/>
      <c r="T140" s="66"/>
      <c r="U140" s="66"/>
      <c r="V140" s="66"/>
      <c r="W140" s="66"/>
      <c r="X140" s="66"/>
      <c r="Y140" s="66"/>
      <c r="Z140" s="66"/>
      <c r="AA140" s="66"/>
      <c r="AB140" s="66"/>
      <c r="AC140" s="66"/>
      <c r="AD140" s="66"/>
      <c r="AE140" s="66"/>
      <c r="AF140" s="66"/>
      <c r="AG140" s="66"/>
      <c r="CF140" s="68"/>
    </row>
    <row r="141" spans="1:84" ht="17.399999999999999" x14ac:dyDescent="0.35">
      <c r="A141" s="67" t="s">
        <v>778</v>
      </c>
      <c r="B141" s="67"/>
      <c r="C141" s="66"/>
      <c r="D141" s="66">
        <v>49.145589999999999</v>
      </c>
      <c r="E141" s="66"/>
      <c r="F141" s="66"/>
      <c r="G141" s="66"/>
      <c r="H141" s="66"/>
      <c r="I141" s="66"/>
      <c r="J141" s="66"/>
      <c r="K141" s="66"/>
      <c r="L141" s="66"/>
      <c r="M141" s="66"/>
      <c r="N141" s="66"/>
      <c r="O141" s="66"/>
      <c r="P141" s="66"/>
      <c r="Q141" s="66"/>
      <c r="R141" s="66"/>
      <c r="S141" s="66"/>
      <c r="T141" s="66"/>
      <c r="U141" s="66"/>
      <c r="V141" s="66"/>
      <c r="W141" s="66"/>
      <c r="X141" s="66"/>
      <c r="Y141" s="66"/>
      <c r="Z141" s="66"/>
      <c r="AA141" s="66"/>
      <c r="AB141" s="66"/>
      <c r="AC141" s="66"/>
      <c r="AD141" s="66"/>
      <c r="AE141" s="66"/>
      <c r="AF141" s="66"/>
      <c r="AG141" s="66"/>
      <c r="CF141" s="68"/>
    </row>
    <row r="142" spans="1:84" ht="17.399999999999999" x14ac:dyDescent="0.35">
      <c r="A142" s="67" t="s">
        <v>779</v>
      </c>
      <c r="B142" s="67"/>
      <c r="C142" s="66"/>
      <c r="D142" s="66">
        <v>56.655529999999999</v>
      </c>
      <c r="E142" s="66"/>
      <c r="F142" s="66"/>
      <c r="G142" s="66"/>
      <c r="H142" s="66"/>
      <c r="I142" s="66"/>
      <c r="J142" s="66"/>
      <c r="K142" s="66"/>
      <c r="L142" s="66"/>
      <c r="M142" s="66"/>
      <c r="N142" s="66"/>
      <c r="O142" s="66"/>
      <c r="P142" s="66"/>
      <c r="Q142" s="66"/>
      <c r="R142" s="66"/>
      <c r="S142" s="66"/>
      <c r="T142" s="66"/>
      <c r="U142" s="66"/>
      <c r="V142" s="66"/>
      <c r="W142" s="66"/>
      <c r="X142" s="66"/>
      <c r="Y142" s="66"/>
      <c r="Z142" s="66"/>
      <c r="AA142" s="66"/>
      <c r="AB142" s="66"/>
      <c r="AC142" s="66"/>
      <c r="AD142" s="66"/>
      <c r="AE142" s="66"/>
      <c r="AF142" s="66"/>
      <c r="AG142" s="66"/>
      <c r="CF142" s="68"/>
    </row>
    <row r="143" spans="1:84" ht="17.399999999999999" x14ac:dyDescent="0.35">
      <c r="A143" s="67" t="s">
        <v>780</v>
      </c>
      <c r="B143" s="67"/>
      <c r="C143" s="66"/>
      <c r="D143" s="66">
        <v>59.190460000000002</v>
      </c>
      <c r="E143" s="66"/>
      <c r="F143" s="66"/>
      <c r="G143" s="66"/>
      <c r="H143" s="66"/>
      <c r="I143" s="66"/>
      <c r="J143" s="66"/>
      <c r="K143" s="66"/>
      <c r="L143" s="66"/>
      <c r="M143" s="66"/>
      <c r="N143" s="66"/>
      <c r="O143" s="66"/>
      <c r="P143" s="66"/>
      <c r="Q143" s="66"/>
      <c r="R143" s="66"/>
      <c r="S143" s="66"/>
      <c r="T143" s="66"/>
      <c r="U143" s="66"/>
      <c r="V143" s="66"/>
      <c r="W143" s="66"/>
      <c r="X143" s="66"/>
      <c r="Y143" s="66"/>
      <c r="Z143" s="66"/>
      <c r="AA143" s="66"/>
      <c r="AB143" s="66"/>
      <c r="AC143" s="66"/>
      <c r="AD143" s="66"/>
      <c r="AE143" s="66"/>
      <c r="AF143" s="66"/>
      <c r="AG143" s="66"/>
      <c r="CF143" s="68"/>
    </row>
    <row r="144" spans="1:84" ht="17.399999999999999" x14ac:dyDescent="0.35">
      <c r="A144" s="67" t="s">
        <v>781</v>
      </c>
      <c r="B144" s="67"/>
      <c r="C144" s="66"/>
      <c r="D144" s="66">
        <v>65.817740000000001</v>
      </c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CF144" s="68"/>
    </row>
    <row r="145" spans="1:84" ht="17.399999999999999" x14ac:dyDescent="0.35">
      <c r="A145" s="67" t="s">
        <v>782</v>
      </c>
      <c r="B145" s="67"/>
      <c r="C145" s="66"/>
      <c r="D145" s="66">
        <v>64.83954</v>
      </c>
      <c r="E145" s="66"/>
      <c r="F145" s="66"/>
      <c r="G145" s="66"/>
      <c r="H145" s="66"/>
      <c r="I145" s="66"/>
      <c r="J145" s="66"/>
      <c r="K145" s="66"/>
      <c r="L145" s="66"/>
      <c r="M145" s="66"/>
      <c r="N145" s="66"/>
      <c r="O145" s="66"/>
      <c r="P145" s="66"/>
      <c r="Q145" s="66"/>
      <c r="R145" s="66"/>
      <c r="S145" s="66"/>
      <c r="T145" s="66"/>
      <c r="U145" s="66"/>
      <c r="V145" s="66"/>
      <c r="W145" s="66"/>
      <c r="X145" s="66"/>
      <c r="Y145" s="66"/>
      <c r="Z145" s="66"/>
      <c r="AA145" s="66"/>
      <c r="AB145" s="66"/>
      <c r="AC145" s="66"/>
      <c r="AD145" s="66"/>
      <c r="AE145" s="66"/>
      <c r="AF145" s="66"/>
      <c r="AG145" s="66"/>
      <c r="CF145" s="68"/>
    </row>
    <row r="146" spans="1:84" ht="17.399999999999999" x14ac:dyDescent="0.35">
      <c r="A146" s="67" t="s">
        <v>783</v>
      </c>
      <c r="B146" s="67"/>
      <c r="C146" s="66"/>
      <c r="D146" s="66">
        <v>65.231300000000005</v>
      </c>
      <c r="E146" s="66"/>
      <c r="F146" s="66"/>
      <c r="G146" s="66"/>
      <c r="H146" s="66"/>
      <c r="I146" s="66"/>
      <c r="J146" s="66"/>
      <c r="K146" s="66"/>
      <c r="L146" s="66"/>
      <c r="M146" s="66"/>
      <c r="N146" s="66"/>
      <c r="O146" s="66"/>
      <c r="P146" s="66"/>
      <c r="Q146" s="66"/>
      <c r="R146" s="66"/>
      <c r="S146" s="66"/>
      <c r="T146" s="66"/>
      <c r="U146" s="66"/>
      <c r="V146" s="66"/>
      <c r="W146" s="66"/>
      <c r="X146" s="66"/>
      <c r="Y146" s="66"/>
      <c r="Z146" s="66"/>
      <c r="AA146" s="66"/>
      <c r="AB146" s="66"/>
      <c r="AC146" s="66"/>
      <c r="AD146" s="66"/>
      <c r="AE146" s="66"/>
      <c r="AF146" s="66"/>
      <c r="AG146" s="66"/>
      <c r="CF146" s="68"/>
    </row>
    <row r="147" spans="1:84" ht="17.399999999999999" x14ac:dyDescent="0.35">
      <c r="A147" s="67" t="s">
        <v>784</v>
      </c>
      <c r="B147" s="67"/>
      <c r="C147" s="66"/>
      <c r="D147" s="66">
        <v>67.218919999999997</v>
      </c>
      <c r="E147" s="66"/>
      <c r="F147" s="66"/>
      <c r="G147" s="66"/>
      <c r="H147" s="66"/>
      <c r="I147" s="66"/>
      <c r="J147" s="66"/>
      <c r="K147" s="66"/>
      <c r="L147" s="66"/>
      <c r="M147" s="66"/>
      <c r="N147" s="66"/>
      <c r="O147" s="66"/>
      <c r="P147" s="66"/>
      <c r="Q147" s="66"/>
      <c r="R147" s="66"/>
      <c r="S147" s="66"/>
      <c r="T147" s="66"/>
      <c r="U147" s="66"/>
      <c r="V147" s="66"/>
      <c r="W147" s="66"/>
      <c r="X147" s="66"/>
      <c r="Y147" s="66"/>
      <c r="Z147" s="66"/>
      <c r="AA147" s="66"/>
      <c r="AB147" s="66"/>
      <c r="AC147" s="66"/>
      <c r="AD147" s="66"/>
      <c r="AE147" s="66"/>
      <c r="AF147" s="66"/>
      <c r="AG147" s="66"/>
      <c r="CF147" s="68"/>
    </row>
    <row r="148" spans="1:84" ht="17.399999999999999" x14ac:dyDescent="0.35">
      <c r="A148" s="67" t="s">
        <v>785</v>
      </c>
      <c r="B148" s="67"/>
      <c r="C148" s="66"/>
      <c r="D148" s="66">
        <v>75.125720000000001</v>
      </c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CF148" s="68"/>
    </row>
    <row r="149" spans="1:84" ht="17.399999999999999" x14ac:dyDescent="0.35">
      <c r="A149" s="67" t="s">
        <v>786</v>
      </c>
      <c r="B149" s="67"/>
      <c r="C149" s="66"/>
      <c r="D149" s="66">
        <v>78.501859999999994</v>
      </c>
      <c r="E149" s="66"/>
      <c r="F149" s="66"/>
      <c r="G149" s="66"/>
      <c r="H149" s="66"/>
      <c r="I149" s="66"/>
      <c r="J149" s="66"/>
      <c r="K149" s="66"/>
      <c r="L149" s="66"/>
      <c r="M149" s="66"/>
      <c r="N149" s="66"/>
      <c r="O149" s="66"/>
      <c r="P149" s="66"/>
      <c r="Q149" s="66"/>
      <c r="R149" s="66"/>
      <c r="S149" s="66"/>
      <c r="T149" s="66"/>
      <c r="U149" s="66"/>
      <c r="V149" s="66"/>
      <c r="W149" s="66"/>
      <c r="X149" s="66"/>
      <c r="Y149" s="66"/>
      <c r="Z149" s="66"/>
      <c r="AA149" s="66"/>
      <c r="AB149" s="66"/>
      <c r="AC149" s="66"/>
      <c r="AD149" s="66"/>
      <c r="AE149" s="66"/>
      <c r="AF149" s="66"/>
      <c r="AG149" s="66"/>
      <c r="CF149" s="68"/>
    </row>
    <row r="150" spans="1:84" ht="17.399999999999999" x14ac:dyDescent="0.35">
      <c r="A150" s="67" t="s">
        <v>787</v>
      </c>
      <c r="B150" s="67"/>
      <c r="C150" s="66"/>
      <c r="D150" s="66">
        <v>76.109679999999997</v>
      </c>
      <c r="E150" s="66"/>
      <c r="F150" s="66"/>
      <c r="G150" s="66"/>
      <c r="H150" s="66"/>
      <c r="I150" s="66"/>
      <c r="J150" s="66"/>
      <c r="K150" s="66"/>
      <c r="L150" s="66"/>
      <c r="M150" s="66"/>
      <c r="N150" s="66"/>
      <c r="O150" s="66"/>
      <c r="P150" s="66"/>
      <c r="Q150" s="66"/>
      <c r="R150" s="66"/>
      <c r="S150" s="66"/>
      <c r="T150" s="66"/>
      <c r="U150" s="66"/>
      <c r="V150" s="66"/>
      <c r="W150" s="66"/>
      <c r="X150" s="66"/>
      <c r="Y150" s="66"/>
      <c r="Z150" s="66"/>
      <c r="AA150" s="66"/>
      <c r="AB150" s="66"/>
      <c r="AC150" s="66"/>
      <c r="AD150" s="66"/>
      <c r="AE150" s="66"/>
      <c r="AF150" s="66"/>
      <c r="AG150" s="66"/>
      <c r="CF150" s="68"/>
    </row>
    <row r="151" spans="1:84" ht="17.399999999999999" x14ac:dyDescent="0.35">
      <c r="A151" s="67" t="s">
        <v>788</v>
      </c>
      <c r="B151" s="67"/>
      <c r="C151" s="66"/>
      <c r="D151" s="66">
        <v>46.964419999999997</v>
      </c>
      <c r="E151" s="66"/>
      <c r="F151" s="66"/>
      <c r="G151" s="66"/>
      <c r="H151" s="66"/>
      <c r="I151" s="66"/>
      <c r="J151" s="66"/>
      <c r="K151" s="66"/>
      <c r="L151" s="66"/>
      <c r="M151" s="66"/>
      <c r="N151" s="66"/>
      <c r="O151" s="66"/>
      <c r="P151" s="66"/>
      <c r="Q151" s="66"/>
      <c r="R151" s="66"/>
      <c r="S151" s="66"/>
      <c r="T151" s="66"/>
      <c r="U151" s="66"/>
      <c r="V151" s="66"/>
      <c r="W151" s="66"/>
      <c r="X151" s="66"/>
      <c r="Y151" s="66"/>
      <c r="Z151" s="66"/>
      <c r="AA151" s="66"/>
      <c r="AB151" s="66"/>
      <c r="AC151" s="66"/>
      <c r="AD151" s="66"/>
      <c r="AE151" s="66"/>
      <c r="AF151" s="66"/>
      <c r="AG151" s="66"/>
      <c r="CF151" s="68"/>
    </row>
    <row r="152" spans="1:84" ht="17.399999999999999" x14ac:dyDescent="0.35">
      <c r="A152" s="67" t="s">
        <v>789</v>
      </c>
      <c r="B152" s="67"/>
      <c r="C152" s="66"/>
      <c r="D152" s="66">
        <v>50.001440000000002</v>
      </c>
      <c r="E152" s="66"/>
      <c r="F152" s="66"/>
      <c r="G152" s="66"/>
      <c r="H152" s="66"/>
      <c r="I152" s="66"/>
      <c r="J152" s="66"/>
      <c r="K152" s="66"/>
      <c r="L152" s="66"/>
      <c r="M152" s="66"/>
      <c r="N152" s="66"/>
      <c r="O152" s="66"/>
      <c r="P152" s="66"/>
      <c r="Q152" s="66"/>
      <c r="R152" s="66"/>
      <c r="S152" s="66"/>
      <c r="T152" s="66"/>
      <c r="U152" s="66"/>
      <c r="V152" s="66"/>
      <c r="W152" s="66"/>
      <c r="X152" s="66"/>
      <c r="Y152" s="66"/>
      <c r="Z152" s="66"/>
      <c r="AA152" s="66"/>
      <c r="AB152" s="66"/>
      <c r="AC152" s="66"/>
      <c r="AD152" s="66"/>
      <c r="AE152" s="66"/>
      <c r="AF152" s="66"/>
      <c r="AG152" s="66"/>
      <c r="CF152" s="68"/>
    </row>
    <row r="153" spans="1:84" ht="17.399999999999999" x14ac:dyDescent="0.35">
      <c r="A153" s="67" t="s">
        <v>790</v>
      </c>
      <c r="B153" s="67"/>
      <c r="C153" s="66"/>
      <c r="D153" s="66">
        <v>56.478659999999998</v>
      </c>
      <c r="E153" s="66"/>
      <c r="F153" s="66"/>
      <c r="G153" s="66"/>
      <c r="H153" s="66"/>
      <c r="I153" s="66"/>
      <c r="J153" s="66"/>
      <c r="K153" s="66"/>
      <c r="L153" s="66"/>
      <c r="M153" s="66"/>
      <c r="N153" s="66"/>
      <c r="O153" s="66"/>
      <c r="P153" s="66"/>
      <c r="Q153" s="66"/>
      <c r="R153" s="66"/>
      <c r="S153" s="66"/>
      <c r="T153" s="66"/>
      <c r="U153" s="66"/>
      <c r="V153" s="66"/>
      <c r="W153" s="66"/>
      <c r="X153" s="66"/>
      <c r="Y153" s="66"/>
      <c r="Z153" s="66"/>
      <c r="AA153" s="66"/>
      <c r="AB153" s="66"/>
      <c r="AC153" s="66"/>
      <c r="AD153" s="66"/>
      <c r="AE153" s="66"/>
      <c r="AF153" s="66"/>
      <c r="AG153" s="66"/>
      <c r="CF153" s="68"/>
    </row>
    <row r="154" spans="1:84" ht="17.399999999999999" x14ac:dyDescent="0.35">
      <c r="A154" s="67" t="s">
        <v>791</v>
      </c>
      <c r="B154" s="67"/>
      <c r="C154" s="66"/>
      <c r="D154" s="66">
        <v>62.658540000000002</v>
      </c>
      <c r="E154" s="66"/>
      <c r="F154" s="66"/>
      <c r="G154" s="66"/>
      <c r="H154" s="66"/>
      <c r="I154" s="66"/>
      <c r="J154" s="66"/>
      <c r="K154" s="66"/>
      <c r="L154" s="66"/>
      <c r="M154" s="66"/>
      <c r="N154" s="66"/>
      <c r="O154" s="66"/>
      <c r="P154" s="66"/>
      <c r="Q154" s="66"/>
      <c r="R154" s="66"/>
      <c r="S154" s="66"/>
      <c r="T154" s="66"/>
      <c r="U154" s="66"/>
      <c r="V154" s="66"/>
      <c r="W154" s="66"/>
      <c r="X154" s="66"/>
      <c r="Y154" s="66"/>
      <c r="Z154" s="66"/>
      <c r="AA154" s="66"/>
      <c r="AB154" s="66"/>
      <c r="AC154" s="66"/>
      <c r="AD154" s="66"/>
      <c r="AE154" s="66"/>
      <c r="AF154" s="66"/>
      <c r="AG154" s="66"/>
      <c r="CF154" s="68"/>
    </row>
    <row r="155" spans="1:84" ht="17.399999999999999" x14ac:dyDescent="0.35">
      <c r="A155" s="67" t="s">
        <v>792</v>
      </c>
      <c r="B155" s="67"/>
      <c r="C155" s="66"/>
      <c r="D155" s="66">
        <v>61.77704</v>
      </c>
      <c r="E155" s="66"/>
      <c r="F155" s="66"/>
      <c r="G155" s="66"/>
      <c r="H155" s="66"/>
      <c r="I155" s="66"/>
      <c r="J155" s="66"/>
      <c r="K155" s="66"/>
      <c r="L155" s="66"/>
      <c r="M155" s="66"/>
      <c r="N155" s="66"/>
      <c r="O155" s="66"/>
      <c r="P155" s="66"/>
      <c r="Q155" s="66"/>
      <c r="R155" s="66"/>
      <c r="S155" s="66"/>
      <c r="T155" s="66"/>
      <c r="U155" s="66"/>
      <c r="V155" s="66"/>
      <c r="W155" s="66"/>
      <c r="X155" s="66"/>
      <c r="Y155" s="66"/>
      <c r="Z155" s="66"/>
      <c r="AA155" s="66"/>
      <c r="AB155" s="66"/>
      <c r="AC155" s="66"/>
      <c r="AD155" s="66"/>
      <c r="AE155" s="66"/>
      <c r="AF155" s="66"/>
      <c r="AG155" s="66"/>
      <c r="CF155" s="68"/>
    </row>
    <row r="156" spans="1:84" ht="17.399999999999999" x14ac:dyDescent="0.35">
      <c r="A156" s="67" t="s">
        <v>793</v>
      </c>
      <c r="B156" s="67"/>
      <c r="C156" s="66"/>
      <c r="D156" s="66">
        <v>61.959760000000003</v>
      </c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CF156" s="68"/>
    </row>
    <row r="157" spans="1:84" ht="17.399999999999999" x14ac:dyDescent="0.35">
      <c r="A157" s="67" t="s">
        <v>794</v>
      </c>
      <c r="B157" s="67"/>
      <c r="C157" s="66"/>
      <c r="D157" s="66">
        <v>66.027720000000002</v>
      </c>
      <c r="E157" s="66"/>
      <c r="F157" s="66"/>
      <c r="G157" s="66"/>
      <c r="H157" s="66"/>
      <c r="I157" s="66"/>
      <c r="J157" s="66"/>
      <c r="K157" s="66"/>
      <c r="L157" s="66"/>
      <c r="M157" s="66"/>
      <c r="N157" s="66"/>
      <c r="O157" s="66"/>
      <c r="P157" s="66"/>
      <c r="Q157" s="66"/>
      <c r="R157" s="66"/>
      <c r="S157" s="66"/>
      <c r="T157" s="66"/>
      <c r="U157" s="66"/>
      <c r="V157" s="66"/>
      <c r="W157" s="66"/>
      <c r="X157" s="66"/>
      <c r="Y157" s="66"/>
      <c r="Z157" s="66"/>
      <c r="AA157" s="66"/>
      <c r="AB157" s="66"/>
      <c r="AC157" s="66"/>
      <c r="AD157" s="66"/>
      <c r="AE157" s="66"/>
      <c r="AF157" s="66"/>
      <c r="AG157" s="66"/>
      <c r="CF157" s="68"/>
    </row>
    <row r="158" spans="1:84" ht="17.399999999999999" x14ac:dyDescent="0.35">
      <c r="A158" s="67" t="s">
        <v>795</v>
      </c>
      <c r="B158" s="67"/>
      <c r="C158" s="66"/>
      <c r="D158" s="66">
        <v>65.840779999999995</v>
      </c>
      <c r="E158" s="66"/>
      <c r="F158" s="66"/>
      <c r="G158" s="66"/>
      <c r="H158" s="66"/>
      <c r="I158" s="66"/>
      <c r="J158" s="66"/>
      <c r="K158" s="66"/>
      <c r="L158" s="66"/>
      <c r="M158" s="66"/>
      <c r="N158" s="66"/>
      <c r="O158" s="66"/>
      <c r="P158" s="66"/>
      <c r="Q158" s="66"/>
      <c r="R158" s="66"/>
      <c r="S158" s="66"/>
      <c r="T158" s="66"/>
      <c r="U158" s="66"/>
      <c r="V158" s="66"/>
      <c r="W158" s="66"/>
      <c r="X158" s="66"/>
      <c r="Y158" s="66"/>
      <c r="Z158" s="66"/>
      <c r="AA158" s="66"/>
      <c r="AB158" s="66"/>
      <c r="AC158" s="66"/>
      <c r="AD158" s="66"/>
      <c r="AE158" s="66"/>
      <c r="AF158" s="66"/>
      <c r="AG158" s="66"/>
      <c r="CF158" s="68"/>
    </row>
    <row r="159" spans="1:84" ht="17.399999999999999" x14ac:dyDescent="0.35">
      <c r="A159" s="67" t="s">
        <v>796</v>
      </c>
      <c r="B159" s="67"/>
      <c r="C159" s="66"/>
      <c r="D159" s="66">
        <v>71.792659999999998</v>
      </c>
      <c r="E159" s="66"/>
      <c r="F159" s="66"/>
      <c r="G159" s="66"/>
      <c r="H159" s="66"/>
      <c r="I159" s="66"/>
      <c r="J159" s="66"/>
      <c r="K159" s="66"/>
      <c r="L159" s="66"/>
      <c r="M159" s="66"/>
      <c r="N159" s="66"/>
      <c r="O159" s="66"/>
      <c r="P159" s="66"/>
      <c r="Q159" s="66"/>
      <c r="R159" s="66"/>
      <c r="S159" s="66"/>
      <c r="T159" s="66"/>
      <c r="U159" s="66"/>
      <c r="V159" s="66"/>
      <c r="W159" s="66"/>
      <c r="X159" s="66"/>
      <c r="Y159" s="66"/>
      <c r="Z159" s="66"/>
      <c r="AA159" s="66"/>
      <c r="AB159" s="66"/>
      <c r="AC159" s="66"/>
      <c r="AD159" s="66"/>
      <c r="AE159" s="66"/>
      <c r="AF159" s="66"/>
      <c r="AG159" s="66"/>
      <c r="CF159" s="68"/>
    </row>
    <row r="160" spans="1:84" ht="17.399999999999999" x14ac:dyDescent="0.35">
      <c r="A160" s="67" t="s">
        <v>797</v>
      </c>
      <c r="B160" s="67"/>
      <c r="C160" s="66"/>
      <c r="D160" s="66">
        <v>68.568979999999996</v>
      </c>
      <c r="E160" s="66"/>
      <c r="F160" s="66"/>
      <c r="G160" s="66"/>
      <c r="H160" s="66"/>
      <c r="I160" s="66"/>
      <c r="J160" s="66"/>
      <c r="K160" s="66"/>
      <c r="L160" s="66"/>
      <c r="M160" s="66"/>
      <c r="N160" s="66"/>
      <c r="O160" s="66"/>
      <c r="P160" s="66"/>
      <c r="Q160" s="66"/>
      <c r="R160" s="66"/>
      <c r="S160" s="66"/>
      <c r="T160" s="66"/>
      <c r="U160" s="66"/>
      <c r="V160" s="66"/>
      <c r="W160" s="66"/>
      <c r="X160" s="66"/>
      <c r="Y160" s="66"/>
      <c r="Z160" s="66"/>
      <c r="AA160" s="66"/>
      <c r="AB160" s="66"/>
      <c r="AC160" s="66"/>
      <c r="AD160" s="66"/>
      <c r="AE160" s="66"/>
      <c r="AF160" s="66"/>
      <c r="AG160" s="66"/>
      <c r="CF160" s="68"/>
    </row>
    <row r="161" spans="1:84" ht="17.399999999999999" x14ac:dyDescent="0.35">
      <c r="A161" s="67" t="s">
        <v>798</v>
      </c>
      <c r="B161" s="67"/>
      <c r="C161" s="66"/>
      <c r="D161" s="66">
        <v>138.3963</v>
      </c>
      <c r="E161" s="66"/>
      <c r="F161" s="66"/>
      <c r="G161" s="66"/>
      <c r="H161" s="66"/>
      <c r="I161" s="66"/>
      <c r="J161" s="66"/>
      <c r="K161" s="66"/>
      <c r="L161" s="66"/>
      <c r="M161" s="66"/>
      <c r="N161" s="66"/>
      <c r="O161" s="66"/>
      <c r="P161" s="66"/>
      <c r="Q161" s="66"/>
      <c r="R161" s="66"/>
      <c r="S161" s="66"/>
      <c r="T161" s="66"/>
      <c r="U161" s="66"/>
      <c r="V161" s="66"/>
      <c r="W161" s="66"/>
      <c r="X161" s="66"/>
      <c r="Y161" s="66"/>
      <c r="Z161" s="66"/>
      <c r="AA161" s="66"/>
      <c r="AB161" s="66"/>
      <c r="AC161" s="66"/>
      <c r="AD161" s="66"/>
      <c r="AE161" s="66"/>
      <c r="AF161" s="66"/>
      <c r="AG161" s="66"/>
      <c r="CF161" s="68"/>
    </row>
    <row r="162" spans="1:84" ht="17.399999999999999" x14ac:dyDescent="0.35">
      <c r="A162" s="67" t="s">
        <v>799</v>
      </c>
      <c r="B162" s="67"/>
      <c r="C162" s="66"/>
      <c r="D162" s="66">
        <v>45.502929999999999</v>
      </c>
      <c r="E162" s="66"/>
      <c r="F162" s="66"/>
      <c r="G162" s="66"/>
      <c r="H162" s="66"/>
      <c r="I162" s="66"/>
      <c r="J162" s="66"/>
      <c r="K162" s="66"/>
      <c r="L162" s="66"/>
      <c r="M162" s="66"/>
      <c r="N162" s="66"/>
      <c r="O162" s="66"/>
      <c r="P162" s="66"/>
      <c r="Q162" s="66"/>
      <c r="R162" s="66"/>
      <c r="S162" s="66"/>
      <c r="T162" s="66"/>
      <c r="U162" s="66"/>
      <c r="V162" s="66"/>
      <c r="W162" s="66"/>
      <c r="X162" s="66"/>
      <c r="Y162" s="66"/>
      <c r="Z162" s="66"/>
      <c r="AA162" s="66"/>
      <c r="AB162" s="66"/>
      <c r="AC162" s="66"/>
      <c r="AD162" s="66"/>
      <c r="AE162" s="66"/>
      <c r="AF162" s="66"/>
      <c r="AG162" s="66"/>
      <c r="CF162" s="68"/>
    </row>
    <row r="163" spans="1:84" ht="17.399999999999999" x14ac:dyDescent="0.35">
      <c r="A163" s="67" t="s">
        <v>800</v>
      </c>
      <c r="B163" s="67"/>
      <c r="C163" s="66"/>
      <c r="D163" s="66">
        <v>52.745899999999999</v>
      </c>
      <c r="E163" s="66"/>
      <c r="F163" s="66"/>
      <c r="G163" s="66"/>
      <c r="H163" s="66"/>
      <c r="I163" s="66"/>
      <c r="J163" s="66"/>
      <c r="K163" s="66"/>
      <c r="L163" s="66"/>
      <c r="M163" s="66"/>
      <c r="N163" s="66"/>
      <c r="O163" s="66"/>
      <c r="P163" s="66"/>
      <c r="Q163" s="66"/>
      <c r="R163" s="66"/>
      <c r="S163" s="66"/>
      <c r="T163" s="66"/>
      <c r="U163" s="66"/>
      <c r="V163" s="66"/>
      <c r="W163" s="66"/>
      <c r="X163" s="66"/>
      <c r="Y163" s="66"/>
      <c r="Z163" s="66"/>
      <c r="AA163" s="66"/>
      <c r="AB163" s="66"/>
      <c r="AC163" s="66"/>
      <c r="AD163" s="66"/>
      <c r="AE163" s="66"/>
      <c r="AF163" s="66"/>
      <c r="AG163" s="66"/>
      <c r="CF163" s="68"/>
    </row>
    <row r="164" spans="1:84" ht="17.399999999999999" x14ac:dyDescent="0.35">
      <c r="A164" s="67" t="s">
        <v>801</v>
      </c>
      <c r="B164" s="67"/>
      <c r="C164" s="66"/>
      <c r="D164" s="66">
        <v>61.321599999999997</v>
      </c>
      <c r="E164" s="66"/>
      <c r="F164" s="66"/>
      <c r="G164" s="66"/>
      <c r="H164" s="66"/>
      <c r="I164" s="66"/>
      <c r="J164" s="66"/>
      <c r="K164" s="66"/>
      <c r="L164" s="66"/>
      <c r="M164" s="66"/>
      <c r="N164" s="66"/>
      <c r="O164" s="66"/>
      <c r="P164" s="66"/>
      <c r="Q164" s="66"/>
      <c r="R164" s="66"/>
      <c r="S164" s="66"/>
      <c r="T164" s="66"/>
      <c r="U164" s="66"/>
      <c r="V164" s="66"/>
      <c r="W164" s="66"/>
      <c r="X164" s="66"/>
      <c r="Y164" s="66"/>
      <c r="Z164" s="66"/>
      <c r="AA164" s="66"/>
      <c r="AB164" s="66"/>
      <c r="AC164" s="66"/>
      <c r="AD164" s="66"/>
      <c r="AE164" s="66"/>
      <c r="AF164" s="66"/>
      <c r="AG164" s="66"/>
      <c r="CF164" s="68"/>
    </row>
    <row r="165" spans="1:84" ht="17.399999999999999" x14ac:dyDescent="0.35">
      <c r="A165" s="67" t="s">
        <v>802</v>
      </c>
      <c r="B165" s="67"/>
      <c r="C165" s="66"/>
      <c r="D165" s="66">
        <v>61.434080000000002</v>
      </c>
      <c r="E165" s="66"/>
      <c r="F165" s="66"/>
      <c r="G165" s="66"/>
      <c r="H165" s="66"/>
      <c r="I165" s="66"/>
      <c r="J165" s="66"/>
      <c r="K165" s="66"/>
      <c r="L165" s="66"/>
      <c r="M165" s="66"/>
      <c r="N165" s="66"/>
      <c r="O165" s="66"/>
      <c r="P165" s="66"/>
      <c r="Q165" s="66"/>
      <c r="R165" s="66"/>
      <c r="S165" s="66"/>
      <c r="T165" s="66"/>
      <c r="U165" s="66"/>
      <c r="V165" s="66"/>
      <c r="W165" s="66"/>
      <c r="X165" s="66"/>
      <c r="Y165" s="66"/>
      <c r="Z165" s="66"/>
      <c r="AA165" s="66"/>
      <c r="AB165" s="66"/>
      <c r="AC165" s="66"/>
      <c r="AD165" s="66"/>
      <c r="AE165" s="66"/>
      <c r="AF165" s="66"/>
      <c r="AG165" s="66"/>
      <c r="CF165" s="68"/>
    </row>
    <row r="166" spans="1:84" ht="17.399999999999999" x14ac:dyDescent="0.35">
      <c r="A166" s="67" t="s">
        <v>803</v>
      </c>
      <c r="B166" s="67"/>
      <c r="C166" s="66"/>
      <c r="D166" s="66">
        <v>64.852519999999998</v>
      </c>
      <c r="E166" s="66"/>
      <c r="F166" s="66"/>
      <c r="G166" s="66"/>
      <c r="H166" s="66"/>
      <c r="I166" s="66"/>
      <c r="J166" s="66"/>
      <c r="K166" s="66"/>
      <c r="L166" s="66"/>
      <c r="M166" s="66"/>
      <c r="N166" s="66"/>
      <c r="O166" s="66"/>
      <c r="P166" s="66"/>
      <c r="Q166" s="66"/>
      <c r="R166" s="66"/>
      <c r="S166" s="66"/>
      <c r="T166" s="66"/>
      <c r="U166" s="66"/>
      <c r="V166" s="66"/>
      <c r="W166" s="66"/>
      <c r="X166" s="66"/>
      <c r="Y166" s="66"/>
      <c r="Z166" s="66"/>
      <c r="AA166" s="66"/>
      <c r="AB166" s="66"/>
      <c r="AC166" s="66"/>
      <c r="AD166" s="66"/>
      <c r="AE166" s="66"/>
      <c r="AF166" s="66"/>
      <c r="AG166" s="66"/>
      <c r="CF166" s="68"/>
    </row>
    <row r="167" spans="1:84" ht="17.399999999999999" x14ac:dyDescent="0.35">
      <c r="A167" s="67" t="s">
        <v>804</v>
      </c>
      <c r="B167" s="67"/>
      <c r="C167" s="66"/>
      <c r="D167" s="66">
        <v>66.196340000000006</v>
      </c>
      <c r="E167" s="66"/>
      <c r="F167" s="66"/>
      <c r="G167" s="66"/>
      <c r="H167" s="66"/>
      <c r="I167" s="66"/>
      <c r="J167" s="66"/>
      <c r="K167" s="66"/>
      <c r="L167" s="66"/>
      <c r="M167" s="66"/>
      <c r="N167" s="66"/>
      <c r="O167" s="66"/>
      <c r="P167" s="66"/>
      <c r="Q167" s="66"/>
      <c r="R167" s="66"/>
      <c r="S167" s="66"/>
      <c r="T167" s="66"/>
      <c r="U167" s="66"/>
      <c r="V167" s="66"/>
      <c r="W167" s="66"/>
      <c r="X167" s="66"/>
      <c r="Y167" s="66"/>
      <c r="Z167" s="66"/>
      <c r="AA167" s="66"/>
      <c r="AB167" s="66"/>
      <c r="AC167" s="66"/>
      <c r="AD167" s="66"/>
      <c r="AE167" s="66"/>
      <c r="AF167" s="66"/>
      <c r="AG167" s="66"/>
      <c r="CF167" s="68"/>
    </row>
    <row r="168" spans="1:84" ht="17.399999999999999" x14ac:dyDescent="0.35">
      <c r="A168" s="67" t="s">
        <v>805</v>
      </c>
      <c r="B168" s="67"/>
      <c r="C168" s="66"/>
      <c r="D168" s="66">
        <v>65.910619999999994</v>
      </c>
      <c r="E168" s="66"/>
      <c r="F168" s="66"/>
      <c r="G168" s="66"/>
      <c r="H168" s="66"/>
      <c r="I168" s="66"/>
      <c r="J168" s="66"/>
      <c r="K168" s="66"/>
      <c r="L168" s="66"/>
      <c r="M168" s="66"/>
      <c r="N168" s="66"/>
      <c r="O168" s="66"/>
      <c r="P168" s="66"/>
      <c r="Q168" s="66"/>
      <c r="R168" s="66"/>
      <c r="S168" s="66"/>
      <c r="T168" s="66"/>
      <c r="U168" s="66"/>
      <c r="V168" s="66"/>
      <c r="W168" s="66"/>
      <c r="X168" s="66"/>
      <c r="Y168" s="66"/>
      <c r="Z168" s="66"/>
      <c r="AA168" s="66"/>
      <c r="AB168" s="66"/>
      <c r="AC168" s="66"/>
      <c r="AD168" s="66"/>
      <c r="AE168" s="66"/>
      <c r="AF168" s="66"/>
      <c r="AG168" s="66"/>
      <c r="CF168" s="68"/>
    </row>
    <row r="169" spans="1:84" ht="17.399999999999999" x14ac:dyDescent="0.35">
      <c r="A169" s="67" t="s">
        <v>806</v>
      </c>
      <c r="B169" s="67"/>
      <c r="C169" s="66"/>
      <c r="D169" s="66">
        <v>63.14676</v>
      </c>
      <c r="E169" s="66"/>
      <c r="F169" s="66"/>
      <c r="G169" s="66"/>
      <c r="H169" s="66"/>
      <c r="I169" s="66"/>
      <c r="J169" s="66"/>
      <c r="K169" s="66"/>
      <c r="L169" s="66"/>
      <c r="M169" s="66"/>
      <c r="N169" s="66"/>
      <c r="O169" s="66"/>
      <c r="P169" s="66"/>
      <c r="Q169" s="66"/>
      <c r="R169" s="66"/>
      <c r="S169" s="66"/>
      <c r="T169" s="66"/>
      <c r="U169" s="66"/>
      <c r="V169" s="66"/>
      <c r="W169" s="66"/>
      <c r="X169" s="66"/>
      <c r="Y169" s="66"/>
      <c r="Z169" s="66"/>
      <c r="AA169" s="66"/>
      <c r="AB169" s="66"/>
      <c r="AC169" s="66"/>
      <c r="AD169" s="66"/>
      <c r="AE169" s="66"/>
      <c r="AF169" s="66"/>
      <c r="AG169" s="66"/>
      <c r="CF169" s="68"/>
    </row>
    <row r="170" spans="1:84" ht="17.399999999999999" x14ac:dyDescent="0.35">
      <c r="A170" s="67" t="s">
        <v>807</v>
      </c>
      <c r="B170" s="67"/>
      <c r="C170" s="66"/>
      <c r="D170" s="66">
        <v>73.868960000000001</v>
      </c>
      <c r="E170" s="66"/>
      <c r="F170" s="66"/>
      <c r="G170" s="66"/>
      <c r="H170" s="66"/>
      <c r="I170" s="66"/>
      <c r="J170" s="66"/>
      <c r="K170" s="66"/>
      <c r="L170" s="66"/>
      <c r="M170" s="66"/>
      <c r="N170" s="66"/>
      <c r="O170" s="66"/>
      <c r="P170" s="66"/>
      <c r="Q170" s="66"/>
      <c r="R170" s="66"/>
      <c r="S170" s="66"/>
      <c r="T170" s="66"/>
      <c r="U170" s="66"/>
      <c r="V170" s="66"/>
      <c r="W170" s="66"/>
      <c r="X170" s="66"/>
      <c r="Y170" s="66"/>
      <c r="Z170" s="66"/>
      <c r="AA170" s="66"/>
      <c r="AB170" s="66"/>
      <c r="AC170" s="66"/>
      <c r="AD170" s="66"/>
      <c r="AE170" s="66"/>
      <c r="AF170" s="66"/>
      <c r="AG170" s="66"/>
      <c r="CF170" s="68"/>
    </row>
    <row r="171" spans="1:84" ht="17.399999999999999" x14ac:dyDescent="0.35">
      <c r="A171" s="67" t="s">
        <v>808</v>
      </c>
      <c r="B171" s="67"/>
      <c r="C171" s="66"/>
      <c r="D171" s="66">
        <v>80.907359999999997</v>
      </c>
      <c r="E171" s="66"/>
      <c r="F171" s="66"/>
      <c r="G171" s="66"/>
      <c r="H171" s="66"/>
      <c r="I171" s="66"/>
      <c r="J171" s="66"/>
      <c r="K171" s="66"/>
      <c r="L171" s="66"/>
      <c r="M171" s="66"/>
      <c r="N171" s="66"/>
      <c r="O171" s="66"/>
      <c r="P171" s="66"/>
      <c r="Q171" s="66"/>
      <c r="R171" s="66"/>
      <c r="S171" s="66"/>
      <c r="T171" s="66"/>
      <c r="U171" s="66"/>
      <c r="V171" s="66"/>
      <c r="W171" s="66"/>
      <c r="X171" s="66"/>
      <c r="Y171" s="66"/>
      <c r="Z171" s="66"/>
      <c r="AA171" s="66"/>
      <c r="AB171" s="66"/>
      <c r="AC171" s="66"/>
      <c r="AD171" s="66"/>
      <c r="AE171" s="66"/>
      <c r="AF171" s="66"/>
      <c r="AG171" s="66"/>
      <c r="CF171" s="68"/>
    </row>
    <row r="172" spans="1:84" ht="17.399999999999999" x14ac:dyDescent="0.35">
      <c r="A172" s="67" t="s">
        <v>809</v>
      </c>
      <c r="B172" s="67"/>
      <c r="C172" s="66"/>
      <c r="D172" s="66">
        <v>55.553269999999998</v>
      </c>
      <c r="E172" s="66"/>
      <c r="F172" s="66"/>
      <c r="G172" s="66"/>
      <c r="H172" s="66"/>
      <c r="I172" s="66"/>
      <c r="J172" s="66"/>
      <c r="K172" s="66"/>
      <c r="L172" s="66"/>
      <c r="M172" s="66"/>
      <c r="N172" s="66"/>
      <c r="O172" s="66"/>
      <c r="P172" s="66"/>
      <c r="Q172" s="66"/>
      <c r="R172" s="66"/>
      <c r="S172" s="66"/>
      <c r="T172" s="66"/>
      <c r="U172" s="66"/>
      <c r="V172" s="66"/>
      <c r="W172" s="66"/>
      <c r="X172" s="66"/>
      <c r="Y172" s="66"/>
      <c r="Z172" s="66"/>
      <c r="AA172" s="66"/>
      <c r="AB172" s="66"/>
      <c r="AC172" s="66"/>
      <c r="AD172" s="66"/>
      <c r="AE172" s="66"/>
      <c r="AF172" s="66"/>
      <c r="AG172" s="66"/>
      <c r="CF172" s="68"/>
    </row>
    <row r="173" spans="1:84" ht="17.399999999999999" x14ac:dyDescent="0.35">
      <c r="A173" s="67" t="s">
        <v>810</v>
      </c>
      <c r="B173" s="67"/>
      <c r="C173" s="66"/>
      <c r="D173" s="66">
        <v>36.90699</v>
      </c>
      <c r="E173" s="66"/>
      <c r="F173" s="66"/>
      <c r="G173" s="66"/>
      <c r="H173" s="66"/>
      <c r="I173" s="66"/>
      <c r="J173" s="66"/>
      <c r="K173" s="66"/>
      <c r="L173" s="66"/>
      <c r="M173" s="66"/>
      <c r="N173" s="66"/>
      <c r="O173" s="66"/>
      <c r="P173" s="66"/>
      <c r="Q173" s="66"/>
      <c r="R173" s="66"/>
      <c r="S173" s="66"/>
      <c r="T173" s="66"/>
      <c r="U173" s="66"/>
      <c r="V173" s="66"/>
      <c r="W173" s="66"/>
      <c r="X173" s="66"/>
      <c r="Y173" s="66"/>
      <c r="Z173" s="66"/>
      <c r="AA173" s="66"/>
      <c r="AB173" s="66"/>
      <c r="AC173" s="66"/>
      <c r="AD173" s="66"/>
      <c r="AE173" s="66"/>
      <c r="AF173" s="66"/>
      <c r="AG173" s="66"/>
      <c r="CF173" s="68"/>
    </row>
    <row r="174" spans="1:84" ht="17.399999999999999" x14ac:dyDescent="0.35">
      <c r="A174" s="67" t="s">
        <v>811</v>
      </c>
      <c r="B174" s="67"/>
      <c r="C174" s="66"/>
      <c r="D174" s="66">
        <v>60.13552</v>
      </c>
      <c r="E174" s="66"/>
      <c r="F174" s="66"/>
      <c r="G174" s="66"/>
      <c r="H174" s="66"/>
      <c r="I174" s="66"/>
      <c r="J174" s="66"/>
      <c r="K174" s="66"/>
      <c r="L174" s="66"/>
      <c r="M174" s="66"/>
      <c r="N174" s="66"/>
      <c r="O174" s="66"/>
      <c r="P174" s="66"/>
      <c r="Q174" s="66"/>
      <c r="R174" s="66"/>
      <c r="S174" s="66"/>
      <c r="T174" s="66"/>
      <c r="U174" s="66"/>
      <c r="V174" s="66"/>
      <c r="W174" s="66"/>
      <c r="X174" s="66"/>
      <c r="Y174" s="66"/>
      <c r="Z174" s="66"/>
      <c r="AA174" s="66"/>
      <c r="AB174" s="66"/>
      <c r="AC174" s="66"/>
      <c r="AD174" s="66"/>
      <c r="AE174" s="66"/>
      <c r="AF174" s="66"/>
      <c r="AG174" s="66"/>
      <c r="CF174" s="68"/>
    </row>
    <row r="175" spans="1:84" ht="17.399999999999999" x14ac:dyDescent="0.35">
      <c r="A175" s="67" t="s">
        <v>812</v>
      </c>
      <c r="B175" s="67"/>
      <c r="C175" s="66"/>
      <c r="D175" s="66">
        <v>64.131559999999993</v>
      </c>
      <c r="E175" s="66"/>
      <c r="F175" s="66"/>
      <c r="G175" s="66"/>
      <c r="H175" s="66"/>
      <c r="I175" s="66"/>
      <c r="J175" s="66"/>
      <c r="K175" s="66"/>
      <c r="L175" s="66"/>
      <c r="M175" s="66"/>
      <c r="N175" s="66"/>
      <c r="O175" s="66"/>
      <c r="P175" s="66"/>
      <c r="Q175" s="66"/>
      <c r="R175" s="66"/>
      <c r="S175" s="66"/>
      <c r="T175" s="66"/>
      <c r="U175" s="66"/>
      <c r="V175" s="66"/>
      <c r="W175" s="66"/>
      <c r="X175" s="66"/>
      <c r="Y175" s="66"/>
      <c r="Z175" s="66"/>
      <c r="AA175" s="66"/>
      <c r="AB175" s="66"/>
      <c r="AC175" s="66"/>
      <c r="AD175" s="66"/>
      <c r="AE175" s="66"/>
      <c r="AF175" s="66"/>
      <c r="AG175" s="66"/>
      <c r="CF175" s="68"/>
    </row>
    <row r="176" spans="1:84" ht="17.399999999999999" x14ac:dyDescent="0.35">
      <c r="A176" s="67" t="s">
        <v>813</v>
      </c>
      <c r="B176" s="67"/>
      <c r="C176" s="66"/>
      <c r="D176" s="66">
        <v>66.4422</v>
      </c>
      <c r="E176" s="66"/>
      <c r="F176" s="66"/>
      <c r="G176" s="66"/>
      <c r="H176" s="66"/>
      <c r="I176" s="66"/>
      <c r="J176" s="66"/>
      <c r="K176" s="66"/>
      <c r="L176" s="66"/>
      <c r="M176" s="66"/>
      <c r="N176" s="66"/>
      <c r="O176" s="66"/>
      <c r="P176" s="66"/>
      <c r="Q176" s="66"/>
      <c r="R176" s="66"/>
      <c r="S176" s="66"/>
      <c r="T176" s="66"/>
      <c r="U176" s="66"/>
      <c r="V176" s="66"/>
      <c r="W176" s="66"/>
      <c r="X176" s="66"/>
      <c r="Y176" s="66"/>
      <c r="Z176" s="66"/>
      <c r="AA176" s="66"/>
      <c r="AB176" s="66"/>
      <c r="AC176" s="66"/>
      <c r="AD176" s="66"/>
      <c r="AE176" s="66"/>
      <c r="AF176" s="66"/>
      <c r="AG176" s="66"/>
      <c r="CF176" s="68"/>
    </row>
    <row r="177" spans="1:84" ht="17.399999999999999" x14ac:dyDescent="0.35">
      <c r="A177" s="67" t="s">
        <v>814</v>
      </c>
      <c r="B177" s="67"/>
      <c r="C177" s="66"/>
      <c r="D177" s="66">
        <v>67.090400000000002</v>
      </c>
      <c r="E177" s="66"/>
      <c r="F177" s="66"/>
      <c r="G177" s="66"/>
      <c r="H177" s="66"/>
      <c r="I177" s="66"/>
      <c r="J177" s="66"/>
      <c r="K177" s="66"/>
      <c r="L177" s="66"/>
      <c r="M177" s="66"/>
      <c r="N177" s="66"/>
      <c r="O177" s="66"/>
      <c r="P177" s="66"/>
      <c r="Q177" s="66"/>
      <c r="R177" s="66"/>
      <c r="S177" s="66"/>
      <c r="T177" s="66"/>
      <c r="U177" s="66"/>
      <c r="V177" s="66"/>
      <c r="W177" s="66"/>
      <c r="X177" s="66"/>
      <c r="Y177" s="66"/>
      <c r="Z177" s="66"/>
      <c r="AA177" s="66"/>
      <c r="AB177" s="66"/>
      <c r="AC177" s="66"/>
      <c r="AD177" s="66"/>
      <c r="AE177" s="66"/>
      <c r="AF177" s="66"/>
      <c r="AG177" s="66"/>
      <c r="CF177" s="68"/>
    </row>
    <row r="178" spans="1:84" ht="17.399999999999999" x14ac:dyDescent="0.35">
      <c r="A178" s="67" t="s">
        <v>815</v>
      </c>
      <c r="B178" s="67"/>
      <c r="C178" s="66"/>
      <c r="D178" s="66">
        <v>76.161079999999998</v>
      </c>
      <c r="E178" s="66"/>
      <c r="F178" s="66"/>
      <c r="G178" s="66"/>
      <c r="H178" s="66"/>
      <c r="I178" s="66"/>
      <c r="J178" s="66"/>
      <c r="K178" s="66"/>
      <c r="L178" s="66"/>
      <c r="M178" s="66"/>
      <c r="N178" s="66"/>
      <c r="O178" s="66"/>
      <c r="P178" s="66"/>
      <c r="Q178" s="66"/>
      <c r="R178" s="66"/>
      <c r="S178" s="66"/>
      <c r="T178" s="66"/>
      <c r="U178" s="66"/>
      <c r="V178" s="66"/>
      <c r="W178" s="66"/>
      <c r="X178" s="66"/>
      <c r="Y178" s="66"/>
      <c r="Z178" s="66"/>
      <c r="AA178" s="66"/>
      <c r="AB178" s="66"/>
      <c r="AC178" s="66"/>
      <c r="AD178" s="66"/>
      <c r="AE178" s="66"/>
      <c r="AF178" s="66"/>
      <c r="AG178" s="66"/>
      <c r="CF178" s="68"/>
    </row>
    <row r="179" spans="1:84" ht="17.399999999999999" x14ac:dyDescent="0.35">
      <c r="A179" s="67" t="s">
        <v>816</v>
      </c>
      <c r="B179" s="67"/>
      <c r="C179" s="66"/>
      <c r="D179" s="66">
        <v>73.998360000000005</v>
      </c>
      <c r="E179" s="66"/>
      <c r="F179" s="66"/>
      <c r="G179" s="66"/>
      <c r="H179" s="66"/>
      <c r="I179" s="66"/>
      <c r="J179" s="66"/>
      <c r="K179" s="66"/>
      <c r="L179" s="66"/>
      <c r="M179" s="66"/>
      <c r="N179" s="66"/>
      <c r="O179" s="66"/>
      <c r="P179" s="66"/>
      <c r="Q179" s="66"/>
      <c r="R179" s="66"/>
      <c r="S179" s="66"/>
      <c r="T179" s="66"/>
      <c r="U179" s="66"/>
      <c r="V179" s="66"/>
      <c r="W179" s="66"/>
      <c r="X179" s="66"/>
      <c r="Y179" s="66"/>
      <c r="Z179" s="66"/>
      <c r="AA179" s="66"/>
      <c r="AB179" s="66"/>
      <c r="AC179" s="66"/>
      <c r="AD179" s="66"/>
      <c r="AE179" s="66"/>
      <c r="AF179" s="66"/>
      <c r="AG179" s="66"/>
      <c r="CF179" s="68"/>
    </row>
    <row r="180" spans="1:84" ht="17.399999999999999" x14ac:dyDescent="0.35">
      <c r="A180" s="67" t="s">
        <v>817</v>
      </c>
      <c r="B180" s="67"/>
      <c r="C180" s="66"/>
      <c r="D180" s="66">
        <v>79.13964</v>
      </c>
      <c r="E180" s="66"/>
      <c r="F180" s="66"/>
      <c r="G180" s="66"/>
      <c r="H180" s="66"/>
      <c r="I180" s="66"/>
      <c r="J180" s="66"/>
      <c r="K180" s="66"/>
      <c r="L180" s="66"/>
      <c r="M180" s="66"/>
      <c r="N180" s="66"/>
      <c r="O180" s="66"/>
      <c r="P180" s="66"/>
      <c r="Q180" s="66"/>
      <c r="R180" s="66"/>
      <c r="S180" s="66"/>
      <c r="T180" s="66"/>
      <c r="U180" s="66"/>
      <c r="V180" s="66"/>
      <c r="W180" s="66"/>
      <c r="X180" s="66"/>
      <c r="Y180" s="66"/>
      <c r="Z180" s="66"/>
      <c r="AA180" s="66"/>
      <c r="AB180" s="66"/>
      <c r="AC180" s="66"/>
      <c r="AD180" s="66"/>
      <c r="AE180" s="66"/>
      <c r="AF180" s="66"/>
      <c r="AG180" s="66"/>
      <c r="CF180" s="68"/>
    </row>
    <row r="181" spans="1:84" ht="17.399999999999999" x14ac:dyDescent="0.35">
      <c r="A181" s="67" t="s">
        <v>818</v>
      </c>
      <c r="B181" s="67"/>
      <c r="C181" s="66"/>
      <c r="D181" s="66">
        <v>73.185460000000006</v>
      </c>
      <c r="E181" s="66"/>
      <c r="F181" s="66"/>
      <c r="G181" s="66"/>
      <c r="H181" s="66"/>
      <c r="I181" s="66"/>
      <c r="J181" s="66"/>
      <c r="K181" s="66"/>
      <c r="L181" s="66"/>
      <c r="M181" s="66"/>
      <c r="N181" s="66"/>
      <c r="O181" s="66"/>
      <c r="P181" s="66"/>
      <c r="Q181" s="66"/>
      <c r="R181" s="66"/>
      <c r="S181" s="66"/>
      <c r="T181" s="66"/>
      <c r="U181" s="66"/>
      <c r="V181" s="66"/>
      <c r="W181" s="66"/>
      <c r="X181" s="66"/>
      <c r="Y181" s="66"/>
      <c r="Z181" s="66"/>
      <c r="AA181" s="66"/>
      <c r="AB181" s="66"/>
      <c r="AC181" s="66"/>
      <c r="AD181" s="66"/>
      <c r="AE181" s="66"/>
      <c r="AF181" s="66"/>
      <c r="AG181" s="66"/>
      <c r="CF181" s="68"/>
    </row>
    <row r="182" spans="1:84" ht="17.399999999999999" x14ac:dyDescent="0.35">
      <c r="A182" s="67" t="s">
        <v>819</v>
      </c>
      <c r="B182" s="67"/>
      <c r="C182" s="66"/>
      <c r="D182" s="66">
        <v>76.784260000000003</v>
      </c>
      <c r="E182" s="66"/>
      <c r="F182" s="66"/>
      <c r="G182" s="66"/>
      <c r="H182" s="66"/>
      <c r="I182" s="66"/>
      <c r="J182" s="66"/>
      <c r="K182" s="66"/>
      <c r="L182" s="66"/>
      <c r="M182" s="66"/>
      <c r="N182" s="66"/>
      <c r="O182" s="66"/>
      <c r="P182" s="66"/>
      <c r="Q182" s="66"/>
      <c r="R182" s="66"/>
      <c r="S182" s="66"/>
      <c r="T182" s="66"/>
      <c r="U182" s="66"/>
      <c r="V182" s="66"/>
      <c r="W182" s="66"/>
      <c r="X182" s="66"/>
      <c r="Y182" s="66"/>
      <c r="Z182" s="66"/>
      <c r="AA182" s="66"/>
      <c r="AB182" s="66"/>
      <c r="AC182" s="66"/>
      <c r="AD182" s="66"/>
      <c r="AE182" s="66"/>
      <c r="AF182" s="66"/>
      <c r="AG182" s="66"/>
      <c r="CF182" s="68"/>
    </row>
    <row r="183" spans="1:84" ht="17.399999999999999" x14ac:dyDescent="0.35">
      <c r="A183" s="67" t="s">
        <v>820</v>
      </c>
      <c r="B183" s="67"/>
      <c r="C183" s="66"/>
      <c r="D183" s="66">
        <v>57.705179999999999</v>
      </c>
      <c r="E183" s="66"/>
      <c r="F183" s="66"/>
      <c r="G183" s="66"/>
      <c r="H183" s="66"/>
      <c r="I183" s="66"/>
      <c r="J183" s="66"/>
      <c r="K183" s="66"/>
      <c r="L183" s="66"/>
      <c r="M183" s="66"/>
      <c r="N183" s="66"/>
      <c r="O183" s="66"/>
      <c r="P183" s="66"/>
      <c r="Q183" s="66"/>
      <c r="R183" s="66"/>
      <c r="S183" s="66"/>
      <c r="T183" s="66"/>
      <c r="U183" s="66"/>
      <c r="V183" s="66"/>
      <c r="W183" s="66"/>
      <c r="X183" s="66"/>
      <c r="Y183" s="66"/>
      <c r="Z183" s="66"/>
      <c r="AA183" s="66"/>
      <c r="AB183" s="66"/>
      <c r="AC183" s="66"/>
      <c r="AD183" s="66"/>
      <c r="AE183" s="66"/>
      <c r="AF183" s="66"/>
      <c r="AG183" s="66"/>
      <c r="CF183" s="68"/>
    </row>
    <row r="184" spans="1:84" ht="17.399999999999999" x14ac:dyDescent="0.35">
      <c r="A184" s="67" t="s">
        <v>821</v>
      </c>
      <c r="B184" s="67"/>
      <c r="C184" s="66"/>
      <c r="D184" s="66">
        <v>69.496520000000004</v>
      </c>
      <c r="E184" s="66"/>
      <c r="F184" s="66"/>
      <c r="G184" s="66"/>
      <c r="H184" s="66"/>
      <c r="I184" s="66"/>
      <c r="J184" s="66"/>
      <c r="K184" s="66"/>
      <c r="L184" s="66"/>
      <c r="M184" s="66"/>
      <c r="N184" s="66"/>
      <c r="O184" s="66"/>
      <c r="P184" s="66"/>
      <c r="Q184" s="66"/>
      <c r="R184" s="66"/>
      <c r="S184" s="66"/>
      <c r="T184" s="66"/>
      <c r="U184" s="66"/>
      <c r="V184" s="66"/>
      <c r="W184" s="66"/>
      <c r="X184" s="66"/>
      <c r="Y184" s="66"/>
      <c r="Z184" s="66"/>
      <c r="AA184" s="66"/>
      <c r="AB184" s="66"/>
      <c r="AC184" s="66"/>
      <c r="AD184" s="66"/>
      <c r="AE184" s="66"/>
      <c r="AF184" s="66"/>
      <c r="AG184" s="66"/>
      <c r="CF184" s="68"/>
    </row>
    <row r="185" spans="1:84" ht="17.399999999999999" x14ac:dyDescent="0.35">
      <c r="A185" s="67" t="s">
        <v>822</v>
      </c>
      <c r="B185" s="67"/>
      <c r="C185" s="66"/>
      <c r="D185" s="66">
        <v>68.094279999999998</v>
      </c>
      <c r="E185" s="66"/>
      <c r="F185" s="66"/>
      <c r="G185" s="66"/>
      <c r="H185" s="66"/>
      <c r="I185" s="66"/>
      <c r="J185" s="66"/>
      <c r="K185" s="66"/>
      <c r="L185" s="66"/>
      <c r="M185" s="66"/>
      <c r="N185" s="66"/>
      <c r="O185" s="66"/>
      <c r="P185" s="66"/>
      <c r="Q185" s="66"/>
      <c r="R185" s="66"/>
      <c r="S185" s="66"/>
      <c r="T185" s="66"/>
      <c r="U185" s="66"/>
      <c r="V185" s="66"/>
      <c r="W185" s="66"/>
      <c r="X185" s="66"/>
      <c r="Y185" s="66"/>
      <c r="Z185" s="66"/>
      <c r="AA185" s="66"/>
      <c r="AB185" s="66"/>
      <c r="AC185" s="66"/>
      <c r="AD185" s="66"/>
      <c r="AE185" s="66"/>
      <c r="AF185" s="66"/>
      <c r="AG185" s="66"/>
      <c r="CF185" s="68"/>
    </row>
    <row r="186" spans="1:84" ht="17.399999999999999" x14ac:dyDescent="0.35">
      <c r="A186" s="67" t="s">
        <v>823</v>
      </c>
      <c r="B186" s="67"/>
      <c r="C186" s="66"/>
      <c r="D186" s="66">
        <v>73.424239999999998</v>
      </c>
      <c r="E186" s="66"/>
      <c r="F186" s="66"/>
      <c r="G186" s="66"/>
      <c r="H186" s="66"/>
      <c r="I186" s="66"/>
      <c r="J186" s="66"/>
      <c r="K186" s="66"/>
      <c r="L186" s="66"/>
      <c r="M186" s="66"/>
      <c r="N186" s="66"/>
      <c r="O186" s="66"/>
      <c r="P186" s="66"/>
      <c r="Q186" s="66"/>
      <c r="R186" s="66"/>
      <c r="S186" s="66"/>
      <c r="T186" s="66"/>
      <c r="U186" s="66"/>
      <c r="V186" s="66"/>
      <c r="W186" s="66"/>
      <c r="X186" s="66"/>
      <c r="Y186" s="66"/>
      <c r="Z186" s="66"/>
      <c r="AA186" s="66"/>
      <c r="AB186" s="66"/>
      <c r="AC186" s="66"/>
      <c r="AD186" s="66"/>
      <c r="AE186" s="66"/>
      <c r="AF186" s="66"/>
      <c r="AG186" s="66"/>
      <c r="CF186" s="68"/>
    </row>
    <row r="187" spans="1:84" ht="17.399999999999999" x14ac:dyDescent="0.35">
      <c r="A187" s="67" t="s">
        <v>824</v>
      </c>
      <c r="B187" s="67"/>
      <c r="C187" s="66"/>
      <c r="D187" s="66">
        <v>71.28904</v>
      </c>
      <c r="E187" s="66"/>
      <c r="F187" s="66"/>
      <c r="G187" s="66"/>
      <c r="H187" s="66"/>
      <c r="I187" s="66"/>
      <c r="J187" s="66"/>
      <c r="K187" s="66"/>
      <c r="L187" s="66"/>
      <c r="M187" s="66"/>
      <c r="N187" s="66"/>
      <c r="O187" s="66"/>
      <c r="P187" s="66"/>
      <c r="Q187" s="66"/>
      <c r="R187" s="66"/>
      <c r="S187" s="66"/>
      <c r="T187" s="66"/>
      <c r="U187" s="66"/>
      <c r="V187" s="66"/>
      <c r="W187" s="66"/>
      <c r="X187" s="66"/>
      <c r="Y187" s="66"/>
      <c r="Z187" s="66"/>
      <c r="AA187" s="66"/>
      <c r="AB187" s="66"/>
      <c r="AC187" s="66"/>
      <c r="AD187" s="66"/>
      <c r="AE187" s="66"/>
      <c r="AF187" s="66"/>
      <c r="AG187" s="66"/>
      <c r="CF187" s="68"/>
    </row>
    <row r="188" spans="1:84" ht="17.399999999999999" x14ac:dyDescent="0.35">
      <c r="A188" s="67" t="s">
        <v>825</v>
      </c>
      <c r="B188" s="67"/>
      <c r="C188" s="66"/>
      <c r="D188" s="66">
        <v>86.853380000000001</v>
      </c>
      <c r="E188" s="66"/>
      <c r="F188" s="66"/>
      <c r="G188" s="66"/>
      <c r="H188" s="66"/>
      <c r="I188" s="66"/>
      <c r="J188" s="66"/>
      <c r="K188" s="66"/>
      <c r="L188" s="66"/>
      <c r="M188" s="66"/>
      <c r="N188" s="66"/>
      <c r="O188" s="66"/>
      <c r="P188" s="66"/>
      <c r="Q188" s="66"/>
      <c r="R188" s="66"/>
      <c r="S188" s="66"/>
      <c r="T188" s="66"/>
      <c r="U188" s="66"/>
      <c r="V188" s="66"/>
      <c r="W188" s="66"/>
      <c r="X188" s="66"/>
      <c r="Y188" s="66"/>
      <c r="Z188" s="66"/>
      <c r="AA188" s="66"/>
      <c r="AB188" s="66"/>
      <c r="AC188" s="66"/>
      <c r="AD188" s="66"/>
      <c r="AE188" s="66"/>
      <c r="AF188" s="66"/>
      <c r="AG188" s="66"/>
      <c r="CF188" s="68"/>
    </row>
    <row r="189" spans="1:84" ht="17.399999999999999" x14ac:dyDescent="0.35">
      <c r="A189" s="67" t="s">
        <v>826</v>
      </c>
      <c r="B189" s="67"/>
      <c r="C189" s="66"/>
      <c r="D189" s="66">
        <v>71.055440000000004</v>
      </c>
      <c r="E189" s="66"/>
      <c r="F189" s="66"/>
      <c r="G189" s="66"/>
      <c r="H189" s="66"/>
      <c r="I189" s="66"/>
      <c r="J189" s="66"/>
      <c r="K189" s="66"/>
      <c r="L189" s="66"/>
      <c r="M189" s="66"/>
      <c r="N189" s="66"/>
      <c r="O189" s="66"/>
      <c r="P189" s="66"/>
      <c r="Q189" s="66"/>
      <c r="R189" s="66"/>
      <c r="S189" s="66"/>
      <c r="T189" s="66"/>
      <c r="U189" s="66"/>
      <c r="V189" s="66"/>
      <c r="W189" s="66"/>
      <c r="X189" s="66"/>
      <c r="Y189" s="66"/>
      <c r="Z189" s="66"/>
      <c r="AA189" s="66"/>
      <c r="AB189" s="66"/>
      <c r="AC189" s="66"/>
      <c r="AD189" s="66"/>
      <c r="AE189" s="66"/>
      <c r="AF189" s="66"/>
      <c r="AG189" s="66"/>
      <c r="CF189" s="68"/>
    </row>
    <row r="190" spans="1:84" ht="17.399999999999999" x14ac:dyDescent="0.35">
      <c r="A190" s="67" t="s">
        <v>827</v>
      </c>
      <c r="B190" s="67"/>
      <c r="C190" s="66"/>
      <c r="D190" s="66">
        <v>73.401020000000003</v>
      </c>
      <c r="E190" s="66"/>
      <c r="F190" s="66"/>
      <c r="G190" s="66"/>
      <c r="H190" s="66"/>
      <c r="I190" s="66"/>
      <c r="J190" s="66"/>
      <c r="K190" s="66"/>
      <c r="L190" s="66"/>
      <c r="M190" s="66"/>
      <c r="N190" s="66"/>
      <c r="O190" s="66"/>
      <c r="P190" s="66"/>
      <c r="Q190" s="66"/>
      <c r="R190" s="66"/>
      <c r="S190" s="66"/>
      <c r="T190" s="66"/>
      <c r="U190" s="66"/>
      <c r="V190" s="66"/>
      <c r="W190" s="66"/>
      <c r="X190" s="66"/>
      <c r="Y190" s="66"/>
      <c r="Z190" s="66"/>
      <c r="AA190" s="66"/>
      <c r="AB190" s="66"/>
      <c r="AC190" s="66"/>
      <c r="AD190" s="66"/>
      <c r="AE190" s="66"/>
      <c r="AF190" s="66"/>
      <c r="AG190" s="66"/>
      <c r="CF190" s="68"/>
    </row>
    <row r="191" spans="1:84" ht="17.399999999999999" x14ac:dyDescent="0.35">
      <c r="A191" s="67" t="s">
        <v>828</v>
      </c>
      <c r="B191" s="67"/>
      <c r="C191" s="66"/>
      <c r="D191" s="66">
        <v>87.052999999999997</v>
      </c>
      <c r="E191" s="66"/>
      <c r="F191" s="66"/>
      <c r="G191" s="66"/>
      <c r="H191" s="66"/>
      <c r="I191" s="66"/>
      <c r="J191" s="66"/>
      <c r="K191" s="66"/>
      <c r="L191" s="66"/>
      <c r="M191" s="66"/>
      <c r="N191" s="66"/>
      <c r="O191" s="66"/>
      <c r="P191" s="66"/>
      <c r="Q191" s="66"/>
      <c r="R191" s="66"/>
      <c r="S191" s="66"/>
      <c r="T191" s="66"/>
      <c r="U191" s="66"/>
      <c r="V191" s="66"/>
      <c r="W191" s="66"/>
      <c r="X191" s="66"/>
      <c r="Y191" s="66"/>
      <c r="Z191" s="66"/>
      <c r="AA191" s="66"/>
      <c r="AB191" s="66"/>
      <c r="AC191" s="66"/>
      <c r="AD191" s="66"/>
      <c r="AE191" s="66"/>
      <c r="AF191" s="66"/>
      <c r="AG191" s="66"/>
      <c r="CF191" s="68"/>
    </row>
    <row r="192" spans="1:84" ht="17.399999999999999" x14ac:dyDescent="0.35">
      <c r="A192" s="67" t="s">
        <v>829</v>
      </c>
      <c r="B192" s="67"/>
      <c r="C192" s="66"/>
      <c r="D192" s="66">
        <v>97.155180000000001</v>
      </c>
      <c r="E192" s="66"/>
      <c r="F192" s="66"/>
      <c r="G192" s="66"/>
      <c r="H192" s="66"/>
      <c r="I192" s="66"/>
      <c r="J192" s="66"/>
      <c r="K192" s="66"/>
      <c r="L192" s="66"/>
      <c r="M192" s="66"/>
      <c r="N192" s="66"/>
      <c r="O192" s="66"/>
      <c r="P192" s="66"/>
      <c r="Q192" s="66"/>
      <c r="R192" s="66"/>
      <c r="S192" s="66"/>
      <c r="T192" s="66"/>
      <c r="U192" s="66"/>
      <c r="V192" s="66"/>
      <c r="W192" s="66"/>
      <c r="X192" s="66"/>
      <c r="Y192" s="66"/>
      <c r="Z192" s="66"/>
      <c r="AA192" s="66"/>
      <c r="AB192" s="66"/>
      <c r="AC192" s="66"/>
      <c r="AD192" s="66"/>
      <c r="AE192" s="66"/>
      <c r="AF192" s="66"/>
      <c r="AG192" s="66"/>
      <c r="CF192" s="68"/>
    </row>
    <row r="193" spans="1:84" ht="17.399999999999999" x14ac:dyDescent="0.35">
      <c r="A193" s="67" t="s">
        <v>830</v>
      </c>
      <c r="B193" s="67"/>
      <c r="C193" s="66"/>
      <c r="D193" s="66">
        <v>77.695220000000006</v>
      </c>
      <c r="E193" s="66"/>
      <c r="F193" s="66"/>
      <c r="G193" s="66"/>
      <c r="H193" s="66"/>
      <c r="I193" s="66"/>
      <c r="J193" s="66"/>
      <c r="K193" s="66"/>
      <c r="L193" s="66"/>
      <c r="M193" s="66"/>
      <c r="N193" s="66"/>
      <c r="O193" s="66"/>
      <c r="P193" s="66"/>
      <c r="Q193" s="66"/>
      <c r="R193" s="66"/>
      <c r="S193" s="66"/>
      <c r="T193" s="66"/>
      <c r="U193" s="66"/>
      <c r="V193" s="66"/>
      <c r="W193" s="66"/>
      <c r="X193" s="66"/>
      <c r="Y193" s="66"/>
      <c r="Z193" s="66"/>
      <c r="AA193" s="66"/>
      <c r="AB193" s="66"/>
      <c r="AC193" s="66"/>
      <c r="AD193" s="66"/>
      <c r="AE193" s="66"/>
      <c r="AF193" s="66"/>
      <c r="AG193" s="66"/>
      <c r="CF193" s="68"/>
    </row>
    <row r="194" spans="1:84" ht="17.399999999999999" x14ac:dyDescent="0.35">
      <c r="A194" s="67" t="s">
        <v>831</v>
      </c>
      <c r="B194" s="67"/>
      <c r="C194" s="66"/>
      <c r="D194" s="66">
        <v>69.609279999999998</v>
      </c>
      <c r="E194" s="66"/>
      <c r="F194" s="66"/>
      <c r="G194" s="66"/>
      <c r="H194" s="66"/>
      <c r="I194" s="66"/>
      <c r="J194" s="66"/>
      <c r="K194" s="66"/>
      <c r="L194" s="66"/>
      <c r="M194" s="66"/>
      <c r="N194" s="66"/>
      <c r="O194" s="66"/>
      <c r="P194" s="66"/>
      <c r="Q194" s="66"/>
      <c r="R194" s="66"/>
      <c r="S194" s="66"/>
      <c r="T194" s="66"/>
      <c r="U194" s="66"/>
      <c r="V194" s="66"/>
      <c r="W194" s="66"/>
      <c r="X194" s="66"/>
      <c r="Y194" s="66"/>
      <c r="Z194" s="66"/>
      <c r="AA194" s="66"/>
      <c r="AB194" s="66"/>
      <c r="AC194" s="66"/>
      <c r="AD194" s="66"/>
      <c r="AE194" s="66"/>
      <c r="AF194" s="66"/>
      <c r="AG194" s="66"/>
      <c r="CF194" s="68"/>
    </row>
    <row r="195" spans="1:84" ht="17.399999999999999" x14ac:dyDescent="0.35">
      <c r="A195" s="67" t="s">
        <v>832</v>
      </c>
      <c r="B195" s="67"/>
      <c r="C195" s="66"/>
      <c r="D195" s="66">
        <v>64.666659999999993</v>
      </c>
      <c r="E195" s="66"/>
      <c r="F195" s="66"/>
      <c r="G195" s="66"/>
      <c r="H195" s="66"/>
      <c r="I195" s="66"/>
      <c r="J195" s="66"/>
      <c r="K195" s="66"/>
      <c r="L195" s="66"/>
      <c r="M195" s="66"/>
      <c r="N195" s="66"/>
      <c r="O195" s="66"/>
      <c r="P195" s="66"/>
      <c r="Q195" s="66"/>
      <c r="R195" s="66"/>
      <c r="S195" s="66"/>
      <c r="T195" s="66"/>
      <c r="U195" s="66"/>
      <c r="V195" s="66"/>
      <c r="W195" s="66"/>
      <c r="X195" s="66"/>
      <c r="Y195" s="66"/>
      <c r="Z195" s="66"/>
      <c r="AA195" s="66"/>
      <c r="AB195" s="66"/>
      <c r="AC195" s="66"/>
      <c r="AD195" s="66"/>
      <c r="AE195" s="66"/>
      <c r="AF195" s="66"/>
      <c r="AG195" s="66"/>
      <c r="CF195" s="68"/>
    </row>
    <row r="196" spans="1:84" ht="17.399999999999999" x14ac:dyDescent="0.35">
      <c r="A196" s="67" t="s">
        <v>833</v>
      </c>
      <c r="B196" s="67"/>
      <c r="C196" s="66"/>
      <c r="D196" s="66">
        <v>67.555199999999999</v>
      </c>
      <c r="E196" s="66"/>
      <c r="F196" s="66"/>
      <c r="G196" s="66"/>
      <c r="H196" s="66"/>
      <c r="I196" s="66"/>
      <c r="J196" s="66"/>
      <c r="K196" s="66"/>
      <c r="L196" s="66"/>
      <c r="M196" s="66"/>
      <c r="N196" s="66"/>
      <c r="O196" s="66"/>
      <c r="P196" s="66"/>
      <c r="Q196" s="66"/>
      <c r="R196" s="66"/>
      <c r="S196" s="66"/>
      <c r="T196" s="66"/>
      <c r="U196" s="66"/>
      <c r="V196" s="66"/>
      <c r="W196" s="66"/>
      <c r="X196" s="66"/>
      <c r="Y196" s="66"/>
      <c r="Z196" s="66"/>
      <c r="AA196" s="66"/>
      <c r="AB196" s="66"/>
      <c r="AC196" s="66"/>
      <c r="AD196" s="66"/>
      <c r="AE196" s="66"/>
      <c r="AF196" s="66"/>
      <c r="AG196" s="66"/>
      <c r="CF196" s="68"/>
    </row>
    <row r="197" spans="1:84" ht="17.399999999999999" x14ac:dyDescent="0.35">
      <c r="A197" s="67" t="s">
        <v>834</v>
      </c>
      <c r="B197" s="67"/>
      <c r="C197" s="66"/>
      <c r="D197" s="66">
        <v>67.43826</v>
      </c>
      <c r="E197" s="66"/>
      <c r="F197" s="66"/>
      <c r="G197" s="66"/>
      <c r="H197" s="66"/>
      <c r="I197" s="66"/>
      <c r="J197" s="66"/>
      <c r="K197" s="66"/>
      <c r="L197" s="66"/>
      <c r="M197" s="66"/>
      <c r="N197" s="66"/>
      <c r="O197" s="66"/>
      <c r="P197" s="66"/>
      <c r="Q197" s="66"/>
      <c r="R197" s="66"/>
      <c r="S197" s="66"/>
      <c r="T197" s="66"/>
      <c r="U197" s="66"/>
      <c r="V197" s="66"/>
      <c r="W197" s="66"/>
      <c r="X197" s="66"/>
      <c r="Y197" s="66"/>
      <c r="Z197" s="66"/>
      <c r="AA197" s="66"/>
      <c r="AB197" s="66"/>
      <c r="AC197" s="66"/>
      <c r="AD197" s="66"/>
      <c r="AE197" s="66"/>
      <c r="AF197" s="66"/>
      <c r="AG197" s="66"/>
      <c r="CF197" s="68"/>
    </row>
    <row r="198" spans="1:84" ht="17.399999999999999" x14ac:dyDescent="0.35">
      <c r="A198" s="67" t="s">
        <v>835</v>
      </c>
      <c r="B198" s="67"/>
      <c r="C198" s="66"/>
      <c r="D198" s="66">
        <v>71.122559999999993</v>
      </c>
      <c r="E198" s="66"/>
      <c r="F198" s="66"/>
      <c r="G198" s="66"/>
      <c r="H198" s="66"/>
      <c r="I198" s="66"/>
      <c r="J198" s="66"/>
      <c r="K198" s="66"/>
      <c r="L198" s="66"/>
      <c r="M198" s="66"/>
      <c r="N198" s="66"/>
      <c r="O198" s="66"/>
      <c r="P198" s="66"/>
      <c r="Q198" s="66"/>
      <c r="R198" s="66"/>
      <c r="S198" s="66"/>
      <c r="T198" s="66"/>
      <c r="U198" s="66"/>
      <c r="V198" s="66"/>
      <c r="W198" s="66"/>
      <c r="X198" s="66"/>
      <c r="Y198" s="66"/>
      <c r="Z198" s="66"/>
      <c r="AA198" s="66"/>
      <c r="AB198" s="66"/>
      <c r="AC198" s="66"/>
      <c r="AD198" s="66"/>
      <c r="AE198" s="66"/>
      <c r="AF198" s="66"/>
      <c r="AG198" s="66"/>
      <c r="CF198" s="68"/>
    </row>
    <row r="199" spans="1:84" ht="17.399999999999999" x14ac:dyDescent="0.35">
      <c r="A199" s="67" t="s">
        <v>836</v>
      </c>
      <c r="B199" s="67"/>
      <c r="C199" s="66"/>
      <c r="D199" s="66">
        <v>71.837059999999994</v>
      </c>
      <c r="E199" s="66"/>
      <c r="F199" s="66"/>
      <c r="G199" s="66"/>
      <c r="H199" s="66"/>
      <c r="I199" s="66"/>
      <c r="J199" s="66"/>
      <c r="K199" s="66"/>
      <c r="L199" s="66"/>
      <c r="M199" s="66"/>
      <c r="N199" s="66"/>
      <c r="O199" s="66"/>
      <c r="P199" s="66"/>
      <c r="Q199" s="66"/>
      <c r="R199" s="66"/>
      <c r="S199" s="66"/>
      <c r="T199" s="66"/>
      <c r="U199" s="66"/>
      <c r="V199" s="66"/>
      <c r="W199" s="66"/>
      <c r="X199" s="66"/>
      <c r="Y199" s="66"/>
      <c r="Z199" s="66"/>
      <c r="AA199" s="66"/>
      <c r="AB199" s="66"/>
      <c r="AC199" s="66"/>
      <c r="AD199" s="66"/>
      <c r="AE199" s="66"/>
      <c r="AF199" s="66"/>
      <c r="AG199" s="66"/>
      <c r="CF199" s="68"/>
    </row>
    <row r="200" spans="1:84" ht="17.399999999999999" x14ac:dyDescent="0.35">
      <c r="A200" s="67" t="s">
        <v>837</v>
      </c>
      <c r="B200" s="67"/>
      <c r="C200" s="66"/>
      <c r="D200" s="66">
        <v>70.83278</v>
      </c>
      <c r="E200" s="66"/>
      <c r="F200" s="66"/>
      <c r="G200" s="66"/>
      <c r="H200" s="66"/>
      <c r="I200" s="66"/>
      <c r="J200" s="66"/>
      <c r="K200" s="66"/>
      <c r="L200" s="66"/>
      <c r="M200" s="66"/>
      <c r="N200" s="66"/>
      <c r="O200" s="66"/>
      <c r="P200" s="66"/>
      <c r="Q200" s="66"/>
      <c r="R200" s="66"/>
      <c r="S200" s="66"/>
      <c r="T200" s="66"/>
      <c r="U200" s="66"/>
      <c r="V200" s="66"/>
      <c r="W200" s="66"/>
      <c r="X200" s="66"/>
      <c r="Y200" s="66"/>
      <c r="Z200" s="66"/>
      <c r="AA200" s="66"/>
      <c r="AB200" s="66"/>
      <c r="AC200" s="66"/>
      <c r="AD200" s="66"/>
      <c r="AE200" s="66"/>
      <c r="AF200" s="66"/>
      <c r="AG200" s="66"/>
      <c r="CF200" s="68"/>
    </row>
    <row r="201" spans="1:84" ht="17.399999999999999" x14ac:dyDescent="0.35">
      <c r="A201" s="67" t="s">
        <v>838</v>
      </c>
      <c r="B201" s="67"/>
      <c r="C201" s="66"/>
      <c r="D201" s="66">
        <v>87.511099999999999</v>
      </c>
      <c r="E201" s="66"/>
      <c r="F201" s="66"/>
      <c r="G201" s="66"/>
      <c r="H201" s="66"/>
      <c r="I201" s="66"/>
      <c r="J201" s="66"/>
      <c r="K201" s="66"/>
      <c r="L201" s="66"/>
      <c r="M201" s="66"/>
      <c r="N201" s="66"/>
      <c r="O201" s="66"/>
      <c r="P201" s="66"/>
      <c r="Q201" s="66"/>
      <c r="R201" s="66"/>
      <c r="S201" s="66"/>
      <c r="T201" s="66"/>
      <c r="U201" s="66"/>
      <c r="V201" s="66"/>
      <c r="W201" s="66"/>
      <c r="X201" s="66"/>
      <c r="Y201" s="66"/>
      <c r="Z201" s="66"/>
      <c r="AA201" s="66"/>
      <c r="AB201" s="66"/>
      <c r="AC201" s="66"/>
      <c r="AD201" s="66"/>
      <c r="AE201" s="66"/>
      <c r="AF201" s="66"/>
      <c r="AG201" s="66"/>
      <c r="CF201" s="68"/>
    </row>
    <row r="202" spans="1:84" ht="17.399999999999999" x14ac:dyDescent="0.35">
      <c r="A202" s="67" t="s">
        <v>839</v>
      </c>
      <c r="B202" s="67"/>
      <c r="C202" s="66"/>
      <c r="D202" s="66">
        <v>62.712560000000003</v>
      </c>
      <c r="E202" s="66"/>
      <c r="F202" s="66"/>
      <c r="G202" s="66"/>
      <c r="H202" s="66"/>
      <c r="I202" s="66"/>
      <c r="J202" s="66"/>
      <c r="K202" s="66"/>
      <c r="L202" s="66"/>
      <c r="M202" s="66"/>
      <c r="N202" s="66"/>
      <c r="O202" s="66"/>
      <c r="P202" s="66"/>
      <c r="Q202" s="66"/>
      <c r="R202" s="66"/>
      <c r="S202" s="66"/>
      <c r="T202" s="66"/>
      <c r="U202" s="66"/>
      <c r="V202" s="66"/>
      <c r="W202" s="66"/>
      <c r="X202" s="66"/>
      <c r="Y202" s="66"/>
      <c r="Z202" s="66"/>
      <c r="AA202" s="66"/>
      <c r="AB202" s="66"/>
      <c r="AC202" s="66"/>
      <c r="AD202" s="66"/>
      <c r="AE202" s="66"/>
      <c r="AF202" s="66"/>
      <c r="AG202" s="66"/>
      <c r="CF202" s="68"/>
    </row>
    <row r="203" spans="1:84" ht="17.399999999999999" x14ac:dyDescent="0.35">
      <c r="A203" s="67" t="s">
        <v>840</v>
      </c>
      <c r="B203" s="67"/>
      <c r="C203" s="66"/>
      <c r="D203" s="66">
        <v>26.759329999999999</v>
      </c>
      <c r="E203" s="66"/>
      <c r="F203" s="66"/>
      <c r="G203" s="66"/>
      <c r="H203" s="66"/>
      <c r="I203" s="66"/>
      <c r="J203" s="66"/>
      <c r="K203" s="66"/>
      <c r="L203" s="66"/>
      <c r="M203" s="66"/>
      <c r="N203" s="66"/>
      <c r="O203" s="66"/>
      <c r="P203" s="66"/>
      <c r="Q203" s="66"/>
      <c r="R203" s="66"/>
      <c r="S203" s="66"/>
      <c r="T203" s="66"/>
      <c r="U203" s="66"/>
      <c r="V203" s="66"/>
      <c r="W203" s="66"/>
      <c r="X203" s="66"/>
      <c r="Y203" s="66"/>
      <c r="Z203" s="66"/>
      <c r="AA203" s="66"/>
      <c r="AB203" s="66"/>
      <c r="AC203" s="66"/>
      <c r="AD203" s="66"/>
      <c r="AE203" s="66"/>
      <c r="AF203" s="66"/>
      <c r="AG203" s="66"/>
      <c r="CF203" s="68"/>
    </row>
    <row r="204" spans="1:84" ht="17.399999999999999" x14ac:dyDescent="0.35">
      <c r="A204" s="67" t="s">
        <v>844</v>
      </c>
      <c r="B204" s="67"/>
      <c r="C204" s="66"/>
      <c r="D204" s="66">
        <v>61.658740000000002</v>
      </c>
      <c r="E204" s="66"/>
      <c r="F204" s="66"/>
      <c r="G204" s="66"/>
      <c r="H204" s="66"/>
      <c r="I204" s="66"/>
      <c r="J204" s="66"/>
      <c r="K204" s="66"/>
      <c r="L204" s="66"/>
      <c r="M204" s="66"/>
      <c r="N204" s="66"/>
      <c r="O204" s="66"/>
      <c r="P204" s="66"/>
      <c r="Q204" s="66"/>
      <c r="R204" s="66"/>
      <c r="S204" s="66"/>
      <c r="T204" s="66"/>
      <c r="U204" s="66"/>
      <c r="V204" s="66"/>
      <c r="W204" s="66"/>
      <c r="X204" s="66"/>
      <c r="Y204" s="66"/>
      <c r="Z204" s="66"/>
      <c r="AA204" s="66"/>
      <c r="AB204" s="66"/>
      <c r="AC204" s="66"/>
      <c r="AD204" s="66"/>
      <c r="AE204" s="66"/>
      <c r="AF204" s="66"/>
      <c r="AG204" s="66"/>
      <c r="CF204" s="68"/>
    </row>
    <row r="205" spans="1:84" ht="17.399999999999999" x14ac:dyDescent="0.35">
      <c r="A205" s="67" t="s">
        <v>845</v>
      </c>
      <c r="B205" s="67"/>
      <c r="C205" s="66"/>
      <c r="D205" s="66">
        <v>58.26032</v>
      </c>
      <c r="E205" s="66"/>
      <c r="F205" s="66"/>
      <c r="G205" s="66"/>
      <c r="H205" s="66"/>
      <c r="I205" s="66"/>
      <c r="J205" s="66"/>
      <c r="K205" s="66"/>
      <c r="L205" s="66"/>
      <c r="M205" s="66"/>
      <c r="N205" s="66"/>
      <c r="O205" s="66"/>
      <c r="P205" s="66"/>
      <c r="Q205" s="66"/>
      <c r="R205" s="66"/>
      <c r="S205" s="66"/>
      <c r="T205" s="66"/>
      <c r="U205" s="66"/>
      <c r="V205" s="66"/>
      <c r="W205" s="66"/>
      <c r="X205" s="66"/>
      <c r="Y205" s="66"/>
      <c r="Z205" s="66"/>
      <c r="AA205" s="66"/>
      <c r="AB205" s="66"/>
      <c r="AC205" s="66"/>
      <c r="AD205" s="66"/>
      <c r="AE205" s="66"/>
      <c r="AF205" s="66"/>
      <c r="AG205" s="66"/>
      <c r="CF205" s="68"/>
    </row>
    <row r="206" spans="1:84" ht="17.399999999999999" x14ac:dyDescent="0.35">
      <c r="A206" s="67" t="s">
        <v>846</v>
      </c>
      <c r="B206" s="67"/>
      <c r="C206" s="66"/>
      <c r="D206" s="66">
        <v>62.326900000000002</v>
      </c>
      <c r="E206" s="66"/>
      <c r="F206" s="66"/>
      <c r="G206" s="66"/>
      <c r="H206" s="66"/>
      <c r="I206" s="66"/>
      <c r="J206" s="66"/>
      <c r="K206" s="66"/>
      <c r="L206" s="66"/>
      <c r="M206" s="66"/>
      <c r="N206" s="66"/>
      <c r="O206" s="66"/>
      <c r="P206" s="66"/>
      <c r="Q206" s="66"/>
      <c r="R206" s="66"/>
      <c r="S206" s="66"/>
      <c r="T206" s="66"/>
      <c r="U206" s="66"/>
      <c r="V206" s="66"/>
      <c r="W206" s="66"/>
      <c r="X206" s="66"/>
      <c r="Y206" s="66"/>
      <c r="Z206" s="66"/>
      <c r="AA206" s="66"/>
      <c r="AB206" s="66"/>
      <c r="AC206" s="66"/>
      <c r="AD206" s="66"/>
      <c r="AE206" s="66"/>
      <c r="AF206" s="66"/>
      <c r="AG206" s="66"/>
      <c r="CF206" s="68"/>
    </row>
    <row r="207" spans="1:84" ht="17.399999999999999" x14ac:dyDescent="0.35">
      <c r="A207" s="67" t="s">
        <v>847</v>
      </c>
      <c r="B207" s="67"/>
      <c r="C207" s="66"/>
      <c r="D207" s="66">
        <v>65.280720000000002</v>
      </c>
      <c r="E207" s="66"/>
      <c r="F207" s="66"/>
      <c r="G207" s="66"/>
      <c r="H207" s="66"/>
      <c r="J207" s="66"/>
      <c r="K207" s="66"/>
      <c r="L207" s="66"/>
      <c r="M207" s="66"/>
      <c r="N207" s="66"/>
      <c r="O207" s="66"/>
      <c r="P207" s="66"/>
      <c r="Q207" s="66"/>
      <c r="R207" s="66"/>
      <c r="S207" s="66"/>
      <c r="T207" s="66"/>
      <c r="U207" s="66"/>
      <c r="V207" s="66"/>
      <c r="W207" s="66"/>
      <c r="X207" s="66"/>
      <c r="Y207" s="66"/>
      <c r="Z207" s="66"/>
      <c r="AA207" s="66"/>
      <c r="AB207" s="66"/>
      <c r="AC207" s="66"/>
      <c r="AD207" s="66"/>
      <c r="AE207" s="66"/>
      <c r="AF207" s="66"/>
      <c r="AG207" s="66"/>
      <c r="CF207" s="68"/>
    </row>
    <row r="208" spans="1:84" ht="17.399999999999999" x14ac:dyDescent="0.35">
      <c r="A208" s="67" t="s">
        <v>848</v>
      </c>
      <c r="B208" s="67"/>
      <c r="C208" s="66"/>
      <c r="D208" s="66">
        <v>66.507220000000004</v>
      </c>
      <c r="E208" s="66"/>
      <c r="F208" s="66"/>
      <c r="G208" s="66"/>
      <c r="H208" s="66"/>
      <c r="I208" s="66"/>
      <c r="J208" s="66"/>
      <c r="K208" s="66"/>
      <c r="L208" s="66"/>
      <c r="M208" s="66"/>
      <c r="N208" s="66"/>
      <c r="O208" s="66"/>
      <c r="P208" s="66"/>
      <c r="Q208" s="66"/>
      <c r="R208" s="66"/>
      <c r="S208" s="66"/>
      <c r="T208" s="66"/>
      <c r="U208" s="66"/>
      <c r="V208" s="66"/>
      <c r="W208" s="66"/>
      <c r="X208" s="66"/>
      <c r="Y208" s="66"/>
      <c r="Z208" s="66"/>
      <c r="AA208" s="66"/>
      <c r="AB208" s="66"/>
      <c r="AC208" s="66"/>
      <c r="AD208" s="66"/>
      <c r="AE208" s="66"/>
      <c r="AF208" s="66"/>
      <c r="AG208" s="66"/>
      <c r="CF208" s="68"/>
    </row>
    <row r="209" spans="1:84" ht="17.399999999999999" x14ac:dyDescent="0.35">
      <c r="A209" s="67" t="s">
        <v>849</v>
      </c>
      <c r="B209" s="67"/>
      <c r="C209" s="66"/>
      <c r="D209" s="66">
        <v>69.062359999999998</v>
      </c>
      <c r="E209" s="66"/>
      <c r="F209" s="66"/>
      <c r="G209" s="66"/>
      <c r="H209" s="66"/>
      <c r="I209" s="66"/>
      <c r="J209" s="66"/>
      <c r="K209" s="66"/>
      <c r="L209" s="66"/>
      <c r="M209" s="66"/>
      <c r="N209" s="66"/>
      <c r="O209" s="66"/>
      <c r="P209" s="66"/>
      <c r="Q209" s="66"/>
      <c r="R209" s="66"/>
      <c r="S209" s="66"/>
      <c r="T209" s="66"/>
      <c r="U209" s="66"/>
      <c r="V209" s="66"/>
      <c r="W209" s="66"/>
      <c r="X209" s="66"/>
      <c r="Y209" s="66"/>
      <c r="Z209" s="66"/>
      <c r="AA209" s="66"/>
      <c r="AB209" s="66"/>
      <c r="AC209" s="66"/>
      <c r="AD209" s="66"/>
      <c r="AE209" s="66"/>
      <c r="AF209" s="66"/>
      <c r="AG209" s="66"/>
      <c r="CF209" s="68"/>
    </row>
    <row r="210" spans="1:84" ht="17.399999999999999" x14ac:dyDescent="0.35">
      <c r="A210" s="67" t="s">
        <v>850</v>
      </c>
      <c r="B210" s="67"/>
      <c r="C210" s="66"/>
      <c r="D210" s="66">
        <v>78.167959999999994</v>
      </c>
      <c r="E210" s="66"/>
      <c r="F210" s="66"/>
      <c r="G210" s="66"/>
      <c r="H210" s="66"/>
      <c r="I210" s="66"/>
      <c r="J210" s="66"/>
      <c r="K210" s="66"/>
      <c r="L210" s="66"/>
      <c r="M210" s="66"/>
      <c r="N210" s="66"/>
      <c r="O210" s="66"/>
      <c r="P210" s="66"/>
      <c r="Q210" s="66"/>
      <c r="R210" s="66"/>
      <c r="S210" s="66"/>
      <c r="T210" s="66"/>
      <c r="U210" s="66"/>
      <c r="V210" s="66"/>
      <c r="W210" s="66"/>
      <c r="X210" s="66"/>
      <c r="Y210" s="66"/>
      <c r="Z210" s="66"/>
      <c r="AA210" s="66"/>
      <c r="AB210" s="66"/>
      <c r="AC210" s="66"/>
      <c r="AD210" s="66"/>
      <c r="AE210" s="66"/>
      <c r="AF210" s="66"/>
      <c r="AG210" s="66"/>
      <c r="CF210" s="68"/>
    </row>
    <row r="211" spans="1:84" ht="17.399999999999999" x14ac:dyDescent="0.35">
      <c r="A211" s="67" t="s">
        <v>851</v>
      </c>
      <c r="B211" s="67"/>
      <c r="C211" s="66"/>
      <c r="D211" s="66">
        <v>68.446100000000001</v>
      </c>
      <c r="E211" s="66"/>
      <c r="F211" s="66"/>
      <c r="G211" s="66"/>
      <c r="H211" s="66"/>
      <c r="I211" s="66"/>
      <c r="J211" s="66"/>
      <c r="K211" s="66"/>
      <c r="L211" s="66"/>
      <c r="M211" s="66"/>
      <c r="N211" s="66"/>
      <c r="O211" s="66"/>
      <c r="P211" s="66"/>
      <c r="Q211" s="66"/>
      <c r="R211" s="66"/>
      <c r="S211" s="66"/>
      <c r="T211" s="66"/>
      <c r="U211" s="66"/>
      <c r="V211" s="66"/>
      <c r="W211" s="66"/>
      <c r="X211" s="66"/>
      <c r="Y211" s="66"/>
      <c r="Z211" s="66"/>
      <c r="AA211" s="66"/>
      <c r="AB211" s="66"/>
      <c r="AC211" s="66"/>
      <c r="AD211" s="66"/>
      <c r="AE211" s="66"/>
      <c r="AF211" s="66"/>
      <c r="AG211" s="66"/>
      <c r="CF211" s="68"/>
    </row>
    <row r="212" spans="1:84" ht="17.399999999999999" x14ac:dyDescent="0.35">
      <c r="A212" s="67" t="s">
        <v>852</v>
      </c>
      <c r="B212" s="67"/>
      <c r="C212" s="66"/>
      <c r="D212" s="66">
        <v>85.380340000000004</v>
      </c>
      <c r="E212" s="66"/>
      <c r="F212" s="66"/>
      <c r="G212" s="66"/>
      <c r="H212" s="66"/>
      <c r="I212" s="66"/>
      <c r="J212" s="66"/>
      <c r="K212" s="66"/>
      <c r="L212" s="66"/>
      <c r="M212" s="66"/>
      <c r="N212" s="66"/>
      <c r="O212" s="66"/>
      <c r="P212" s="66"/>
      <c r="Q212" s="66"/>
      <c r="R212" s="66"/>
      <c r="S212" s="66"/>
      <c r="T212" s="66"/>
      <c r="U212" s="66"/>
      <c r="V212" s="66"/>
      <c r="W212" s="66"/>
      <c r="X212" s="66"/>
      <c r="Y212" s="66"/>
      <c r="Z212" s="66"/>
      <c r="AA212" s="66"/>
      <c r="AB212" s="66"/>
      <c r="AC212" s="66"/>
      <c r="AD212" s="66"/>
      <c r="AE212" s="66"/>
      <c r="AF212" s="66"/>
      <c r="AG212" s="66"/>
      <c r="CF212" s="68"/>
    </row>
    <row r="213" spans="1:84" ht="17.399999999999999" x14ac:dyDescent="0.35">
      <c r="A213" s="67" t="s">
        <v>853</v>
      </c>
      <c r="B213" s="67"/>
      <c r="C213" s="66"/>
      <c r="D213" s="66">
        <v>56.960680000000004</v>
      </c>
      <c r="E213" s="66"/>
      <c r="F213" s="66"/>
      <c r="G213" s="66"/>
      <c r="H213" s="66"/>
      <c r="I213" s="66"/>
      <c r="J213" s="66"/>
      <c r="K213" s="66"/>
      <c r="L213" s="66"/>
      <c r="M213" s="66"/>
      <c r="N213" s="66"/>
      <c r="O213" s="66"/>
      <c r="P213" s="66"/>
      <c r="Q213" s="66"/>
      <c r="R213" s="66"/>
      <c r="S213" s="66"/>
      <c r="T213" s="66"/>
      <c r="U213" s="66"/>
      <c r="V213" s="66"/>
      <c r="W213" s="66"/>
      <c r="X213" s="66"/>
      <c r="Y213" s="66"/>
      <c r="Z213" s="66"/>
      <c r="AA213" s="66"/>
      <c r="AB213" s="66"/>
      <c r="AC213" s="66"/>
      <c r="AD213" s="66"/>
      <c r="AE213" s="66"/>
      <c r="AF213" s="66"/>
      <c r="AG213" s="66"/>
      <c r="CF213" s="68"/>
    </row>
    <row r="214" spans="1:84" ht="17.399999999999999" x14ac:dyDescent="0.35">
      <c r="A214" s="67" t="s">
        <v>854</v>
      </c>
      <c r="B214" s="67"/>
      <c r="C214" s="66"/>
      <c r="D214" s="66">
        <v>56.807070000000003</v>
      </c>
      <c r="E214" s="66"/>
      <c r="F214" s="66"/>
      <c r="G214" s="66"/>
      <c r="H214" s="66"/>
      <c r="I214" s="66"/>
      <c r="J214" s="66"/>
      <c r="K214" s="66"/>
      <c r="L214" s="66"/>
      <c r="M214" s="66"/>
      <c r="N214" s="66"/>
      <c r="O214" s="66"/>
      <c r="P214" s="66"/>
      <c r="Q214" s="66"/>
      <c r="R214" s="66"/>
      <c r="S214" s="66"/>
      <c r="T214" s="66"/>
      <c r="U214" s="66"/>
      <c r="V214" s="66"/>
      <c r="W214" s="66"/>
      <c r="X214" s="66"/>
      <c r="Y214" s="66"/>
      <c r="Z214" s="66"/>
      <c r="AA214" s="66"/>
      <c r="AB214" s="66"/>
      <c r="AC214" s="66"/>
      <c r="AD214" s="66"/>
      <c r="AE214" s="66"/>
      <c r="AF214" s="66"/>
      <c r="AG214" s="66"/>
      <c r="CF214" s="68"/>
    </row>
    <row r="215" spans="1:84" ht="17.399999999999999" x14ac:dyDescent="0.35">
      <c r="A215" s="67" t="s">
        <v>855</v>
      </c>
      <c r="B215" s="67"/>
      <c r="C215" s="66"/>
      <c r="D215" s="66">
        <v>57.114370000000001</v>
      </c>
      <c r="E215" s="66"/>
      <c r="F215" s="66"/>
      <c r="G215" s="66"/>
      <c r="H215" s="66"/>
      <c r="I215" s="66"/>
      <c r="J215" s="66"/>
      <c r="K215" s="66"/>
      <c r="L215" s="66"/>
      <c r="M215" s="66"/>
      <c r="N215" s="66"/>
      <c r="O215" s="66"/>
      <c r="P215" s="66"/>
      <c r="Q215" s="66"/>
      <c r="R215" s="66"/>
      <c r="S215" s="66"/>
      <c r="T215" s="66"/>
      <c r="U215" s="66"/>
      <c r="V215" s="66"/>
      <c r="W215" s="66"/>
      <c r="X215" s="66"/>
      <c r="Y215" s="66"/>
      <c r="Z215" s="66"/>
      <c r="AA215" s="66"/>
      <c r="AB215" s="66"/>
      <c r="AC215" s="66"/>
      <c r="AD215" s="66"/>
      <c r="AE215" s="66"/>
      <c r="AF215" s="66"/>
      <c r="AG215" s="66"/>
      <c r="CF215" s="68"/>
    </row>
    <row r="216" spans="1:84" ht="17.399999999999999" x14ac:dyDescent="0.35">
      <c r="A216" s="67" t="s">
        <v>856</v>
      </c>
      <c r="B216" s="67"/>
      <c r="C216" s="66"/>
      <c r="D216" s="66">
        <v>59.605510000000002</v>
      </c>
      <c r="E216" s="66"/>
      <c r="F216" s="66"/>
      <c r="G216" s="66"/>
      <c r="H216" s="66"/>
      <c r="I216" s="66"/>
      <c r="J216" s="66"/>
      <c r="K216" s="66"/>
      <c r="L216" s="66"/>
      <c r="M216" s="66"/>
      <c r="N216" s="66"/>
      <c r="O216" s="66"/>
      <c r="P216" s="66"/>
      <c r="Q216" s="66"/>
      <c r="R216" s="66"/>
      <c r="S216" s="66"/>
      <c r="T216" s="66"/>
      <c r="U216" s="66"/>
      <c r="V216" s="66"/>
      <c r="W216" s="66"/>
      <c r="X216" s="66"/>
      <c r="Y216" s="66"/>
      <c r="Z216" s="66"/>
      <c r="AA216" s="66"/>
      <c r="AB216" s="66"/>
      <c r="AC216" s="66"/>
      <c r="AD216" s="66"/>
      <c r="AE216" s="66"/>
      <c r="AF216" s="66"/>
      <c r="AG216" s="66"/>
      <c r="CF216" s="68"/>
    </row>
    <row r="217" spans="1:84" ht="17.399999999999999" x14ac:dyDescent="0.35">
      <c r="A217" s="67" t="s">
        <v>857</v>
      </c>
      <c r="B217" s="67"/>
      <c r="C217" s="66"/>
      <c r="D217" s="66">
        <v>63.124420000000001</v>
      </c>
      <c r="E217" s="66"/>
      <c r="F217" s="66"/>
      <c r="G217" s="66"/>
      <c r="H217" s="66"/>
      <c r="I217" s="66"/>
      <c r="J217" s="66"/>
      <c r="K217" s="66"/>
      <c r="L217" s="66"/>
      <c r="M217" s="66"/>
      <c r="N217" s="66"/>
      <c r="O217" s="66"/>
      <c r="P217" s="66"/>
      <c r="Q217" s="66"/>
      <c r="R217" s="66"/>
      <c r="S217" s="66"/>
      <c r="T217" s="66"/>
      <c r="U217" s="66"/>
      <c r="V217" s="66"/>
      <c r="W217" s="66"/>
      <c r="X217" s="66"/>
      <c r="Y217" s="66"/>
      <c r="Z217" s="66"/>
      <c r="AA217" s="66"/>
      <c r="AB217" s="66"/>
      <c r="AC217" s="66"/>
      <c r="AD217" s="66"/>
      <c r="AE217" s="66"/>
      <c r="AF217" s="66"/>
      <c r="AG217" s="66"/>
      <c r="CF217" s="68"/>
    </row>
    <row r="218" spans="1:84" ht="17.399999999999999" x14ac:dyDescent="0.35">
      <c r="A218" s="67" t="s">
        <v>858</v>
      </c>
      <c r="B218" s="67"/>
      <c r="C218" s="66"/>
      <c r="D218" s="66">
        <v>63.928600000000003</v>
      </c>
      <c r="E218" s="66"/>
      <c r="F218" s="66"/>
      <c r="G218" s="66"/>
      <c r="H218" s="66"/>
      <c r="I218" s="66"/>
      <c r="J218" s="66"/>
      <c r="K218" s="66"/>
      <c r="L218" s="66"/>
      <c r="M218" s="66"/>
      <c r="N218" s="66"/>
      <c r="O218" s="66"/>
      <c r="P218" s="66"/>
      <c r="Q218" s="66"/>
      <c r="R218" s="66"/>
      <c r="S218" s="66"/>
      <c r="T218" s="66"/>
      <c r="U218" s="66"/>
      <c r="V218" s="66"/>
      <c r="W218" s="66"/>
      <c r="X218" s="66"/>
      <c r="Y218" s="66"/>
      <c r="Z218" s="66"/>
      <c r="AA218" s="66"/>
      <c r="AB218" s="66"/>
      <c r="AC218" s="66"/>
      <c r="AD218" s="66"/>
      <c r="AE218" s="66"/>
      <c r="AF218" s="66"/>
      <c r="AG218" s="66"/>
      <c r="CF218" s="68"/>
    </row>
    <row r="219" spans="1:84" ht="17.399999999999999" x14ac:dyDescent="0.35">
      <c r="A219" s="67" t="s">
        <v>859</v>
      </c>
      <c r="B219" s="67"/>
      <c r="C219" s="66"/>
      <c r="D219" s="66">
        <v>59.787849999999999</v>
      </c>
      <c r="E219" s="66"/>
      <c r="F219" s="66"/>
      <c r="G219" s="66"/>
      <c r="H219" s="66"/>
      <c r="I219" s="66"/>
      <c r="J219" s="66"/>
      <c r="K219" s="66"/>
      <c r="L219" s="66"/>
      <c r="M219" s="66"/>
      <c r="N219" s="66"/>
      <c r="O219" s="66"/>
      <c r="P219" s="66"/>
      <c r="Q219" s="66"/>
      <c r="R219" s="66"/>
      <c r="S219" s="66"/>
      <c r="T219" s="66"/>
      <c r="U219" s="66"/>
      <c r="V219" s="66"/>
      <c r="W219" s="66"/>
      <c r="X219" s="66"/>
      <c r="Y219" s="66"/>
      <c r="Z219" s="66"/>
      <c r="AA219" s="66"/>
      <c r="AB219" s="66"/>
      <c r="AC219" s="66"/>
      <c r="AD219" s="66"/>
      <c r="AE219" s="66"/>
      <c r="AF219" s="66"/>
      <c r="AG219" s="66"/>
      <c r="CF219" s="68"/>
    </row>
    <row r="220" spans="1:84" ht="17.399999999999999" x14ac:dyDescent="0.35">
      <c r="A220" s="67" t="s">
        <v>860</v>
      </c>
      <c r="B220" s="67"/>
      <c r="C220" s="66"/>
      <c r="D220" s="66">
        <v>64.793120000000002</v>
      </c>
      <c r="E220" s="66"/>
      <c r="F220" s="66"/>
      <c r="G220" s="66"/>
      <c r="H220" s="66"/>
      <c r="I220" s="66"/>
      <c r="J220" s="66"/>
      <c r="K220" s="66"/>
      <c r="L220" s="66"/>
      <c r="M220" s="66"/>
      <c r="N220" s="66"/>
      <c r="O220" s="66"/>
      <c r="P220" s="66"/>
      <c r="Q220" s="66"/>
      <c r="R220" s="66"/>
      <c r="S220" s="66"/>
      <c r="T220" s="66"/>
      <c r="U220" s="66"/>
      <c r="V220" s="66"/>
      <c r="W220" s="66"/>
      <c r="X220" s="66"/>
      <c r="Y220" s="66"/>
      <c r="Z220" s="66"/>
      <c r="AA220" s="66"/>
      <c r="AB220" s="66"/>
      <c r="AC220" s="66"/>
      <c r="AD220" s="66"/>
      <c r="AE220" s="66"/>
      <c r="AF220" s="66"/>
      <c r="AG220" s="66"/>
      <c r="CF220" s="68"/>
    </row>
    <row r="221" spans="1:84" ht="17.399999999999999" x14ac:dyDescent="0.35">
      <c r="A221" s="67" t="s">
        <v>861</v>
      </c>
      <c r="B221" s="67"/>
      <c r="C221" s="66"/>
      <c r="D221" s="66">
        <v>67.721980000000002</v>
      </c>
      <c r="E221" s="66"/>
      <c r="F221" s="66"/>
      <c r="G221" s="66"/>
      <c r="H221" s="66"/>
      <c r="I221" s="66"/>
      <c r="J221" s="66"/>
      <c r="K221" s="66"/>
      <c r="L221" s="66"/>
      <c r="M221" s="66"/>
      <c r="N221" s="66"/>
      <c r="O221" s="66"/>
      <c r="P221" s="66"/>
      <c r="Q221" s="66"/>
      <c r="R221" s="66"/>
      <c r="S221" s="66"/>
      <c r="T221" s="66"/>
      <c r="U221" s="66"/>
      <c r="V221" s="66"/>
      <c r="W221" s="66"/>
      <c r="X221" s="66"/>
      <c r="Y221" s="66"/>
      <c r="Z221" s="66"/>
      <c r="AA221" s="66"/>
      <c r="AB221" s="66"/>
      <c r="AC221" s="66"/>
      <c r="AD221" s="66"/>
      <c r="AE221" s="66"/>
      <c r="AF221" s="66"/>
      <c r="AG221" s="66"/>
      <c r="CF221" s="68"/>
    </row>
    <row r="222" spans="1:84" ht="17.399999999999999" x14ac:dyDescent="0.35">
      <c r="A222" s="67" t="s">
        <v>862</v>
      </c>
      <c r="B222" s="67"/>
      <c r="C222" s="66"/>
      <c r="D222" s="66">
        <v>78.6584</v>
      </c>
      <c r="E222" s="66"/>
      <c r="F222" s="66"/>
      <c r="G222" s="66"/>
      <c r="H222" s="66"/>
      <c r="I222" s="66"/>
      <c r="J222" s="66"/>
      <c r="K222" s="66"/>
      <c r="L222" s="66"/>
      <c r="M222" s="66"/>
      <c r="N222" s="66"/>
      <c r="O222" s="66"/>
      <c r="P222" s="66"/>
      <c r="Q222" s="66"/>
      <c r="R222" s="66"/>
      <c r="S222" s="66"/>
      <c r="T222" s="66"/>
      <c r="U222" s="66"/>
      <c r="V222" s="66"/>
      <c r="W222" s="66"/>
      <c r="X222" s="66"/>
      <c r="Y222" s="66"/>
      <c r="Z222" s="66"/>
      <c r="AA222" s="66"/>
      <c r="AB222" s="66"/>
      <c r="AC222" s="66"/>
      <c r="AD222" s="66"/>
      <c r="AE222" s="66"/>
      <c r="AF222" s="66"/>
      <c r="AG222" s="66"/>
      <c r="CF222" s="68"/>
    </row>
    <row r="223" spans="1:84" ht="17.399999999999999" x14ac:dyDescent="0.35">
      <c r="A223" s="67" t="s">
        <v>863</v>
      </c>
      <c r="B223" s="67"/>
      <c r="C223" s="66"/>
      <c r="D223" s="66">
        <v>66.608140000000006</v>
      </c>
      <c r="E223" s="66"/>
      <c r="F223" s="66"/>
      <c r="G223" s="66"/>
      <c r="H223" s="66"/>
      <c r="I223" s="66"/>
      <c r="J223" s="66"/>
      <c r="K223" s="66"/>
      <c r="L223" s="66"/>
      <c r="M223" s="66"/>
      <c r="N223" s="66"/>
      <c r="O223" s="66"/>
      <c r="P223" s="66"/>
      <c r="Q223" s="66"/>
      <c r="R223" s="66"/>
      <c r="S223" s="66"/>
      <c r="T223" s="66"/>
      <c r="U223" s="66"/>
      <c r="V223" s="66"/>
      <c r="W223" s="66"/>
      <c r="X223" s="66"/>
      <c r="Y223" s="66"/>
      <c r="Z223" s="66"/>
      <c r="AA223" s="66"/>
      <c r="AB223" s="66"/>
      <c r="AC223" s="66"/>
      <c r="AD223" s="66"/>
      <c r="AE223" s="66"/>
      <c r="AF223" s="66"/>
      <c r="AG223" s="66"/>
      <c r="CF223" s="68"/>
    </row>
    <row r="224" spans="1:84" ht="17.399999999999999" x14ac:dyDescent="0.35">
      <c r="A224" s="67" t="s">
        <v>864</v>
      </c>
      <c r="B224" s="67"/>
      <c r="C224" s="66"/>
      <c r="D224" s="66">
        <v>40.094639999999998</v>
      </c>
      <c r="E224" s="66"/>
      <c r="F224" s="66"/>
      <c r="G224" s="66"/>
      <c r="H224" s="66"/>
      <c r="I224" s="66"/>
      <c r="J224" s="66"/>
      <c r="K224" s="66"/>
      <c r="L224" s="66"/>
      <c r="M224" s="66"/>
      <c r="N224" s="66"/>
      <c r="O224" s="66"/>
      <c r="P224" s="66"/>
      <c r="Q224" s="66"/>
      <c r="R224" s="66"/>
      <c r="S224" s="66"/>
      <c r="T224" s="66"/>
      <c r="U224" s="66"/>
      <c r="V224" s="66"/>
      <c r="W224" s="66"/>
      <c r="X224" s="66"/>
      <c r="Y224" s="66"/>
      <c r="Z224" s="66"/>
      <c r="AA224" s="66"/>
      <c r="AB224" s="66"/>
      <c r="AC224" s="66"/>
      <c r="AD224" s="66"/>
      <c r="AE224" s="66"/>
      <c r="AF224" s="66"/>
      <c r="AG224" s="66"/>
      <c r="CF224" s="68"/>
    </row>
    <row r="225" spans="1:84" ht="17.399999999999999" x14ac:dyDescent="0.35">
      <c r="A225" s="67" t="s">
        <v>865</v>
      </c>
      <c r="B225" s="67"/>
      <c r="C225" s="66"/>
      <c r="D225" s="66">
        <v>52.411949999999997</v>
      </c>
      <c r="E225" s="66"/>
      <c r="F225" s="66"/>
      <c r="G225" s="66"/>
      <c r="H225" s="66"/>
      <c r="I225" s="66"/>
      <c r="J225" s="66"/>
      <c r="K225" s="66"/>
      <c r="L225" s="66"/>
      <c r="M225" s="66"/>
      <c r="N225" s="66"/>
      <c r="O225" s="66"/>
      <c r="P225" s="66"/>
      <c r="Q225" s="66"/>
      <c r="R225" s="66"/>
      <c r="S225" s="66"/>
      <c r="T225" s="66"/>
      <c r="U225" s="66"/>
      <c r="V225" s="66"/>
      <c r="W225" s="66"/>
      <c r="X225" s="66"/>
      <c r="Y225" s="66"/>
      <c r="Z225" s="66"/>
      <c r="AA225" s="66"/>
      <c r="AB225" s="66"/>
      <c r="AC225" s="66"/>
      <c r="AD225" s="66"/>
      <c r="AE225" s="66"/>
      <c r="AF225" s="66"/>
      <c r="AG225" s="66"/>
      <c r="CF225" s="68"/>
    </row>
    <row r="226" spans="1:84" ht="17.399999999999999" x14ac:dyDescent="0.35">
      <c r="A226" s="67" t="s">
        <v>866</v>
      </c>
      <c r="B226" s="67"/>
      <c r="C226" s="66"/>
      <c r="D226" s="66">
        <v>60.172580000000004</v>
      </c>
      <c r="E226" s="66"/>
      <c r="F226" s="66"/>
      <c r="G226" s="66"/>
      <c r="H226" s="66"/>
      <c r="I226" s="66"/>
      <c r="J226" s="66"/>
      <c r="K226" s="66"/>
      <c r="L226" s="66"/>
      <c r="M226" s="66"/>
      <c r="N226" s="66"/>
      <c r="O226" s="66"/>
      <c r="P226" s="66"/>
      <c r="Q226" s="66"/>
      <c r="R226" s="66"/>
      <c r="S226" s="66"/>
      <c r="T226" s="66"/>
      <c r="U226" s="66"/>
      <c r="V226" s="66"/>
      <c r="W226" s="66"/>
      <c r="X226" s="66"/>
      <c r="Y226" s="66"/>
      <c r="Z226" s="66"/>
      <c r="AA226" s="66"/>
      <c r="AB226" s="66"/>
      <c r="AC226" s="66"/>
      <c r="AD226" s="66"/>
      <c r="AE226" s="66"/>
      <c r="AF226" s="66"/>
      <c r="AG226" s="66"/>
      <c r="CF226" s="68"/>
    </row>
    <row r="227" spans="1:84" ht="17.399999999999999" x14ac:dyDescent="0.35">
      <c r="A227" s="67" t="s">
        <v>867</v>
      </c>
      <c r="B227" s="67"/>
      <c r="C227" s="66"/>
      <c r="D227" s="66">
        <v>61.664839999999998</v>
      </c>
      <c r="E227" s="66"/>
      <c r="F227" s="66"/>
      <c r="G227" s="66"/>
      <c r="H227" s="66"/>
      <c r="I227" s="66"/>
      <c r="J227" s="66"/>
      <c r="K227" s="66"/>
      <c r="L227" s="66"/>
      <c r="M227" s="66"/>
      <c r="N227" s="66"/>
      <c r="O227" s="66"/>
      <c r="P227" s="66"/>
      <c r="Q227" s="66"/>
      <c r="R227" s="66"/>
      <c r="S227" s="66"/>
      <c r="T227" s="66"/>
      <c r="U227" s="66"/>
      <c r="V227" s="66"/>
      <c r="W227" s="66"/>
      <c r="X227" s="66"/>
      <c r="Y227" s="66"/>
      <c r="Z227" s="66"/>
      <c r="AA227" s="66"/>
      <c r="AB227" s="66"/>
      <c r="AC227" s="66"/>
      <c r="AD227" s="66"/>
      <c r="AE227" s="66"/>
      <c r="AF227" s="66"/>
      <c r="AG227" s="66"/>
      <c r="CF227" s="68"/>
    </row>
    <row r="228" spans="1:84" ht="17.399999999999999" x14ac:dyDescent="0.35">
      <c r="A228" s="67" t="s">
        <v>868</v>
      </c>
      <c r="B228" s="67"/>
      <c r="C228" s="66"/>
      <c r="D228" s="66">
        <v>65.149259999999998</v>
      </c>
      <c r="E228" s="66"/>
      <c r="F228" s="66"/>
      <c r="G228" s="66"/>
      <c r="H228" s="66"/>
      <c r="I228" s="66"/>
      <c r="J228" s="66"/>
      <c r="K228" s="66"/>
      <c r="L228" s="66"/>
      <c r="M228" s="66"/>
      <c r="N228" s="66"/>
      <c r="O228" s="66"/>
      <c r="P228" s="66"/>
      <c r="Q228" s="66"/>
      <c r="R228" s="66"/>
      <c r="S228" s="66"/>
      <c r="T228" s="66"/>
      <c r="U228" s="66"/>
      <c r="V228" s="66"/>
      <c r="W228" s="66"/>
      <c r="X228" s="66"/>
      <c r="Y228" s="66"/>
      <c r="Z228" s="66"/>
      <c r="AA228" s="66"/>
      <c r="AB228" s="66"/>
      <c r="AC228" s="66"/>
      <c r="AD228" s="66"/>
      <c r="AE228" s="66"/>
      <c r="AF228" s="66"/>
      <c r="AG228" s="66"/>
      <c r="CF228" s="68"/>
    </row>
    <row r="229" spans="1:84" ht="17.399999999999999" x14ac:dyDescent="0.35">
      <c r="A229" s="67" t="s">
        <v>869</v>
      </c>
      <c r="B229" s="67"/>
      <c r="C229" s="66"/>
      <c r="D229" s="66">
        <v>71.018280000000004</v>
      </c>
      <c r="E229" s="66"/>
      <c r="F229" s="66"/>
      <c r="G229" s="66"/>
      <c r="H229" s="66"/>
      <c r="I229" s="66"/>
      <c r="J229" s="66"/>
      <c r="K229" s="66"/>
      <c r="L229" s="66"/>
      <c r="M229" s="66"/>
      <c r="N229" s="66"/>
      <c r="O229" s="66"/>
      <c r="P229" s="66"/>
      <c r="Q229" s="66"/>
      <c r="R229" s="66"/>
      <c r="S229" s="66"/>
      <c r="T229" s="66"/>
      <c r="U229" s="66"/>
      <c r="V229" s="66"/>
      <c r="W229" s="66"/>
      <c r="X229" s="66"/>
      <c r="Y229" s="66"/>
      <c r="Z229" s="66"/>
      <c r="AA229" s="66"/>
      <c r="AB229" s="66"/>
      <c r="AC229" s="66"/>
      <c r="AD229" s="66"/>
      <c r="AE229" s="66"/>
      <c r="AF229" s="66"/>
      <c r="AG229" s="66"/>
      <c r="CF229" s="68"/>
    </row>
    <row r="230" spans="1:84" ht="17.399999999999999" x14ac:dyDescent="0.35">
      <c r="A230" s="67" t="s">
        <v>870</v>
      </c>
      <c r="B230" s="67"/>
      <c r="C230" s="66"/>
      <c r="D230" s="66">
        <v>63.458860000000001</v>
      </c>
      <c r="E230" s="66"/>
      <c r="F230" s="66"/>
      <c r="G230" s="66"/>
      <c r="H230" s="66"/>
      <c r="I230" s="66"/>
      <c r="J230" s="66"/>
      <c r="K230" s="66"/>
      <c r="L230" s="66"/>
      <c r="M230" s="66"/>
      <c r="N230" s="66"/>
      <c r="O230" s="66"/>
      <c r="P230" s="66"/>
      <c r="Q230" s="66"/>
      <c r="R230" s="66"/>
      <c r="S230" s="66"/>
      <c r="T230" s="66"/>
      <c r="U230" s="66"/>
      <c r="V230" s="66"/>
      <c r="W230" s="66"/>
      <c r="X230" s="66"/>
      <c r="Y230" s="66"/>
      <c r="Z230" s="66"/>
      <c r="AA230" s="66"/>
      <c r="AB230" s="66"/>
      <c r="AC230" s="66"/>
      <c r="AD230" s="66"/>
      <c r="AE230" s="66"/>
      <c r="AF230" s="66"/>
      <c r="AG230" s="66"/>
      <c r="CF230" s="68"/>
    </row>
    <row r="231" spans="1:84" ht="17.399999999999999" x14ac:dyDescent="0.35">
      <c r="A231" s="67" t="s">
        <v>871</v>
      </c>
      <c r="B231" s="67"/>
      <c r="C231" s="66"/>
      <c r="D231" s="66">
        <v>68.776219999999995</v>
      </c>
      <c r="E231" s="66"/>
      <c r="F231" s="66"/>
      <c r="G231" s="66"/>
      <c r="H231" s="66"/>
      <c r="I231" s="66"/>
      <c r="J231" s="66"/>
      <c r="K231" s="66"/>
      <c r="L231" s="66"/>
      <c r="M231" s="66"/>
      <c r="N231" s="66"/>
      <c r="O231" s="66"/>
      <c r="P231" s="66"/>
      <c r="Q231" s="66"/>
      <c r="R231" s="66"/>
      <c r="S231" s="66"/>
      <c r="T231" s="66"/>
      <c r="U231" s="66"/>
      <c r="V231" s="66"/>
      <c r="W231" s="66"/>
      <c r="X231" s="66"/>
      <c r="Y231" s="66"/>
      <c r="Z231" s="66"/>
      <c r="AA231" s="66"/>
      <c r="AB231" s="66"/>
      <c r="AC231" s="66"/>
      <c r="AD231" s="66"/>
      <c r="AE231" s="66"/>
      <c r="AF231" s="66"/>
      <c r="AG231" s="66"/>
      <c r="CF231" s="68"/>
    </row>
    <row r="232" spans="1:84" ht="17.399999999999999" x14ac:dyDescent="0.35">
      <c r="A232" s="67" t="s">
        <v>872</v>
      </c>
      <c r="B232" s="67"/>
      <c r="C232" s="66"/>
      <c r="D232" s="66">
        <v>69.541600000000003</v>
      </c>
      <c r="E232" s="66"/>
      <c r="F232" s="66"/>
      <c r="G232" s="66"/>
      <c r="H232" s="66"/>
      <c r="I232" s="66"/>
      <c r="J232" s="66"/>
      <c r="K232" s="66"/>
      <c r="L232" s="66"/>
      <c r="M232" s="66"/>
      <c r="N232" s="66"/>
      <c r="O232" s="66"/>
      <c r="P232" s="66"/>
      <c r="Q232" s="66"/>
      <c r="R232" s="66"/>
      <c r="S232" s="66"/>
      <c r="T232" s="66"/>
      <c r="U232" s="66"/>
      <c r="V232" s="66"/>
      <c r="W232" s="66"/>
      <c r="X232" s="66"/>
      <c r="Y232" s="66"/>
      <c r="Z232" s="66"/>
      <c r="AA232" s="66"/>
      <c r="AB232" s="66"/>
      <c r="AC232" s="66"/>
      <c r="AD232" s="66"/>
      <c r="AE232" s="66"/>
      <c r="AF232" s="66"/>
      <c r="AG232" s="66"/>
      <c r="CF232" s="68"/>
    </row>
    <row r="233" spans="1:84" ht="17.399999999999999" x14ac:dyDescent="0.35">
      <c r="A233" s="67" t="s">
        <v>873</v>
      </c>
      <c r="B233" s="67"/>
      <c r="C233" s="66"/>
      <c r="D233" s="66">
        <v>81.564279999999997</v>
      </c>
      <c r="E233" s="66"/>
      <c r="F233" s="66"/>
      <c r="G233" s="66"/>
      <c r="H233" s="66"/>
      <c r="I233" s="66"/>
      <c r="J233" s="66"/>
      <c r="K233" s="66"/>
      <c r="L233" s="66"/>
      <c r="M233" s="66"/>
      <c r="N233" s="66"/>
      <c r="O233" s="66"/>
      <c r="P233" s="66"/>
      <c r="Q233" s="66"/>
      <c r="R233" s="66"/>
      <c r="S233" s="66"/>
      <c r="T233" s="66"/>
      <c r="U233" s="66"/>
      <c r="V233" s="66"/>
      <c r="W233" s="66"/>
      <c r="X233" s="66"/>
      <c r="Y233" s="66"/>
      <c r="Z233" s="66"/>
      <c r="AA233" s="66"/>
      <c r="AB233" s="66"/>
      <c r="AC233" s="66"/>
      <c r="AD233" s="66"/>
      <c r="AE233" s="66"/>
      <c r="AF233" s="66"/>
      <c r="AG233" s="66"/>
      <c r="CF233" s="68"/>
    </row>
    <row r="234" spans="1:84" ht="17.399999999999999" x14ac:dyDescent="0.35">
      <c r="A234" s="67" t="s">
        <v>874</v>
      </c>
      <c r="B234" s="67"/>
      <c r="C234" s="66"/>
      <c r="D234" s="66">
        <v>81.454939999999993</v>
      </c>
      <c r="E234" s="66"/>
      <c r="F234" s="66"/>
      <c r="G234" s="66"/>
      <c r="H234" s="66"/>
      <c r="I234" s="66"/>
      <c r="J234" s="66"/>
      <c r="K234" s="66"/>
      <c r="L234" s="66"/>
      <c r="M234" s="66"/>
      <c r="N234" s="66"/>
      <c r="O234" s="66"/>
      <c r="P234" s="66"/>
      <c r="Q234" s="66"/>
      <c r="R234" s="66"/>
      <c r="S234" s="66"/>
      <c r="T234" s="66"/>
      <c r="U234" s="66"/>
      <c r="V234" s="66"/>
      <c r="W234" s="66"/>
      <c r="X234" s="66"/>
      <c r="Y234" s="66"/>
      <c r="Z234" s="66"/>
      <c r="AA234" s="66"/>
      <c r="AB234" s="66"/>
      <c r="AC234" s="66"/>
      <c r="AD234" s="66"/>
      <c r="AE234" s="66"/>
      <c r="AF234" s="66"/>
      <c r="AG234" s="66"/>
      <c r="CF234" s="68"/>
    </row>
    <row r="235" spans="1:84" ht="17.399999999999999" x14ac:dyDescent="0.35">
      <c r="A235" s="67" t="s">
        <v>896</v>
      </c>
      <c r="B235" s="67"/>
      <c r="C235" s="66"/>
      <c r="D235" s="66">
        <v>41.878579999999999</v>
      </c>
      <c r="E235" s="66"/>
      <c r="F235" s="66"/>
      <c r="G235" s="66"/>
      <c r="H235" s="66"/>
      <c r="I235" s="66"/>
      <c r="J235" s="66"/>
      <c r="K235" s="66"/>
      <c r="L235" s="66"/>
      <c r="M235" s="66"/>
      <c r="N235" s="66"/>
      <c r="O235" s="66"/>
      <c r="P235" s="66"/>
      <c r="Q235" s="66"/>
      <c r="R235" s="66"/>
      <c r="S235" s="66"/>
      <c r="T235" s="66"/>
      <c r="U235" s="66"/>
      <c r="V235" s="66"/>
      <c r="W235" s="66"/>
      <c r="X235" s="66"/>
      <c r="Y235" s="66"/>
      <c r="Z235" s="66"/>
      <c r="AA235" s="66"/>
      <c r="AB235" s="66"/>
      <c r="AC235" s="66"/>
      <c r="AD235" s="66"/>
      <c r="AE235" s="66"/>
      <c r="AF235" s="66"/>
      <c r="AG235" s="66"/>
      <c r="CF235" s="68"/>
    </row>
    <row r="236" spans="1:84" ht="17.399999999999999" x14ac:dyDescent="0.35">
      <c r="A236" s="67" t="s">
        <v>897</v>
      </c>
      <c r="B236" s="67"/>
      <c r="C236" s="66"/>
      <c r="D236" s="66">
        <v>51.235349999999997</v>
      </c>
      <c r="E236" s="66"/>
      <c r="F236" s="66"/>
      <c r="G236" s="66"/>
      <c r="H236" s="66"/>
      <c r="I236" s="66"/>
      <c r="J236" s="66"/>
      <c r="K236" s="66"/>
      <c r="L236" s="66"/>
      <c r="M236" s="66"/>
      <c r="N236" s="66"/>
      <c r="O236" s="66"/>
      <c r="P236" s="66"/>
      <c r="Q236" s="66"/>
      <c r="R236" s="66"/>
      <c r="S236" s="66"/>
      <c r="T236" s="66"/>
      <c r="U236" s="66"/>
      <c r="V236" s="66"/>
      <c r="W236" s="66"/>
      <c r="X236" s="66"/>
      <c r="Y236" s="66"/>
      <c r="Z236" s="66"/>
      <c r="AA236" s="66"/>
      <c r="AB236" s="66"/>
      <c r="AC236" s="66"/>
      <c r="AD236" s="66"/>
      <c r="AE236" s="66"/>
      <c r="AF236" s="66"/>
      <c r="AG236" s="66"/>
      <c r="CF236" s="68"/>
    </row>
    <row r="237" spans="1:84" ht="17.399999999999999" x14ac:dyDescent="0.35">
      <c r="A237" s="67" t="s">
        <v>898</v>
      </c>
      <c r="B237" s="67"/>
      <c r="C237" s="66"/>
      <c r="D237" s="66">
        <v>60.567680000000003</v>
      </c>
      <c r="E237" s="66"/>
      <c r="F237" s="66"/>
      <c r="G237" s="66"/>
      <c r="H237" s="66"/>
      <c r="I237" s="66"/>
      <c r="J237" s="66"/>
      <c r="K237" s="66"/>
      <c r="L237" s="66"/>
      <c r="M237" s="66"/>
      <c r="N237" s="66"/>
      <c r="O237" s="66"/>
      <c r="P237" s="66"/>
      <c r="Q237" s="66"/>
      <c r="R237" s="66"/>
      <c r="S237" s="66"/>
      <c r="T237" s="66"/>
      <c r="U237" s="66"/>
      <c r="V237" s="66"/>
      <c r="W237" s="66"/>
      <c r="X237" s="66"/>
      <c r="Y237" s="66"/>
      <c r="Z237" s="66"/>
      <c r="AA237" s="66"/>
      <c r="AB237" s="66"/>
      <c r="AC237" s="66"/>
      <c r="AD237" s="66"/>
      <c r="AE237" s="66"/>
      <c r="AF237" s="66"/>
      <c r="AG237" s="66"/>
      <c r="CF237" s="68"/>
    </row>
    <row r="238" spans="1:84" ht="17.399999999999999" x14ac:dyDescent="0.35">
      <c r="A238" s="67" t="s">
        <v>899</v>
      </c>
      <c r="B238" s="67"/>
      <c r="C238" s="66"/>
      <c r="D238" s="66">
        <v>63.843319999999999</v>
      </c>
      <c r="E238" s="66"/>
      <c r="F238" s="66"/>
      <c r="G238" s="66"/>
      <c r="H238" s="66"/>
      <c r="I238" s="66"/>
      <c r="J238" s="66"/>
      <c r="K238" s="66"/>
      <c r="L238" s="66"/>
      <c r="M238" s="66"/>
      <c r="N238" s="66"/>
      <c r="O238" s="66"/>
      <c r="P238" s="66"/>
      <c r="Q238" s="66"/>
      <c r="R238" s="66"/>
      <c r="S238" s="66"/>
      <c r="T238" s="66"/>
      <c r="U238" s="66"/>
      <c r="V238" s="66"/>
      <c r="W238" s="66"/>
      <c r="X238" s="66"/>
      <c r="Y238" s="66"/>
      <c r="Z238" s="66"/>
      <c r="AA238" s="66"/>
      <c r="AB238" s="66"/>
      <c r="AC238" s="66"/>
      <c r="AD238" s="66"/>
      <c r="AE238" s="66"/>
      <c r="AF238" s="66"/>
      <c r="AG238" s="66"/>
      <c r="CF238" s="68"/>
    </row>
    <row r="239" spans="1:84" ht="17.399999999999999" x14ac:dyDescent="0.35">
      <c r="A239" s="67" t="s">
        <v>900</v>
      </c>
      <c r="B239" s="67"/>
      <c r="C239" s="66"/>
      <c r="D239" s="66">
        <v>59.835880000000003</v>
      </c>
      <c r="E239" s="66"/>
      <c r="F239" s="66"/>
      <c r="G239" s="66"/>
      <c r="H239" s="66"/>
      <c r="I239" s="66"/>
      <c r="J239" s="66"/>
      <c r="K239" s="66"/>
      <c r="L239" s="66"/>
      <c r="M239" s="66"/>
      <c r="N239" s="66"/>
      <c r="O239" s="66"/>
      <c r="P239" s="66"/>
      <c r="Q239" s="66"/>
      <c r="R239" s="66"/>
      <c r="S239" s="66"/>
      <c r="T239" s="66"/>
      <c r="U239" s="66"/>
      <c r="V239" s="66"/>
      <c r="W239" s="66"/>
      <c r="X239" s="66"/>
      <c r="Y239" s="66"/>
      <c r="Z239" s="66"/>
      <c r="AA239" s="66"/>
      <c r="AB239" s="66"/>
      <c r="AC239" s="66"/>
      <c r="AD239" s="66"/>
      <c r="AE239" s="66"/>
      <c r="AF239" s="66"/>
      <c r="AG239" s="66"/>
      <c r="CF239" s="68"/>
    </row>
    <row r="240" spans="1:84" ht="17.399999999999999" x14ac:dyDescent="0.35">
      <c r="A240" s="67" t="s">
        <v>901</v>
      </c>
      <c r="B240" s="67"/>
      <c r="C240" s="66"/>
      <c r="D240" s="66">
        <v>72.606960000000001</v>
      </c>
      <c r="E240" s="66"/>
      <c r="F240" s="66"/>
      <c r="G240" s="66"/>
      <c r="H240" s="66"/>
      <c r="I240" s="66"/>
      <c r="J240" s="66"/>
      <c r="K240" s="66"/>
      <c r="L240" s="66"/>
      <c r="M240" s="66"/>
      <c r="N240" s="66"/>
      <c r="O240" s="66"/>
      <c r="P240" s="66"/>
      <c r="Q240" s="66"/>
      <c r="R240" s="66"/>
      <c r="S240" s="66"/>
      <c r="T240" s="66"/>
      <c r="U240" s="66"/>
      <c r="V240" s="66"/>
      <c r="W240" s="66"/>
      <c r="X240" s="66"/>
      <c r="Y240" s="66"/>
      <c r="Z240" s="66"/>
      <c r="AA240" s="66"/>
      <c r="AB240" s="66"/>
      <c r="AC240" s="66"/>
      <c r="AD240" s="66"/>
      <c r="AE240" s="66"/>
      <c r="AF240" s="66"/>
      <c r="AG240" s="66"/>
      <c r="CF240" s="68"/>
    </row>
    <row r="241" spans="1:84" ht="17.399999999999999" x14ac:dyDescent="0.35">
      <c r="A241" s="67" t="s">
        <v>902</v>
      </c>
      <c r="B241" s="67"/>
      <c r="C241" s="66"/>
      <c r="D241" s="66">
        <v>62.243740000000003</v>
      </c>
      <c r="E241" s="66"/>
      <c r="F241" s="66"/>
      <c r="G241" s="66"/>
      <c r="H241" s="66"/>
      <c r="I241" s="66"/>
      <c r="J241" s="66"/>
      <c r="K241" s="66"/>
      <c r="L241" s="66"/>
      <c r="M241" s="66"/>
      <c r="N241" s="66"/>
      <c r="O241" s="66"/>
      <c r="P241" s="66"/>
      <c r="Q241" s="66"/>
      <c r="R241" s="66"/>
      <c r="S241" s="66"/>
      <c r="T241" s="66"/>
      <c r="U241" s="66"/>
      <c r="V241" s="66"/>
      <c r="W241" s="66"/>
      <c r="X241" s="66"/>
      <c r="Y241" s="66"/>
      <c r="Z241" s="66"/>
      <c r="AA241" s="66"/>
      <c r="AB241" s="66"/>
      <c r="AC241" s="66"/>
      <c r="AD241" s="66"/>
      <c r="AE241" s="66"/>
      <c r="AF241" s="66"/>
      <c r="AG241" s="66"/>
      <c r="CF241" s="68"/>
    </row>
    <row r="242" spans="1:84" ht="17.399999999999999" x14ac:dyDescent="0.35">
      <c r="A242" s="67" t="s">
        <v>903</v>
      </c>
      <c r="B242" s="67"/>
      <c r="C242" s="66"/>
      <c r="D242" s="66">
        <v>73.782799999999995</v>
      </c>
      <c r="E242" s="66"/>
      <c r="F242" s="66"/>
      <c r="G242" s="66"/>
      <c r="H242" s="66"/>
      <c r="I242" s="66"/>
      <c r="J242" s="66"/>
      <c r="K242" s="66"/>
      <c r="L242" s="66"/>
      <c r="M242" s="66"/>
      <c r="N242" s="66"/>
      <c r="O242" s="66"/>
      <c r="P242" s="66"/>
      <c r="Q242" s="66"/>
      <c r="R242" s="66"/>
      <c r="S242" s="66"/>
      <c r="T242" s="66"/>
      <c r="U242" s="66"/>
      <c r="V242" s="66"/>
      <c r="W242" s="66"/>
      <c r="X242" s="66"/>
      <c r="Y242" s="66"/>
      <c r="Z242" s="66"/>
      <c r="AA242" s="66"/>
      <c r="AB242" s="66"/>
      <c r="AC242" s="66"/>
      <c r="AD242" s="66"/>
      <c r="AE242" s="66"/>
      <c r="AF242" s="66"/>
      <c r="AG242" s="66"/>
      <c r="CF242" s="68"/>
    </row>
    <row r="243" spans="1:84" ht="17.399999999999999" x14ac:dyDescent="0.35">
      <c r="A243" s="67" t="s">
        <v>904</v>
      </c>
      <c r="B243" s="67"/>
      <c r="C243" s="66"/>
      <c r="D243" s="66">
        <v>74.969260000000006</v>
      </c>
      <c r="E243" s="66"/>
      <c r="F243" s="66"/>
      <c r="G243" s="66"/>
      <c r="H243" s="66"/>
      <c r="I243" s="66"/>
      <c r="J243" s="66"/>
      <c r="K243" s="66"/>
      <c r="L243" s="66"/>
      <c r="M243" s="66"/>
      <c r="N243" s="66"/>
      <c r="O243" s="66"/>
      <c r="P243" s="66"/>
      <c r="Q243" s="66"/>
      <c r="R243" s="66"/>
      <c r="S243" s="66"/>
      <c r="T243" s="66"/>
      <c r="U243" s="66"/>
      <c r="V243" s="66"/>
      <c r="W243" s="66"/>
      <c r="X243" s="66"/>
      <c r="Y243" s="66"/>
      <c r="Z243" s="66"/>
      <c r="AA243" s="66"/>
      <c r="AB243" s="66"/>
      <c r="AC243" s="66"/>
      <c r="AD243" s="66"/>
      <c r="AE243" s="66"/>
      <c r="AF243" s="66"/>
      <c r="AG243" s="66"/>
      <c r="CF243" s="68"/>
    </row>
    <row r="244" spans="1:84" ht="17.399999999999999" x14ac:dyDescent="0.35">
      <c r="A244" s="67" t="s">
        <v>905</v>
      </c>
      <c r="B244" s="67"/>
      <c r="C244" s="66"/>
      <c r="D244" s="66">
        <v>67.871880000000004</v>
      </c>
      <c r="E244" s="66"/>
      <c r="F244" s="66"/>
      <c r="G244" s="66"/>
      <c r="H244" s="66"/>
      <c r="I244" s="66"/>
      <c r="J244" s="66"/>
      <c r="K244" s="66"/>
      <c r="L244" s="66"/>
      <c r="M244" s="66"/>
      <c r="N244" s="66"/>
      <c r="O244" s="66"/>
      <c r="P244" s="66"/>
      <c r="Q244" s="66"/>
      <c r="R244" s="66"/>
      <c r="S244" s="66"/>
      <c r="T244" s="66"/>
      <c r="U244" s="66"/>
      <c r="V244" s="66"/>
      <c r="W244" s="66"/>
      <c r="X244" s="66"/>
      <c r="Y244" s="66"/>
      <c r="Z244" s="66"/>
      <c r="AA244" s="66"/>
      <c r="AB244" s="66"/>
      <c r="AC244" s="66"/>
      <c r="AD244" s="66"/>
      <c r="AE244" s="66"/>
      <c r="AF244" s="66"/>
      <c r="AG244" s="66"/>
      <c r="CF244" s="68"/>
    </row>
    <row r="245" spans="1:84" ht="17.399999999999999" x14ac:dyDescent="0.35">
      <c r="A245" s="67" t="s">
        <v>906</v>
      </c>
      <c r="B245" s="67"/>
      <c r="C245" s="66"/>
      <c r="D245" s="66">
        <v>57.445210000000003</v>
      </c>
      <c r="E245" s="66"/>
      <c r="F245" s="66"/>
      <c r="G245" s="66"/>
      <c r="H245" s="66"/>
      <c r="I245" s="66"/>
      <c r="J245" s="66"/>
      <c r="K245" s="66"/>
      <c r="L245" s="66"/>
      <c r="M245" s="66"/>
      <c r="N245" s="66"/>
      <c r="O245" s="66"/>
      <c r="P245" s="66"/>
      <c r="Q245" s="66"/>
      <c r="R245" s="66"/>
      <c r="S245" s="66"/>
      <c r="T245" s="66"/>
      <c r="U245" s="66"/>
      <c r="V245" s="66"/>
      <c r="W245" s="66"/>
      <c r="X245" s="66"/>
      <c r="Y245" s="66"/>
      <c r="Z245" s="66"/>
      <c r="AA245" s="66"/>
      <c r="AB245" s="66"/>
      <c r="AC245" s="66"/>
      <c r="AD245" s="66"/>
      <c r="AE245" s="66"/>
      <c r="AF245" s="66"/>
      <c r="AG245" s="66"/>
      <c r="CF245" s="68"/>
    </row>
    <row r="246" spans="1:84" ht="17.399999999999999" x14ac:dyDescent="0.35">
      <c r="A246" s="67" t="s">
        <v>875</v>
      </c>
      <c r="B246" s="67"/>
      <c r="C246" s="66"/>
      <c r="D246" s="66">
        <v>63.496560000000002</v>
      </c>
      <c r="E246" s="66"/>
      <c r="F246" s="66"/>
      <c r="G246" s="66"/>
      <c r="H246" s="66"/>
      <c r="I246" s="66"/>
      <c r="J246" s="66"/>
      <c r="K246" s="66"/>
      <c r="L246" s="66"/>
      <c r="M246" s="66"/>
      <c r="N246" s="66"/>
      <c r="O246" s="66"/>
      <c r="P246" s="66"/>
      <c r="Q246" s="66"/>
      <c r="R246" s="66"/>
      <c r="S246" s="66"/>
      <c r="T246" s="66"/>
      <c r="U246" s="66"/>
      <c r="V246" s="66"/>
      <c r="W246" s="66"/>
      <c r="X246" s="66"/>
      <c r="Y246" s="66"/>
      <c r="Z246" s="66"/>
      <c r="AA246" s="66"/>
      <c r="AB246" s="66"/>
      <c r="AC246" s="66"/>
      <c r="AD246" s="66"/>
      <c r="AE246" s="66"/>
      <c r="AF246" s="66"/>
      <c r="AG246" s="66"/>
      <c r="CF246" s="68"/>
    </row>
    <row r="247" spans="1:84" ht="17.399999999999999" x14ac:dyDescent="0.35">
      <c r="A247" s="67" t="s">
        <v>876</v>
      </c>
      <c r="B247" s="67"/>
      <c r="C247" s="66"/>
      <c r="D247" s="66">
        <v>61.693640000000002</v>
      </c>
      <c r="E247" s="66"/>
      <c r="F247" s="66"/>
      <c r="G247" s="66"/>
      <c r="H247" s="66"/>
      <c r="I247" s="66"/>
      <c r="J247" s="66"/>
      <c r="K247" s="66"/>
      <c r="L247" s="66"/>
      <c r="M247" s="66"/>
      <c r="N247" s="66"/>
      <c r="O247" s="66"/>
      <c r="P247" s="66"/>
      <c r="Q247" s="66"/>
      <c r="R247" s="66"/>
      <c r="S247" s="66"/>
      <c r="T247" s="66"/>
      <c r="U247" s="66"/>
      <c r="V247" s="66"/>
      <c r="W247" s="66"/>
      <c r="X247" s="66"/>
      <c r="Y247" s="66"/>
      <c r="Z247" s="66"/>
      <c r="AA247" s="66"/>
      <c r="AB247" s="66"/>
      <c r="AC247" s="66"/>
      <c r="AD247" s="66"/>
      <c r="AE247" s="66"/>
      <c r="AF247" s="66"/>
      <c r="AG247" s="66"/>
      <c r="CF247" s="68"/>
    </row>
    <row r="248" spans="1:84" ht="17.399999999999999" x14ac:dyDescent="0.35">
      <c r="A248" s="67" t="s">
        <v>877</v>
      </c>
      <c r="B248" s="67"/>
      <c r="C248" s="66"/>
      <c r="D248" s="66">
        <v>61.0032</v>
      </c>
      <c r="E248" s="66"/>
      <c r="F248" s="66"/>
      <c r="G248" s="66"/>
      <c r="H248" s="66"/>
      <c r="I248" s="66"/>
      <c r="J248" s="66"/>
      <c r="K248" s="66"/>
      <c r="L248" s="66"/>
      <c r="M248" s="66"/>
      <c r="N248" s="66"/>
      <c r="O248" s="66"/>
      <c r="P248" s="66"/>
      <c r="Q248" s="66"/>
      <c r="R248" s="66"/>
      <c r="S248" s="66"/>
      <c r="T248" s="66"/>
      <c r="U248" s="66"/>
      <c r="V248" s="66"/>
      <c r="W248" s="66"/>
      <c r="X248" s="66"/>
      <c r="Y248" s="66"/>
      <c r="Z248" s="66"/>
      <c r="AA248" s="66"/>
      <c r="AB248" s="66"/>
      <c r="AC248" s="66"/>
      <c r="AD248" s="66"/>
      <c r="AE248" s="66"/>
      <c r="AF248" s="66"/>
      <c r="AG248" s="66"/>
      <c r="CF248" s="68"/>
    </row>
    <row r="249" spans="1:84" ht="17.399999999999999" x14ac:dyDescent="0.35">
      <c r="A249" s="67" t="s">
        <v>878</v>
      </c>
      <c r="B249" s="67"/>
      <c r="C249" s="66"/>
      <c r="D249" s="66">
        <v>64.537779999999998</v>
      </c>
      <c r="E249" s="66"/>
      <c r="F249" s="66"/>
      <c r="G249" s="66"/>
      <c r="H249" s="66"/>
      <c r="I249" s="66"/>
      <c r="J249" s="66"/>
      <c r="K249" s="66"/>
      <c r="L249" s="66"/>
      <c r="M249" s="66"/>
      <c r="N249" s="66"/>
      <c r="O249" s="66"/>
      <c r="P249" s="66"/>
      <c r="Q249" s="66"/>
      <c r="R249" s="66"/>
      <c r="S249" s="66"/>
      <c r="T249" s="66"/>
      <c r="U249" s="66"/>
      <c r="V249" s="66"/>
      <c r="W249" s="66"/>
      <c r="X249" s="66"/>
      <c r="Y249" s="66"/>
      <c r="Z249" s="66"/>
      <c r="AA249" s="66"/>
      <c r="AB249" s="66"/>
      <c r="AC249" s="66"/>
      <c r="AD249" s="66"/>
      <c r="AE249" s="66"/>
      <c r="AF249" s="66"/>
      <c r="AG249" s="66"/>
      <c r="CF249" s="68"/>
    </row>
    <row r="250" spans="1:84" ht="17.399999999999999" x14ac:dyDescent="0.35">
      <c r="A250" s="67" t="s">
        <v>879</v>
      </c>
      <c r="B250" s="67"/>
      <c r="C250" s="66"/>
      <c r="D250" s="66">
        <v>59.731610000000003</v>
      </c>
      <c r="E250" s="66"/>
      <c r="F250" s="66"/>
      <c r="G250" s="66"/>
      <c r="H250" s="66"/>
      <c r="I250" s="66"/>
      <c r="J250" s="66"/>
      <c r="K250" s="66"/>
      <c r="L250" s="66"/>
      <c r="M250" s="66"/>
      <c r="N250" s="66"/>
      <c r="O250" s="66"/>
      <c r="P250" s="66"/>
      <c r="Q250" s="66"/>
      <c r="R250" s="66"/>
      <c r="S250" s="66"/>
      <c r="T250" s="66"/>
      <c r="U250" s="66"/>
      <c r="V250" s="66"/>
      <c r="W250" s="66"/>
      <c r="X250" s="66"/>
      <c r="Y250" s="66"/>
      <c r="Z250" s="66"/>
      <c r="AA250" s="66"/>
      <c r="AB250" s="66"/>
      <c r="AC250" s="66"/>
      <c r="AD250" s="66"/>
      <c r="AE250" s="66"/>
      <c r="AF250" s="66"/>
      <c r="AG250" s="66"/>
      <c r="CF250" s="68"/>
    </row>
    <row r="251" spans="1:84" ht="17.399999999999999" x14ac:dyDescent="0.35">
      <c r="A251" s="67" t="s">
        <v>880</v>
      </c>
      <c r="B251" s="67"/>
      <c r="C251" s="66"/>
      <c r="D251" s="66">
        <v>68.170079999999999</v>
      </c>
      <c r="E251" s="66"/>
      <c r="F251" s="66"/>
      <c r="G251" s="66"/>
      <c r="H251" s="66"/>
      <c r="I251" s="66"/>
      <c r="J251" s="66"/>
      <c r="K251" s="66"/>
      <c r="L251" s="66"/>
      <c r="M251" s="66"/>
      <c r="N251" s="66"/>
      <c r="O251" s="66"/>
      <c r="P251" s="66"/>
      <c r="Q251" s="66"/>
      <c r="R251" s="66"/>
      <c r="S251" s="66"/>
      <c r="T251" s="66"/>
      <c r="U251" s="66"/>
      <c r="V251" s="66"/>
      <c r="W251" s="66"/>
      <c r="X251" s="66"/>
      <c r="Y251" s="66"/>
      <c r="Z251" s="66"/>
      <c r="AA251" s="66"/>
      <c r="AB251" s="66"/>
      <c r="AC251" s="66"/>
      <c r="AD251" s="66"/>
      <c r="AE251" s="66"/>
      <c r="AF251" s="66"/>
      <c r="AG251" s="66"/>
      <c r="CF251" s="68"/>
    </row>
    <row r="252" spans="1:84" ht="17.399999999999999" x14ac:dyDescent="0.35">
      <c r="A252" s="67" t="s">
        <v>881</v>
      </c>
      <c r="B252" s="67"/>
      <c r="C252" s="66"/>
      <c r="D252" s="66">
        <v>67.393320000000003</v>
      </c>
      <c r="E252" s="66"/>
      <c r="F252" s="66"/>
      <c r="G252" s="66"/>
      <c r="H252" s="66"/>
      <c r="I252" s="66"/>
      <c r="J252" s="66"/>
      <c r="K252" s="66"/>
      <c r="L252" s="66"/>
      <c r="M252" s="66"/>
      <c r="N252" s="66"/>
      <c r="O252" s="66"/>
      <c r="P252" s="66"/>
      <c r="Q252" s="66"/>
      <c r="R252" s="66"/>
      <c r="S252" s="66"/>
      <c r="T252" s="66"/>
      <c r="U252" s="66"/>
      <c r="V252" s="66"/>
      <c r="W252" s="66"/>
      <c r="X252" s="66"/>
      <c r="Y252" s="66"/>
      <c r="Z252" s="66"/>
      <c r="AA252" s="66"/>
      <c r="AB252" s="66"/>
      <c r="AC252" s="66"/>
      <c r="AD252" s="66"/>
      <c r="AE252" s="66"/>
      <c r="AF252" s="66"/>
      <c r="AG252" s="66"/>
      <c r="CF252" s="68"/>
    </row>
    <row r="253" spans="1:84" ht="17.399999999999999" x14ac:dyDescent="0.35">
      <c r="A253" s="67" t="s">
        <v>882</v>
      </c>
      <c r="B253" s="67"/>
      <c r="C253" s="66"/>
      <c r="D253" s="66">
        <v>66.789339999999996</v>
      </c>
      <c r="E253" s="66"/>
      <c r="F253" s="66"/>
      <c r="G253" s="66"/>
      <c r="H253" s="66"/>
      <c r="I253" s="66"/>
      <c r="J253" s="66"/>
      <c r="K253" s="66"/>
      <c r="L253" s="66"/>
      <c r="M253" s="66"/>
      <c r="N253" s="66"/>
      <c r="O253" s="66"/>
      <c r="P253" s="66"/>
      <c r="Q253" s="66"/>
      <c r="R253" s="66"/>
      <c r="S253" s="66"/>
      <c r="T253" s="66"/>
      <c r="U253" s="66"/>
      <c r="V253" s="66"/>
      <c r="W253" s="66"/>
      <c r="X253" s="66"/>
      <c r="Y253" s="66"/>
      <c r="Z253" s="66"/>
      <c r="AA253" s="66"/>
      <c r="AB253" s="66"/>
      <c r="AC253" s="66"/>
      <c r="AD253" s="66"/>
      <c r="AE253" s="66"/>
      <c r="AF253" s="66"/>
      <c r="AG253" s="66"/>
      <c r="CF253" s="68"/>
    </row>
    <row r="254" spans="1:84" ht="17.399999999999999" x14ac:dyDescent="0.35">
      <c r="A254" s="67" t="s">
        <v>883</v>
      </c>
      <c r="B254" s="67"/>
      <c r="C254" s="66"/>
      <c r="D254" s="66">
        <v>96.132499999999993</v>
      </c>
      <c r="E254" s="66"/>
      <c r="F254" s="66"/>
      <c r="G254" s="66"/>
      <c r="H254" s="66"/>
      <c r="I254" s="66"/>
      <c r="J254" s="66"/>
      <c r="K254" s="66"/>
      <c r="L254" s="66"/>
      <c r="M254" s="66"/>
      <c r="N254" s="66"/>
      <c r="O254" s="66"/>
      <c r="P254" s="66"/>
      <c r="Q254" s="66"/>
      <c r="R254" s="66"/>
      <c r="S254" s="66"/>
      <c r="T254" s="66"/>
      <c r="U254" s="66"/>
      <c r="V254" s="66"/>
      <c r="W254" s="66"/>
      <c r="X254" s="66"/>
      <c r="Y254" s="66"/>
      <c r="Z254" s="66"/>
      <c r="AA254" s="66"/>
      <c r="AB254" s="66"/>
      <c r="AC254" s="66"/>
      <c r="AD254" s="66"/>
      <c r="AE254" s="66"/>
      <c r="AF254" s="66"/>
      <c r="AG254" s="66"/>
      <c r="CF254" s="68"/>
    </row>
    <row r="255" spans="1:84" ht="17.399999999999999" x14ac:dyDescent="0.35">
      <c r="A255" s="67" t="s">
        <v>884</v>
      </c>
      <c r="B255" s="67"/>
      <c r="C255" s="66"/>
      <c r="D255" s="66">
        <v>36.14452</v>
      </c>
      <c r="E255" s="66"/>
      <c r="F255" s="66"/>
      <c r="G255" s="66"/>
      <c r="H255" s="66"/>
      <c r="I255" s="66"/>
      <c r="J255" s="66"/>
      <c r="K255" s="66"/>
      <c r="L255" s="66"/>
      <c r="M255" s="66"/>
      <c r="N255" s="66"/>
      <c r="O255" s="66"/>
      <c r="P255" s="66"/>
      <c r="Q255" s="66"/>
      <c r="R255" s="66"/>
      <c r="S255" s="66"/>
      <c r="T255" s="66"/>
      <c r="U255" s="66"/>
      <c r="V255" s="66"/>
      <c r="W255" s="66"/>
      <c r="X255" s="66"/>
      <c r="Y255" s="66"/>
      <c r="Z255" s="66"/>
      <c r="AA255" s="66"/>
      <c r="AB255" s="66"/>
      <c r="AC255" s="66"/>
      <c r="AD255" s="66"/>
      <c r="AE255" s="66"/>
      <c r="AF255" s="66"/>
      <c r="AG255" s="66"/>
      <c r="CF255" s="68"/>
    </row>
    <row r="256" spans="1:84" ht="17.399999999999999" x14ac:dyDescent="0.35">
      <c r="A256" s="67" t="s">
        <v>885</v>
      </c>
      <c r="B256" s="67"/>
      <c r="C256" s="66"/>
      <c r="D256" s="66">
        <v>53.92418</v>
      </c>
      <c r="E256" s="66"/>
      <c r="F256" s="66"/>
      <c r="G256" s="66"/>
      <c r="H256" s="66"/>
      <c r="I256" s="66"/>
      <c r="J256" s="66"/>
      <c r="K256" s="66"/>
      <c r="L256" s="66"/>
      <c r="M256" s="66"/>
      <c r="N256" s="66"/>
      <c r="O256" s="66"/>
      <c r="P256" s="66"/>
      <c r="Q256" s="66"/>
      <c r="R256" s="66"/>
      <c r="S256" s="66"/>
      <c r="T256" s="66"/>
      <c r="U256" s="66"/>
      <c r="V256" s="66"/>
      <c r="W256" s="66"/>
      <c r="X256" s="66"/>
      <c r="Y256" s="66"/>
      <c r="Z256" s="66"/>
      <c r="AA256" s="66"/>
      <c r="AB256" s="66"/>
      <c r="AC256" s="66"/>
      <c r="AD256" s="66"/>
      <c r="AE256" s="66"/>
      <c r="AF256" s="66"/>
      <c r="AG256" s="66"/>
      <c r="CF256" s="68"/>
    </row>
    <row r="257" spans="1:84" ht="17.399999999999999" x14ac:dyDescent="0.35">
      <c r="A257" s="67" t="s">
        <v>886</v>
      </c>
      <c r="B257" s="67"/>
      <c r="C257" s="66"/>
      <c r="D257" s="66">
        <v>54.726790000000001</v>
      </c>
      <c r="E257" s="66"/>
      <c r="F257" s="66"/>
      <c r="G257" s="66"/>
      <c r="H257" s="66"/>
      <c r="I257" s="66"/>
      <c r="J257" s="66"/>
      <c r="K257" s="66"/>
      <c r="L257" s="66"/>
      <c r="M257" s="66"/>
      <c r="N257" s="66"/>
      <c r="O257" s="66"/>
      <c r="P257" s="66"/>
      <c r="Q257" s="66"/>
      <c r="R257" s="66"/>
      <c r="S257" s="66"/>
      <c r="T257" s="66"/>
      <c r="U257" s="66"/>
      <c r="V257" s="66"/>
      <c r="W257" s="66"/>
      <c r="X257" s="66"/>
      <c r="Y257" s="66"/>
      <c r="Z257" s="66"/>
      <c r="AA257" s="66"/>
      <c r="AB257" s="66"/>
      <c r="AC257" s="66"/>
      <c r="AD257" s="66"/>
      <c r="AE257" s="66"/>
      <c r="AF257" s="66"/>
      <c r="AG257" s="66"/>
      <c r="CF257" s="68"/>
    </row>
    <row r="258" spans="1:84" ht="17.399999999999999" x14ac:dyDescent="0.35">
      <c r="A258" s="67" t="s">
        <v>887</v>
      </c>
      <c r="B258" s="67"/>
      <c r="C258" s="66"/>
      <c r="D258" s="66">
        <v>60.184179999999998</v>
      </c>
      <c r="E258" s="66"/>
      <c r="F258" s="66"/>
      <c r="G258" s="66"/>
      <c r="H258" s="66"/>
      <c r="I258" s="66"/>
      <c r="J258" s="66"/>
      <c r="K258" s="66"/>
      <c r="L258" s="66"/>
      <c r="M258" s="66"/>
      <c r="N258" s="66"/>
      <c r="O258" s="66"/>
      <c r="P258" s="66"/>
      <c r="Q258" s="66"/>
      <c r="R258" s="66"/>
      <c r="S258" s="66"/>
      <c r="T258" s="66"/>
      <c r="U258" s="66"/>
      <c r="V258" s="66"/>
      <c r="W258" s="66"/>
      <c r="X258" s="66"/>
      <c r="Y258" s="66"/>
      <c r="Z258" s="66"/>
      <c r="AA258" s="66"/>
      <c r="AB258" s="66"/>
      <c r="AC258" s="66"/>
      <c r="AD258" s="66"/>
      <c r="AE258" s="66"/>
      <c r="AF258" s="66"/>
      <c r="AG258" s="66"/>
      <c r="CF258" s="68"/>
    </row>
    <row r="259" spans="1:84" ht="17.399999999999999" x14ac:dyDescent="0.35">
      <c r="A259" s="67" t="s">
        <v>888</v>
      </c>
      <c r="B259" s="67"/>
      <c r="C259" s="66"/>
      <c r="D259" s="66">
        <v>64.109480000000005</v>
      </c>
      <c r="E259" s="66"/>
      <c r="F259" s="66"/>
      <c r="G259" s="66"/>
      <c r="H259" s="66"/>
      <c r="I259" s="66"/>
      <c r="J259" s="66"/>
      <c r="K259" s="66"/>
      <c r="L259" s="66"/>
      <c r="M259" s="66"/>
      <c r="N259" s="66"/>
      <c r="O259" s="66"/>
      <c r="P259" s="66"/>
      <c r="Q259" s="66"/>
      <c r="R259" s="66"/>
      <c r="S259" s="66"/>
      <c r="T259" s="66"/>
      <c r="U259" s="66"/>
      <c r="V259" s="66"/>
      <c r="W259" s="66"/>
      <c r="X259" s="66"/>
      <c r="Y259" s="66"/>
      <c r="Z259" s="66"/>
      <c r="AA259" s="66"/>
      <c r="AB259" s="66"/>
      <c r="AC259" s="66"/>
      <c r="AD259" s="66"/>
      <c r="AE259" s="66"/>
      <c r="AF259" s="66"/>
      <c r="AG259" s="66"/>
      <c r="CF259" s="68"/>
    </row>
    <row r="260" spans="1:84" ht="17.399999999999999" x14ac:dyDescent="0.35">
      <c r="A260" s="67" t="s">
        <v>889</v>
      </c>
      <c r="B260" s="67"/>
      <c r="C260" s="66"/>
      <c r="D260" s="66">
        <v>62.25582</v>
      </c>
      <c r="E260" s="66"/>
      <c r="F260" s="66"/>
      <c r="G260" s="66"/>
      <c r="H260" s="66"/>
      <c r="I260" s="66"/>
      <c r="J260" s="66"/>
      <c r="K260" s="66"/>
      <c r="L260" s="66"/>
      <c r="M260" s="66"/>
      <c r="N260" s="66"/>
      <c r="O260" s="66"/>
      <c r="P260" s="66"/>
      <c r="Q260" s="66"/>
      <c r="R260" s="66"/>
      <c r="S260" s="66"/>
      <c r="T260" s="66"/>
      <c r="U260" s="66"/>
      <c r="V260" s="66"/>
      <c r="W260" s="66"/>
      <c r="X260" s="66"/>
      <c r="Y260" s="66"/>
      <c r="Z260" s="66"/>
      <c r="AA260" s="66"/>
      <c r="AB260" s="66"/>
      <c r="AC260" s="66"/>
      <c r="AD260" s="66"/>
      <c r="AE260" s="66"/>
      <c r="AF260" s="66"/>
      <c r="AG260" s="66"/>
      <c r="CF260" s="68"/>
    </row>
    <row r="261" spans="1:84" ht="17.399999999999999" x14ac:dyDescent="0.35">
      <c r="A261" s="67" t="s">
        <v>890</v>
      </c>
      <c r="B261" s="67"/>
      <c r="C261" s="66"/>
      <c r="D261" s="66">
        <v>63.378860000000003</v>
      </c>
      <c r="E261" s="66"/>
      <c r="F261" s="66"/>
      <c r="G261" s="66"/>
      <c r="H261" s="66"/>
      <c r="I261" s="66"/>
      <c r="J261" s="66"/>
      <c r="K261" s="66"/>
      <c r="L261" s="66"/>
      <c r="M261" s="66"/>
      <c r="N261" s="66"/>
      <c r="O261" s="66"/>
      <c r="P261" s="66"/>
      <c r="Q261" s="66"/>
      <c r="R261" s="66"/>
      <c r="S261" s="66"/>
      <c r="T261" s="66"/>
      <c r="U261" s="66"/>
      <c r="V261" s="66"/>
      <c r="W261" s="66"/>
      <c r="X261" s="66"/>
      <c r="Y261" s="66"/>
      <c r="Z261" s="66"/>
      <c r="AA261" s="66"/>
      <c r="AB261" s="66"/>
      <c r="AC261" s="66"/>
      <c r="AD261" s="66"/>
      <c r="AE261" s="66"/>
      <c r="AF261" s="66"/>
      <c r="AG261" s="66"/>
      <c r="CF261" s="68"/>
    </row>
    <row r="262" spans="1:84" ht="17.399999999999999" x14ac:dyDescent="0.35">
      <c r="A262" s="67" t="s">
        <v>891</v>
      </c>
      <c r="B262" s="67"/>
      <c r="C262" s="66"/>
      <c r="D262" s="66">
        <v>66.789640000000006</v>
      </c>
      <c r="E262" s="66"/>
      <c r="F262" s="66"/>
      <c r="G262" s="66"/>
      <c r="H262" s="66"/>
      <c r="I262" s="66"/>
      <c r="J262" s="66"/>
      <c r="K262" s="66"/>
      <c r="L262" s="66"/>
      <c r="M262" s="66"/>
      <c r="N262" s="66"/>
      <c r="O262" s="66"/>
      <c r="P262" s="66"/>
      <c r="Q262" s="66"/>
      <c r="R262" s="66"/>
      <c r="S262" s="66"/>
      <c r="T262" s="66"/>
      <c r="U262" s="66"/>
      <c r="V262" s="66"/>
      <c r="W262" s="66"/>
      <c r="X262" s="66"/>
      <c r="Y262" s="66"/>
      <c r="Z262" s="66"/>
      <c r="AA262" s="66"/>
      <c r="AB262" s="66"/>
      <c r="AC262" s="66"/>
      <c r="AD262" s="66"/>
      <c r="AE262" s="66"/>
      <c r="AF262" s="66"/>
      <c r="AG262" s="66"/>
      <c r="CF262" s="68"/>
    </row>
    <row r="263" spans="1:84" ht="17.399999999999999" x14ac:dyDescent="0.35">
      <c r="A263" s="67" t="s">
        <v>892</v>
      </c>
      <c r="B263" s="67"/>
      <c r="C263" s="66"/>
      <c r="D263" s="66">
        <v>66.027760000000001</v>
      </c>
      <c r="E263" s="66"/>
      <c r="F263" s="66"/>
      <c r="G263" s="66"/>
      <c r="H263" s="66"/>
      <c r="I263" s="66"/>
      <c r="J263" s="66"/>
      <c r="K263" s="66"/>
      <c r="L263" s="66"/>
      <c r="M263" s="66"/>
      <c r="N263" s="66"/>
      <c r="O263" s="66"/>
      <c r="P263" s="66"/>
      <c r="Q263" s="66"/>
      <c r="R263" s="66"/>
      <c r="S263" s="66"/>
      <c r="T263" s="66"/>
      <c r="U263" s="66"/>
      <c r="V263" s="66"/>
      <c r="W263" s="66"/>
      <c r="X263" s="66"/>
      <c r="Y263" s="66"/>
      <c r="Z263" s="66"/>
      <c r="AA263" s="66"/>
      <c r="AB263" s="66"/>
      <c r="AC263" s="66"/>
      <c r="AD263" s="66"/>
      <c r="AE263" s="66"/>
      <c r="AF263" s="66"/>
      <c r="AG263" s="66"/>
      <c r="CF263" s="68"/>
    </row>
    <row r="264" spans="1:84" ht="17.399999999999999" x14ac:dyDescent="0.35">
      <c r="A264" s="67" t="s">
        <v>893</v>
      </c>
      <c r="B264" s="67"/>
      <c r="C264" s="66"/>
      <c r="D264" s="66">
        <v>69.133340000000004</v>
      </c>
      <c r="E264" s="66"/>
      <c r="F264" s="66"/>
      <c r="G264" s="66"/>
      <c r="H264" s="66"/>
      <c r="I264" s="66"/>
      <c r="J264" s="66"/>
      <c r="K264" s="66"/>
      <c r="L264" s="66"/>
      <c r="M264" s="66"/>
      <c r="N264" s="66"/>
      <c r="O264" s="66"/>
      <c r="P264" s="66"/>
      <c r="Q264" s="66"/>
      <c r="R264" s="66"/>
      <c r="S264" s="66"/>
      <c r="T264" s="66"/>
      <c r="U264" s="66"/>
      <c r="V264" s="66"/>
      <c r="W264" s="66"/>
      <c r="X264" s="66"/>
      <c r="Y264" s="66"/>
      <c r="Z264" s="66"/>
      <c r="AA264" s="66"/>
      <c r="AB264" s="66"/>
      <c r="AC264" s="66"/>
      <c r="AD264" s="66"/>
      <c r="AE264" s="66"/>
      <c r="AF264" s="66"/>
      <c r="AG264" s="66"/>
      <c r="CF264" s="68"/>
    </row>
    <row r="265" spans="1:84" ht="17.399999999999999" x14ac:dyDescent="0.35">
      <c r="A265" s="67" t="s">
        <v>894</v>
      </c>
      <c r="B265" s="67"/>
      <c r="C265" s="66"/>
      <c r="D265" s="66">
        <v>75.006219999999999</v>
      </c>
      <c r="E265" s="66"/>
      <c r="F265" s="66"/>
      <c r="G265" s="66"/>
      <c r="H265" s="66"/>
      <c r="I265" s="66"/>
      <c r="J265" s="66"/>
      <c r="K265" s="66"/>
      <c r="L265" s="66"/>
      <c r="M265" s="66"/>
      <c r="N265" s="66"/>
      <c r="O265" s="66"/>
      <c r="P265" s="66"/>
      <c r="Q265" s="66"/>
      <c r="R265" s="66"/>
      <c r="S265" s="66"/>
      <c r="T265" s="66"/>
      <c r="U265" s="66"/>
      <c r="V265" s="66"/>
      <c r="W265" s="66"/>
      <c r="X265" s="66"/>
      <c r="Y265" s="66"/>
      <c r="Z265" s="66"/>
      <c r="AA265" s="66"/>
      <c r="AB265" s="66"/>
      <c r="AC265" s="66"/>
      <c r="AD265" s="66"/>
      <c r="AE265" s="66"/>
      <c r="AF265" s="66"/>
      <c r="AG265" s="66"/>
      <c r="CF265" s="68"/>
    </row>
    <row r="266" spans="1:84" ht="17.399999999999999" x14ac:dyDescent="0.35">
      <c r="A266" s="67" t="s">
        <v>895</v>
      </c>
      <c r="B266" s="67"/>
      <c r="C266" s="66"/>
      <c r="D266" s="66">
        <v>107.8146</v>
      </c>
      <c r="E266" s="66"/>
      <c r="F266" s="66"/>
      <c r="G266" s="66"/>
      <c r="H266" s="66"/>
      <c r="I266" s="66"/>
      <c r="J266" s="66"/>
      <c r="K266" s="66"/>
      <c r="L266" s="66"/>
      <c r="M266" s="66"/>
      <c r="N266" s="66"/>
      <c r="O266" s="66"/>
      <c r="P266" s="66"/>
      <c r="Q266" s="66"/>
      <c r="R266" s="66"/>
      <c r="S266" s="66"/>
      <c r="T266" s="66"/>
      <c r="U266" s="66"/>
      <c r="V266" s="66"/>
      <c r="W266" s="66"/>
      <c r="X266" s="66"/>
      <c r="Y266" s="66"/>
      <c r="Z266" s="66"/>
      <c r="AA266" s="66"/>
      <c r="AB266" s="66"/>
      <c r="AC266" s="66"/>
      <c r="AD266" s="66"/>
      <c r="AE266" s="66"/>
      <c r="AF266" s="66"/>
      <c r="AG266" s="66"/>
      <c r="CF266" s="68"/>
    </row>
    <row r="267" spans="1:84" ht="17.399999999999999" x14ac:dyDescent="0.35">
      <c r="A267" s="67" t="s">
        <v>907</v>
      </c>
      <c r="B267" s="67"/>
      <c r="C267" s="66"/>
      <c r="D267" s="66">
        <v>49.039870000000001</v>
      </c>
      <c r="E267" s="66"/>
      <c r="F267" s="66"/>
      <c r="G267" s="66"/>
      <c r="H267" s="66"/>
      <c r="I267" s="66"/>
      <c r="J267" s="66"/>
      <c r="K267" s="66"/>
      <c r="L267" s="66"/>
      <c r="M267" s="66"/>
      <c r="N267" s="66"/>
      <c r="O267" s="66"/>
      <c r="P267" s="66"/>
      <c r="Q267" s="66"/>
      <c r="R267" s="66"/>
      <c r="S267" s="66"/>
      <c r="T267" s="66"/>
      <c r="U267" s="66"/>
      <c r="V267" s="66"/>
      <c r="W267" s="66"/>
      <c r="X267" s="66"/>
      <c r="Y267" s="66"/>
      <c r="Z267" s="66"/>
      <c r="AA267" s="66"/>
      <c r="AB267" s="66"/>
      <c r="AC267" s="66"/>
      <c r="AD267" s="66"/>
      <c r="AE267" s="66"/>
      <c r="AF267" s="66"/>
      <c r="AG267" s="66"/>
      <c r="CF267" s="68"/>
    </row>
    <row r="268" spans="1:84" ht="17.399999999999999" x14ac:dyDescent="0.35">
      <c r="A268" s="67" t="s">
        <v>908</v>
      </c>
      <c r="B268" s="67"/>
      <c r="C268" s="66"/>
      <c r="D268" s="66">
        <v>53.876519999999999</v>
      </c>
      <c r="E268" s="66"/>
      <c r="F268" s="66"/>
      <c r="G268" s="66"/>
      <c r="H268" s="66"/>
      <c r="I268" s="66"/>
      <c r="J268" s="66"/>
      <c r="K268" s="66"/>
      <c r="L268" s="66"/>
      <c r="M268" s="66"/>
      <c r="N268" s="66"/>
      <c r="O268" s="66"/>
      <c r="P268" s="66"/>
      <c r="Q268" s="66"/>
      <c r="R268" s="66"/>
      <c r="S268" s="66"/>
      <c r="T268" s="66"/>
      <c r="U268" s="66"/>
      <c r="V268" s="66"/>
      <c r="W268" s="66"/>
      <c r="X268" s="66"/>
      <c r="Y268" s="66"/>
      <c r="Z268" s="66"/>
      <c r="AA268" s="66"/>
      <c r="AB268" s="66"/>
      <c r="AC268" s="66"/>
      <c r="AD268" s="66"/>
      <c r="AE268" s="66"/>
      <c r="AF268" s="66"/>
      <c r="AG268" s="66"/>
      <c r="CF268" s="68"/>
    </row>
    <row r="269" spans="1:84" ht="17.399999999999999" x14ac:dyDescent="0.35">
      <c r="A269" s="67" t="s">
        <v>909</v>
      </c>
      <c r="B269" s="67"/>
      <c r="C269" s="66"/>
      <c r="D269" s="66">
        <v>60.501899999999999</v>
      </c>
      <c r="E269" s="66"/>
      <c r="F269" s="66"/>
      <c r="G269" s="66"/>
      <c r="H269" s="66"/>
      <c r="I269" s="66"/>
      <c r="J269" s="66"/>
      <c r="K269" s="66"/>
      <c r="L269" s="66"/>
      <c r="M269" s="66"/>
      <c r="N269" s="66"/>
      <c r="O269" s="66"/>
      <c r="P269" s="66"/>
      <c r="Q269" s="66"/>
      <c r="R269" s="66"/>
      <c r="S269" s="66"/>
      <c r="T269" s="66"/>
      <c r="U269" s="66"/>
      <c r="V269" s="66"/>
      <c r="W269" s="66"/>
      <c r="X269" s="66"/>
      <c r="Y269" s="66"/>
      <c r="Z269" s="66"/>
      <c r="AA269" s="66"/>
      <c r="AB269" s="66"/>
      <c r="AC269" s="66"/>
      <c r="AD269" s="66"/>
      <c r="AE269" s="66"/>
      <c r="AF269" s="66"/>
      <c r="AG269" s="66"/>
      <c r="CF269" s="68"/>
    </row>
    <row r="270" spans="1:84" ht="17.399999999999999" x14ac:dyDescent="0.35">
      <c r="A270" s="67" t="s">
        <v>910</v>
      </c>
      <c r="B270" s="67"/>
      <c r="C270" s="66"/>
      <c r="D270" s="66">
        <v>61.704839999999997</v>
      </c>
      <c r="E270" s="66"/>
      <c r="F270" s="66"/>
      <c r="G270" s="66"/>
      <c r="H270" s="66"/>
      <c r="I270" s="66"/>
      <c r="J270" s="66"/>
      <c r="K270" s="66"/>
      <c r="L270" s="66"/>
      <c r="M270" s="66"/>
      <c r="N270" s="66"/>
      <c r="O270" s="66"/>
      <c r="P270" s="66"/>
      <c r="Q270" s="66"/>
      <c r="R270" s="66"/>
      <c r="S270" s="66"/>
      <c r="T270" s="66"/>
      <c r="U270" s="66"/>
      <c r="V270" s="66"/>
      <c r="W270" s="66"/>
      <c r="X270" s="66"/>
      <c r="Y270" s="66"/>
      <c r="Z270" s="66"/>
      <c r="AA270" s="66"/>
      <c r="AB270" s="66"/>
      <c r="AC270" s="66"/>
      <c r="AD270" s="66"/>
      <c r="AE270" s="66"/>
      <c r="AF270" s="66"/>
      <c r="AG270" s="66"/>
      <c r="CF270" s="68"/>
    </row>
    <row r="271" spans="1:84" ht="17.399999999999999" x14ac:dyDescent="0.35">
      <c r="A271" s="67" t="s">
        <v>911</v>
      </c>
      <c r="B271" s="67"/>
      <c r="C271" s="66"/>
      <c r="D271" s="66">
        <v>65.476699999999994</v>
      </c>
      <c r="E271" s="66"/>
      <c r="F271" s="66"/>
      <c r="G271" s="66"/>
      <c r="H271" s="66"/>
      <c r="I271" s="66"/>
      <c r="J271" s="66"/>
      <c r="K271" s="66"/>
      <c r="L271" s="66"/>
      <c r="M271" s="66"/>
      <c r="N271" s="66"/>
      <c r="O271" s="66"/>
      <c r="P271" s="66"/>
      <c r="Q271" s="66"/>
      <c r="R271" s="66"/>
      <c r="S271" s="66"/>
      <c r="T271" s="66"/>
      <c r="U271" s="66"/>
      <c r="V271" s="66"/>
      <c r="W271" s="66"/>
      <c r="X271" s="66"/>
      <c r="Y271" s="66"/>
      <c r="Z271" s="66"/>
      <c r="AA271" s="66"/>
      <c r="AB271" s="66"/>
      <c r="AC271" s="66"/>
      <c r="AD271" s="66"/>
      <c r="AE271" s="66"/>
      <c r="AF271" s="66"/>
      <c r="AG271" s="66"/>
      <c r="CF271" s="68"/>
    </row>
    <row r="272" spans="1:84" ht="17.399999999999999" x14ac:dyDescent="0.35">
      <c r="A272" s="67" t="s">
        <v>912</v>
      </c>
      <c r="B272" s="67"/>
      <c r="C272" s="66"/>
      <c r="D272" s="66">
        <v>67.336939999999998</v>
      </c>
      <c r="E272" s="66"/>
      <c r="F272" s="66"/>
      <c r="G272" s="66"/>
      <c r="H272" s="66"/>
      <c r="I272" s="66"/>
      <c r="J272" s="66"/>
      <c r="K272" s="66"/>
      <c r="L272" s="66"/>
      <c r="M272" s="66"/>
      <c r="N272" s="66"/>
      <c r="O272" s="66"/>
      <c r="P272" s="66"/>
      <c r="Q272" s="66"/>
      <c r="R272" s="66"/>
      <c r="S272" s="66"/>
      <c r="T272" s="66"/>
      <c r="U272" s="66"/>
      <c r="V272" s="66"/>
      <c r="W272" s="66"/>
      <c r="X272" s="66"/>
      <c r="Y272" s="66"/>
      <c r="Z272" s="66"/>
      <c r="AA272" s="66"/>
      <c r="AB272" s="66"/>
      <c r="AC272" s="66"/>
      <c r="AD272" s="66"/>
      <c r="AE272" s="66"/>
      <c r="AF272" s="66"/>
      <c r="AG272" s="66"/>
      <c r="CF272" s="68"/>
    </row>
    <row r="273" spans="1:84" ht="17.399999999999999" x14ac:dyDescent="0.35">
      <c r="A273" s="67" t="s">
        <v>913</v>
      </c>
      <c r="B273" s="67"/>
      <c r="C273" s="66"/>
      <c r="D273" s="66">
        <v>69.207639999999998</v>
      </c>
      <c r="E273" s="66"/>
      <c r="F273" s="66"/>
      <c r="G273" s="66"/>
      <c r="H273" s="66"/>
      <c r="I273" s="66"/>
      <c r="J273" s="66"/>
      <c r="K273" s="66"/>
      <c r="L273" s="66"/>
      <c r="M273" s="66"/>
      <c r="N273" s="66"/>
      <c r="O273" s="66"/>
      <c r="P273" s="66"/>
      <c r="Q273" s="66"/>
      <c r="R273" s="66"/>
      <c r="S273" s="66"/>
      <c r="T273" s="66"/>
      <c r="U273" s="66"/>
      <c r="V273" s="66"/>
      <c r="W273" s="66"/>
      <c r="X273" s="66"/>
      <c r="Y273" s="66"/>
      <c r="Z273" s="66"/>
      <c r="AA273" s="66"/>
      <c r="AB273" s="66"/>
      <c r="AC273" s="66"/>
      <c r="AD273" s="66"/>
      <c r="AE273" s="66"/>
      <c r="AF273" s="66"/>
      <c r="AG273" s="66"/>
      <c r="CF273" s="68"/>
    </row>
    <row r="274" spans="1:84" ht="17.399999999999999" x14ac:dyDescent="0.35">
      <c r="A274" s="67" t="s">
        <v>914</v>
      </c>
      <c r="B274" s="67"/>
      <c r="C274" s="66"/>
      <c r="D274" s="66">
        <v>72.972740000000002</v>
      </c>
      <c r="E274" s="66"/>
      <c r="F274" s="66"/>
      <c r="G274" s="66"/>
      <c r="H274" s="66"/>
      <c r="I274" s="66"/>
      <c r="J274" s="66"/>
      <c r="K274" s="66"/>
      <c r="L274" s="66"/>
      <c r="M274" s="66"/>
      <c r="N274" s="66"/>
      <c r="O274" s="66"/>
      <c r="P274" s="66"/>
      <c r="Q274" s="66"/>
      <c r="R274" s="66"/>
      <c r="S274" s="66"/>
      <c r="T274" s="66"/>
      <c r="U274" s="66"/>
      <c r="V274" s="66"/>
      <c r="W274" s="66"/>
      <c r="X274" s="66"/>
      <c r="Y274" s="66"/>
      <c r="Z274" s="66"/>
      <c r="AA274" s="66"/>
      <c r="AB274" s="66"/>
      <c r="AC274" s="66"/>
      <c r="AD274" s="66"/>
      <c r="AE274" s="66"/>
      <c r="AF274" s="66"/>
      <c r="AG274" s="66"/>
      <c r="CF274" s="68"/>
    </row>
    <row r="275" spans="1:84" ht="17.399999999999999" x14ac:dyDescent="0.35">
      <c r="A275" s="67" t="s">
        <v>915</v>
      </c>
      <c r="B275" s="67"/>
      <c r="C275" s="66"/>
      <c r="D275" s="66">
        <v>74.647580000000005</v>
      </c>
      <c r="E275" s="66"/>
      <c r="F275" s="66"/>
      <c r="G275" s="66"/>
      <c r="H275" s="66"/>
      <c r="I275" s="66"/>
      <c r="J275" s="66"/>
      <c r="K275" s="66"/>
      <c r="L275" s="66"/>
      <c r="M275" s="66"/>
      <c r="N275" s="66"/>
      <c r="O275" s="66"/>
      <c r="P275" s="66"/>
      <c r="Q275" s="66"/>
      <c r="R275" s="66"/>
      <c r="S275" s="66"/>
      <c r="T275" s="66"/>
      <c r="U275" s="66"/>
      <c r="V275" s="66"/>
      <c r="W275" s="66"/>
      <c r="X275" s="66"/>
      <c r="Y275" s="66"/>
      <c r="Z275" s="66"/>
      <c r="AA275" s="66"/>
      <c r="AB275" s="66"/>
      <c r="AC275" s="66"/>
      <c r="AD275" s="66"/>
      <c r="AE275" s="66"/>
      <c r="AF275" s="66"/>
      <c r="AG275" s="66"/>
      <c r="CF275" s="68"/>
    </row>
    <row r="276" spans="1:84" ht="17.399999999999999" x14ac:dyDescent="0.35">
      <c r="A276" s="67" t="s">
        <v>916</v>
      </c>
      <c r="B276" s="67"/>
      <c r="C276" s="66"/>
      <c r="D276" s="66">
        <v>59.915570000000002</v>
      </c>
      <c r="E276" s="66"/>
      <c r="F276" s="66"/>
      <c r="G276" s="66"/>
      <c r="H276" s="66"/>
      <c r="I276" s="66"/>
      <c r="J276" s="66"/>
      <c r="K276" s="66"/>
      <c r="L276" s="66"/>
      <c r="M276" s="66"/>
      <c r="N276" s="66"/>
      <c r="O276" s="66"/>
      <c r="P276" s="66"/>
      <c r="Q276" s="66"/>
      <c r="R276" s="66"/>
      <c r="S276" s="66"/>
      <c r="T276" s="66"/>
      <c r="U276" s="66"/>
      <c r="V276" s="66"/>
      <c r="W276" s="66"/>
      <c r="X276" s="66"/>
      <c r="Y276" s="66"/>
      <c r="Z276" s="66"/>
      <c r="AA276" s="66"/>
      <c r="AB276" s="66"/>
      <c r="AC276" s="66"/>
      <c r="AD276" s="66"/>
      <c r="AE276" s="66"/>
      <c r="AF276" s="66"/>
      <c r="AG276" s="66"/>
      <c r="CF276" s="68"/>
    </row>
    <row r="277" spans="1:84" ht="17.399999999999999" x14ac:dyDescent="0.35">
      <c r="A277" s="67" t="s">
        <v>917</v>
      </c>
      <c r="B277" s="67"/>
      <c r="C277" s="66"/>
      <c r="D277" s="66">
        <v>42.696449999999999</v>
      </c>
      <c r="E277" s="66"/>
      <c r="F277" s="66"/>
      <c r="G277" s="66"/>
      <c r="H277" s="66"/>
      <c r="I277" s="66"/>
      <c r="J277" s="66"/>
      <c r="K277" s="66"/>
      <c r="L277" s="66"/>
      <c r="M277" s="66"/>
      <c r="N277" s="66"/>
      <c r="O277" s="66"/>
      <c r="P277" s="66"/>
      <c r="Q277" s="66"/>
      <c r="R277" s="66"/>
      <c r="S277" s="66"/>
      <c r="T277" s="66"/>
      <c r="U277" s="66"/>
      <c r="V277" s="66"/>
      <c r="W277" s="66"/>
      <c r="X277" s="66"/>
      <c r="Y277" s="66"/>
      <c r="Z277" s="66"/>
      <c r="AA277" s="66"/>
      <c r="AB277" s="66"/>
      <c r="AC277" s="66"/>
      <c r="AD277" s="66"/>
      <c r="AE277" s="66"/>
      <c r="AF277" s="66"/>
      <c r="AG277" s="66"/>
      <c r="CF277" s="68"/>
    </row>
    <row r="278" spans="1:84" ht="17.399999999999999" x14ac:dyDescent="0.35">
      <c r="A278" s="67" t="s">
        <v>918</v>
      </c>
      <c r="B278" s="67"/>
      <c r="C278" s="66"/>
      <c r="D278" s="66">
        <v>61.088900000000002</v>
      </c>
      <c r="E278" s="66"/>
      <c r="F278" s="66"/>
      <c r="G278" s="66"/>
      <c r="H278" s="66"/>
      <c r="I278" s="66"/>
      <c r="J278" s="66"/>
      <c r="K278" s="66"/>
      <c r="L278" s="66"/>
      <c r="M278" s="66"/>
      <c r="N278" s="66"/>
      <c r="O278" s="66"/>
      <c r="P278" s="66"/>
      <c r="Q278" s="66"/>
      <c r="R278" s="66"/>
      <c r="S278" s="66"/>
      <c r="T278" s="66"/>
      <c r="U278" s="66"/>
      <c r="V278" s="66"/>
      <c r="W278" s="66"/>
      <c r="X278" s="66"/>
      <c r="Y278" s="66"/>
      <c r="Z278" s="66"/>
      <c r="AA278" s="66"/>
      <c r="AB278" s="66"/>
      <c r="AC278" s="66"/>
      <c r="AD278" s="66"/>
      <c r="AE278" s="66"/>
      <c r="AF278" s="66"/>
      <c r="AG278" s="66"/>
      <c r="CF278" s="68"/>
    </row>
    <row r="279" spans="1:84" ht="17.399999999999999" x14ac:dyDescent="0.35">
      <c r="A279" s="67" t="s">
        <v>919</v>
      </c>
      <c r="B279" s="67"/>
      <c r="C279" s="66"/>
      <c r="D279" s="66">
        <v>56.814720000000001</v>
      </c>
      <c r="E279" s="66"/>
      <c r="F279" s="66"/>
      <c r="G279" s="66"/>
      <c r="H279" s="66"/>
      <c r="I279" s="66"/>
      <c r="J279" s="66"/>
      <c r="K279" s="66"/>
      <c r="L279" s="66"/>
      <c r="M279" s="66"/>
      <c r="N279" s="66"/>
      <c r="O279" s="66"/>
      <c r="P279" s="66"/>
      <c r="Q279" s="66"/>
      <c r="R279" s="66"/>
      <c r="S279" s="66"/>
      <c r="T279" s="66"/>
      <c r="U279" s="66"/>
      <c r="V279" s="66"/>
      <c r="W279" s="66"/>
      <c r="X279" s="66"/>
      <c r="Y279" s="66"/>
      <c r="Z279" s="66"/>
      <c r="AA279" s="66"/>
      <c r="AB279" s="66"/>
      <c r="AC279" s="66"/>
      <c r="AD279" s="66"/>
      <c r="AE279" s="66"/>
      <c r="AF279" s="66"/>
      <c r="AG279" s="66"/>
      <c r="CF279" s="68"/>
    </row>
    <row r="280" spans="1:84" ht="17.399999999999999" x14ac:dyDescent="0.35">
      <c r="A280" s="67" t="s">
        <v>920</v>
      </c>
      <c r="B280" s="67"/>
      <c r="C280" s="66"/>
      <c r="D280" s="66">
        <v>59.7151</v>
      </c>
      <c r="E280" s="66"/>
      <c r="F280" s="66"/>
      <c r="G280" s="66"/>
      <c r="H280" s="66"/>
      <c r="I280" s="66"/>
      <c r="J280" s="66"/>
      <c r="K280" s="66"/>
      <c r="L280" s="66"/>
      <c r="M280" s="66"/>
      <c r="N280" s="66"/>
      <c r="O280" s="66"/>
      <c r="P280" s="66"/>
      <c r="Q280" s="66"/>
      <c r="R280" s="66"/>
      <c r="S280" s="66"/>
      <c r="T280" s="66"/>
      <c r="U280" s="66"/>
      <c r="V280" s="66"/>
      <c r="W280" s="66"/>
      <c r="X280" s="66"/>
      <c r="Y280" s="66"/>
      <c r="Z280" s="66"/>
      <c r="AA280" s="66"/>
      <c r="AB280" s="66"/>
      <c r="AC280" s="66"/>
      <c r="AD280" s="66"/>
      <c r="AE280" s="66"/>
      <c r="AF280" s="66"/>
      <c r="AG280" s="66"/>
      <c r="CF280" s="68"/>
    </row>
    <row r="281" spans="1:84" ht="17.399999999999999" x14ac:dyDescent="0.35">
      <c r="A281" s="67" t="s">
        <v>921</v>
      </c>
      <c r="B281" s="67"/>
      <c r="C281" s="66"/>
      <c r="D281" s="66">
        <v>66.931399999999996</v>
      </c>
      <c r="E281" s="66"/>
      <c r="F281" s="66"/>
      <c r="G281" s="66"/>
      <c r="H281" s="66"/>
      <c r="I281" s="66"/>
      <c r="J281" s="66"/>
      <c r="K281" s="66"/>
      <c r="L281" s="66"/>
      <c r="M281" s="66"/>
      <c r="N281" s="66"/>
      <c r="O281" s="66"/>
      <c r="P281" s="66"/>
      <c r="Q281" s="66"/>
      <c r="R281" s="66"/>
      <c r="S281" s="66"/>
      <c r="T281" s="66"/>
      <c r="U281" s="66"/>
      <c r="V281" s="66"/>
      <c r="W281" s="66"/>
      <c r="X281" s="66"/>
      <c r="Y281" s="66"/>
      <c r="Z281" s="66"/>
      <c r="AA281" s="66"/>
      <c r="AB281" s="66"/>
      <c r="AC281" s="66"/>
      <c r="AD281" s="66"/>
      <c r="AE281" s="66"/>
      <c r="AF281" s="66"/>
      <c r="AG281" s="66"/>
      <c r="CF281" s="68"/>
    </row>
    <row r="282" spans="1:84" ht="17.399999999999999" x14ac:dyDescent="0.35">
      <c r="A282" s="67" t="s">
        <v>922</v>
      </c>
      <c r="B282" s="67"/>
      <c r="C282" s="66"/>
      <c r="D282" s="66">
        <v>63.078679999999999</v>
      </c>
      <c r="E282" s="66"/>
      <c r="F282" s="66"/>
      <c r="G282" s="66"/>
      <c r="H282" s="66"/>
      <c r="I282" s="66"/>
      <c r="J282" s="66"/>
      <c r="K282" s="66"/>
      <c r="L282" s="66"/>
      <c r="M282" s="66"/>
      <c r="N282" s="66"/>
      <c r="O282" s="66"/>
      <c r="P282" s="66"/>
      <c r="Q282" s="66"/>
      <c r="R282" s="66"/>
      <c r="S282" s="66"/>
      <c r="T282" s="66"/>
      <c r="U282" s="66"/>
      <c r="V282" s="66"/>
      <c r="W282" s="66"/>
      <c r="X282" s="66"/>
      <c r="Y282" s="66"/>
      <c r="Z282" s="66"/>
      <c r="AA282" s="66"/>
      <c r="AB282" s="66"/>
      <c r="AC282" s="66"/>
      <c r="AD282" s="66"/>
      <c r="AE282" s="66"/>
      <c r="AF282" s="66"/>
      <c r="AG282" s="66"/>
      <c r="CF282" s="68"/>
    </row>
    <row r="283" spans="1:84" ht="17.399999999999999" x14ac:dyDescent="0.35">
      <c r="A283" s="67" t="s">
        <v>923</v>
      </c>
      <c r="B283" s="67"/>
      <c r="C283" s="66"/>
      <c r="D283" s="66">
        <v>64.952380000000005</v>
      </c>
      <c r="E283" s="66"/>
      <c r="F283" s="66"/>
      <c r="G283" s="66"/>
      <c r="H283" s="66"/>
      <c r="I283" s="66"/>
      <c r="J283" s="66"/>
      <c r="K283" s="66"/>
      <c r="L283" s="66"/>
      <c r="M283" s="66"/>
      <c r="N283" s="66"/>
      <c r="O283" s="66"/>
      <c r="P283" s="66"/>
      <c r="Q283" s="66"/>
      <c r="R283" s="66"/>
      <c r="S283" s="66"/>
      <c r="T283" s="66"/>
      <c r="U283" s="66"/>
      <c r="V283" s="66"/>
      <c r="W283" s="66"/>
      <c r="X283" s="66"/>
      <c r="Y283" s="66"/>
      <c r="Z283" s="66"/>
      <c r="AA283" s="66"/>
      <c r="AB283" s="66"/>
      <c r="AC283" s="66"/>
      <c r="AD283" s="66"/>
      <c r="AE283" s="66"/>
      <c r="AF283" s="66"/>
      <c r="AG283" s="66"/>
      <c r="CF283" s="68"/>
    </row>
    <row r="284" spans="1:84" ht="17.399999999999999" x14ac:dyDescent="0.35">
      <c r="A284" s="67" t="s">
        <v>924</v>
      </c>
      <c r="B284" s="67"/>
      <c r="C284" s="66"/>
      <c r="D284" s="66">
        <v>65.763440000000003</v>
      </c>
      <c r="E284" s="66"/>
      <c r="F284" s="66"/>
      <c r="G284" s="66"/>
      <c r="H284" s="66"/>
      <c r="I284" s="66"/>
      <c r="J284" s="66"/>
      <c r="K284" s="66"/>
      <c r="L284" s="66"/>
      <c r="M284" s="66"/>
      <c r="N284" s="66"/>
      <c r="O284" s="66"/>
      <c r="P284" s="66"/>
      <c r="Q284" s="66"/>
      <c r="R284" s="66"/>
      <c r="S284" s="66"/>
      <c r="T284" s="66"/>
      <c r="U284" s="66"/>
      <c r="V284" s="66"/>
      <c r="W284" s="66"/>
      <c r="X284" s="66"/>
      <c r="Y284" s="66"/>
      <c r="Z284" s="66"/>
      <c r="AA284" s="66"/>
      <c r="AB284" s="66"/>
      <c r="AC284" s="66"/>
      <c r="AD284" s="66"/>
      <c r="AE284" s="66"/>
      <c r="AF284" s="66"/>
      <c r="AG284" s="66"/>
      <c r="CF284" s="68"/>
    </row>
    <row r="285" spans="1:84" ht="17.399999999999999" x14ac:dyDescent="0.35">
      <c r="A285" s="67" t="s">
        <v>925</v>
      </c>
      <c r="B285" s="67"/>
      <c r="C285" s="66"/>
      <c r="D285" s="66">
        <v>74.985159999999993</v>
      </c>
      <c r="E285" s="66"/>
      <c r="F285" s="66"/>
      <c r="G285" s="66"/>
      <c r="H285" s="66"/>
      <c r="I285" s="66"/>
      <c r="J285" s="66"/>
      <c r="K285" s="66"/>
      <c r="L285" s="66"/>
      <c r="M285" s="66"/>
      <c r="N285" s="66"/>
      <c r="O285" s="66"/>
      <c r="P285" s="66"/>
      <c r="Q285" s="66"/>
      <c r="R285" s="66"/>
      <c r="S285" s="66"/>
      <c r="T285" s="66"/>
      <c r="U285" s="66"/>
      <c r="V285" s="66"/>
      <c r="W285" s="66"/>
      <c r="X285" s="66"/>
      <c r="Y285" s="66"/>
      <c r="Z285" s="66"/>
      <c r="AA285" s="66"/>
      <c r="AB285" s="66"/>
      <c r="AC285" s="66"/>
      <c r="AD285" s="66"/>
      <c r="AE285" s="66"/>
      <c r="AF285" s="66"/>
      <c r="AG285" s="66"/>
      <c r="CF285" s="68"/>
    </row>
    <row r="286" spans="1:84" ht="17.399999999999999" x14ac:dyDescent="0.35">
      <c r="A286" s="67" t="s">
        <v>926</v>
      </c>
      <c r="B286" s="67"/>
      <c r="C286" s="66"/>
      <c r="D286" s="66">
        <v>83.605140000000006</v>
      </c>
      <c r="E286" s="66"/>
      <c r="F286" s="66"/>
      <c r="G286" s="66"/>
      <c r="H286" s="66"/>
      <c r="I286" s="66"/>
      <c r="J286" s="66"/>
      <c r="K286" s="66"/>
      <c r="L286" s="66"/>
      <c r="M286" s="66"/>
      <c r="N286" s="66"/>
      <c r="O286" s="66"/>
      <c r="P286" s="66"/>
      <c r="Q286" s="66"/>
      <c r="R286" s="66"/>
      <c r="S286" s="66"/>
      <c r="T286" s="66"/>
      <c r="U286" s="66"/>
      <c r="V286" s="66"/>
      <c r="W286" s="66"/>
      <c r="X286" s="66"/>
      <c r="Y286" s="66"/>
      <c r="Z286" s="66"/>
      <c r="AA286" s="66"/>
      <c r="AB286" s="66"/>
      <c r="AC286" s="66"/>
      <c r="AD286" s="66"/>
      <c r="AE286" s="66"/>
      <c r="AF286" s="66"/>
      <c r="AG286" s="66"/>
      <c r="CF286" s="68"/>
    </row>
    <row r="287" spans="1:84" ht="17.399999999999999" x14ac:dyDescent="0.35">
      <c r="A287" s="67" t="s">
        <v>927</v>
      </c>
      <c r="B287" s="67"/>
      <c r="C287" s="66"/>
      <c r="D287" s="66">
        <v>47.502540000000003</v>
      </c>
      <c r="E287" s="66"/>
      <c r="F287" s="66"/>
      <c r="G287" s="66"/>
      <c r="H287" s="66"/>
      <c r="I287" s="66"/>
      <c r="J287" s="66"/>
      <c r="K287" s="66"/>
      <c r="L287" s="66"/>
      <c r="M287" s="66"/>
      <c r="N287" s="66"/>
      <c r="O287" s="66"/>
      <c r="P287" s="66"/>
      <c r="Q287" s="66"/>
      <c r="R287" s="66"/>
      <c r="S287" s="66"/>
      <c r="T287" s="66"/>
      <c r="U287" s="66"/>
      <c r="V287" s="66"/>
      <c r="W287" s="66"/>
      <c r="X287" s="66"/>
      <c r="Y287" s="66"/>
      <c r="Z287" s="66"/>
      <c r="AA287" s="66"/>
      <c r="AB287" s="66"/>
      <c r="AC287" s="66"/>
      <c r="AD287" s="66"/>
      <c r="AE287" s="66"/>
      <c r="AF287" s="66"/>
      <c r="AG287" s="66"/>
      <c r="CF287" s="68"/>
    </row>
    <row r="288" spans="1:84" ht="17.399999999999999" x14ac:dyDescent="0.35">
      <c r="A288" s="67" t="s">
        <v>928</v>
      </c>
      <c r="B288" s="67"/>
      <c r="C288" s="66"/>
      <c r="D288" s="66">
        <v>73.77552</v>
      </c>
      <c r="E288" s="66"/>
      <c r="F288" s="66"/>
      <c r="G288" s="66"/>
      <c r="H288" s="66"/>
      <c r="I288" s="66"/>
      <c r="J288" s="66"/>
      <c r="K288" s="66"/>
      <c r="L288" s="66"/>
      <c r="M288" s="66"/>
      <c r="N288" s="66"/>
      <c r="O288" s="66"/>
      <c r="P288" s="66"/>
      <c r="Q288" s="66"/>
      <c r="R288" s="66"/>
      <c r="S288" s="66"/>
      <c r="T288" s="66"/>
      <c r="U288" s="66"/>
      <c r="V288" s="66"/>
      <c r="W288" s="66"/>
      <c r="X288" s="66"/>
      <c r="Y288" s="66"/>
      <c r="Z288" s="66"/>
      <c r="AA288" s="66"/>
      <c r="AB288" s="66"/>
      <c r="AC288" s="66"/>
      <c r="AD288" s="66"/>
      <c r="AE288" s="66"/>
      <c r="AF288" s="66"/>
      <c r="AG288" s="66"/>
      <c r="CF288" s="68"/>
    </row>
    <row r="289" spans="1:84" ht="17.399999999999999" x14ac:dyDescent="0.35">
      <c r="A289" s="67" t="s">
        <v>929</v>
      </c>
      <c r="B289" s="67"/>
      <c r="C289" s="66"/>
      <c r="D289" s="66">
        <v>59.9816</v>
      </c>
      <c r="E289" s="66"/>
      <c r="F289" s="66"/>
      <c r="G289" s="66"/>
      <c r="H289" s="66"/>
      <c r="I289" s="66"/>
      <c r="J289" s="66"/>
      <c r="K289" s="66"/>
      <c r="L289" s="66"/>
      <c r="M289" s="66"/>
      <c r="N289" s="66"/>
      <c r="O289" s="66"/>
      <c r="P289" s="66"/>
      <c r="Q289" s="66"/>
      <c r="R289" s="66"/>
      <c r="S289" s="66"/>
      <c r="T289" s="66"/>
      <c r="U289" s="66"/>
      <c r="V289" s="66"/>
      <c r="W289" s="66"/>
      <c r="X289" s="66"/>
      <c r="Y289" s="66"/>
      <c r="Z289" s="66"/>
      <c r="AA289" s="66"/>
      <c r="AB289" s="66"/>
      <c r="AC289" s="66"/>
      <c r="AD289" s="66"/>
      <c r="AE289" s="66"/>
      <c r="AF289" s="66"/>
      <c r="AG289" s="66"/>
      <c r="CF289" s="68"/>
    </row>
    <row r="290" spans="1:84" ht="17.399999999999999" x14ac:dyDescent="0.35">
      <c r="A290" s="67" t="s">
        <v>930</v>
      </c>
      <c r="B290" s="67"/>
      <c r="C290" s="66"/>
      <c r="D290" s="66">
        <v>62.221119999999999</v>
      </c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6"/>
      <c r="X290" s="66"/>
      <c r="Y290" s="66"/>
      <c r="Z290" s="66"/>
      <c r="AA290" s="66"/>
      <c r="AB290" s="66"/>
      <c r="AC290" s="66"/>
      <c r="AD290" s="66"/>
      <c r="AE290" s="66"/>
      <c r="AF290" s="66"/>
      <c r="AG290" s="66"/>
      <c r="CF290" s="68"/>
    </row>
    <row r="291" spans="1:84" ht="17.399999999999999" x14ac:dyDescent="0.35">
      <c r="A291" s="67" t="s">
        <v>931</v>
      </c>
      <c r="B291" s="67"/>
      <c r="C291" s="66"/>
      <c r="D291" s="66">
        <v>62.35774</v>
      </c>
      <c r="E291" s="66"/>
      <c r="F291" s="66"/>
      <c r="G291" s="66"/>
      <c r="H291" s="66"/>
      <c r="I291" s="66"/>
      <c r="J291" s="66"/>
      <c r="K291" s="66"/>
      <c r="L291" s="66"/>
      <c r="M291" s="66"/>
      <c r="N291" s="66"/>
      <c r="O291" s="66"/>
      <c r="P291" s="66"/>
      <c r="Q291" s="66"/>
      <c r="R291" s="66"/>
      <c r="S291" s="66"/>
      <c r="T291" s="66"/>
      <c r="U291" s="66"/>
      <c r="V291" s="66"/>
      <c r="W291" s="66"/>
      <c r="X291" s="66"/>
      <c r="Y291" s="66"/>
      <c r="Z291" s="66"/>
      <c r="AA291" s="66"/>
      <c r="AB291" s="66"/>
      <c r="AC291" s="66"/>
      <c r="AD291" s="66"/>
      <c r="AE291" s="66"/>
      <c r="AF291" s="66"/>
      <c r="AG291" s="66"/>
      <c r="CF291" s="68"/>
    </row>
    <row r="292" spans="1:84" ht="17.399999999999999" x14ac:dyDescent="0.35">
      <c r="A292" s="67" t="s">
        <v>932</v>
      </c>
      <c r="B292" s="67"/>
      <c r="C292" s="66"/>
      <c r="D292" s="66">
        <v>61.253320000000002</v>
      </c>
      <c r="E292" s="66"/>
      <c r="F292" s="66"/>
      <c r="G292" s="66"/>
      <c r="H292" s="66"/>
      <c r="I292" s="66"/>
      <c r="J292" s="66"/>
      <c r="K292" s="66"/>
      <c r="L292" s="66"/>
      <c r="M292" s="66"/>
      <c r="N292" s="66"/>
      <c r="O292" s="66"/>
      <c r="P292" s="66"/>
      <c r="Q292" s="66"/>
      <c r="R292" s="66"/>
      <c r="S292" s="66"/>
      <c r="T292" s="66"/>
      <c r="U292" s="66"/>
      <c r="V292" s="66"/>
      <c r="W292" s="66"/>
      <c r="X292" s="66"/>
      <c r="Y292" s="66"/>
      <c r="Z292" s="66"/>
      <c r="AA292" s="66"/>
      <c r="AB292" s="66"/>
      <c r="AC292" s="66"/>
      <c r="AD292" s="66"/>
      <c r="AE292" s="66"/>
      <c r="AF292" s="66"/>
      <c r="AG292" s="66"/>
      <c r="CF292" s="68"/>
    </row>
    <row r="293" spans="1:84" ht="17.399999999999999" x14ac:dyDescent="0.35">
      <c r="A293" s="67" t="s">
        <v>933</v>
      </c>
      <c r="B293" s="67"/>
      <c r="C293" s="66"/>
      <c r="D293" s="66">
        <v>62.706119999999999</v>
      </c>
      <c r="E293" s="66"/>
      <c r="F293" s="66"/>
      <c r="G293" s="66"/>
      <c r="H293" s="66"/>
      <c r="I293" s="66"/>
      <c r="J293" s="66"/>
      <c r="K293" s="66"/>
      <c r="L293" s="66"/>
      <c r="M293" s="66"/>
      <c r="N293" s="66"/>
      <c r="O293" s="66"/>
      <c r="P293" s="66"/>
      <c r="Q293" s="66"/>
      <c r="R293" s="66"/>
      <c r="S293" s="66"/>
      <c r="T293" s="66"/>
      <c r="U293" s="66"/>
      <c r="V293" s="66"/>
      <c r="W293" s="66"/>
      <c r="X293" s="66"/>
      <c r="Y293" s="66"/>
      <c r="Z293" s="66"/>
      <c r="AA293" s="66"/>
      <c r="AB293" s="66"/>
      <c r="AC293" s="66"/>
      <c r="AD293" s="66"/>
      <c r="AE293" s="66"/>
      <c r="AF293" s="66"/>
      <c r="AG293" s="66"/>
      <c r="CF293" s="68"/>
    </row>
    <row r="294" spans="1:84" ht="17.399999999999999" x14ac:dyDescent="0.35">
      <c r="A294" s="67" t="s">
        <v>934</v>
      </c>
      <c r="B294" s="67"/>
      <c r="C294" s="66"/>
      <c r="D294" s="66">
        <v>65.223839999999996</v>
      </c>
      <c r="E294" s="66"/>
      <c r="F294" s="66"/>
      <c r="G294" s="66"/>
      <c r="H294" s="66"/>
      <c r="I294" s="66"/>
      <c r="J294" s="66"/>
      <c r="K294" s="66"/>
      <c r="L294" s="66"/>
      <c r="M294" s="66"/>
      <c r="N294" s="66"/>
      <c r="O294" s="66"/>
      <c r="P294" s="66"/>
      <c r="Q294" s="66"/>
      <c r="R294" s="66"/>
      <c r="S294" s="66"/>
      <c r="T294" s="66"/>
      <c r="U294" s="66"/>
      <c r="V294" s="66"/>
      <c r="W294" s="66"/>
      <c r="X294" s="66"/>
      <c r="Y294" s="66"/>
      <c r="Z294" s="66"/>
      <c r="AA294" s="66"/>
      <c r="AB294" s="66"/>
      <c r="AC294" s="66"/>
      <c r="AD294" s="66"/>
      <c r="AE294" s="66"/>
      <c r="AF294" s="66"/>
      <c r="AG294" s="66"/>
      <c r="CF294" s="68"/>
    </row>
    <row r="295" spans="1:84" ht="17.399999999999999" x14ac:dyDescent="0.35">
      <c r="A295" s="67" t="s">
        <v>935</v>
      </c>
      <c r="B295" s="67"/>
      <c r="C295" s="66"/>
      <c r="D295" s="66">
        <v>74.903739999999999</v>
      </c>
      <c r="E295" s="66"/>
      <c r="F295" s="66"/>
      <c r="G295" s="66"/>
      <c r="H295" s="66"/>
      <c r="I295" s="66"/>
      <c r="J295" s="66"/>
      <c r="K295" s="66"/>
      <c r="L295" s="66"/>
      <c r="M295" s="66"/>
      <c r="N295" s="66"/>
      <c r="O295" s="66"/>
      <c r="P295" s="66"/>
      <c r="Q295" s="66"/>
      <c r="R295" s="66"/>
      <c r="S295" s="66"/>
      <c r="T295" s="66"/>
      <c r="U295" s="66"/>
      <c r="V295" s="66"/>
      <c r="W295" s="66"/>
      <c r="X295" s="66"/>
      <c r="Y295" s="66"/>
      <c r="Z295" s="66"/>
      <c r="AA295" s="66"/>
      <c r="AB295" s="66"/>
      <c r="AC295" s="66"/>
      <c r="AD295" s="66"/>
      <c r="AE295" s="66"/>
      <c r="AF295" s="66"/>
      <c r="AG295" s="66"/>
      <c r="CF295" s="68"/>
    </row>
    <row r="296" spans="1:84" ht="17.399999999999999" x14ac:dyDescent="0.35">
      <c r="A296" s="67" t="s">
        <v>936</v>
      </c>
      <c r="B296" s="67"/>
      <c r="C296" s="66"/>
      <c r="D296" s="66">
        <v>56.580930000000002</v>
      </c>
      <c r="E296" s="66"/>
      <c r="F296" s="66"/>
      <c r="G296" s="66"/>
      <c r="H296" s="66"/>
      <c r="I296" s="66"/>
      <c r="J296" s="66"/>
      <c r="K296" s="66"/>
      <c r="L296" s="66"/>
      <c r="M296" s="66"/>
      <c r="N296" s="66"/>
      <c r="O296" s="66"/>
      <c r="P296" s="66"/>
      <c r="Q296" s="66"/>
      <c r="R296" s="66"/>
      <c r="S296" s="66"/>
      <c r="T296" s="66"/>
      <c r="U296" s="66"/>
      <c r="V296" s="66"/>
      <c r="W296" s="66"/>
      <c r="X296" s="66"/>
      <c r="Y296" s="66"/>
      <c r="Z296" s="66"/>
      <c r="AA296" s="66"/>
      <c r="AB296" s="66"/>
      <c r="AC296" s="66"/>
      <c r="AD296" s="66"/>
      <c r="AE296" s="66"/>
      <c r="AF296" s="66"/>
      <c r="AG296" s="66"/>
      <c r="CF296" s="68"/>
    </row>
    <row r="297" spans="1:84" ht="17.399999999999999" x14ac:dyDescent="0.35">
      <c r="A297" s="67" t="s">
        <v>937</v>
      </c>
      <c r="B297" s="67"/>
      <c r="C297" s="66"/>
      <c r="D297" s="66">
        <v>53.385800000000003</v>
      </c>
      <c r="E297" s="66"/>
      <c r="F297" s="66"/>
      <c r="G297" s="66"/>
      <c r="H297" s="66"/>
      <c r="I297" s="66"/>
      <c r="J297" s="66"/>
      <c r="K297" s="66"/>
      <c r="L297" s="66"/>
      <c r="M297" s="66"/>
      <c r="N297" s="66"/>
      <c r="O297" s="66"/>
      <c r="P297" s="66"/>
      <c r="Q297" s="66"/>
      <c r="R297" s="66"/>
      <c r="S297" s="66"/>
      <c r="T297" s="66"/>
      <c r="U297" s="66"/>
      <c r="V297" s="66"/>
      <c r="W297" s="66"/>
      <c r="X297" s="66"/>
      <c r="Y297" s="66"/>
      <c r="Z297" s="66"/>
      <c r="AA297" s="66"/>
      <c r="AB297" s="66"/>
      <c r="AC297" s="66"/>
      <c r="AD297" s="66"/>
      <c r="AE297" s="66"/>
      <c r="AF297" s="66"/>
      <c r="AG297" s="66"/>
      <c r="CF297" s="68"/>
    </row>
    <row r="298" spans="1:84" ht="17.399999999999999" x14ac:dyDescent="0.35">
      <c r="A298" s="67" t="s">
        <v>938</v>
      </c>
      <c r="B298" s="67"/>
      <c r="C298" s="66"/>
      <c r="D298" s="66">
        <v>62.88138</v>
      </c>
      <c r="E298" s="66"/>
      <c r="F298" s="66"/>
      <c r="G298" s="66"/>
      <c r="H298" s="66"/>
      <c r="I298" s="66"/>
      <c r="J298" s="66"/>
      <c r="K298" s="66"/>
      <c r="L298" s="66"/>
      <c r="M298" s="66"/>
      <c r="N298" s="66"/>
      <c r="O298" s="66"/>
      <c r="P298" s="66"/>
      <c r="Q298" s="66"/>
      <c r="R298" s="66"/>
      <c r="S298" s="66"/>
      <c r="T298" s="66"/>
      <c r="U298" s="66"/>
      <c r="V298" s="66"/>
      <c r="W298" s="66"/>
      <c r="X298" s="66"/>
      <c r="Y298" s="66"/>
      <c r="Z298" s="66"/>
      <c r="AA298" s="66"/>
      <c r="AB298" s="66"/>
      <c r="AC298" s="66"/>
      <c r="AD298" s="66"/>
      <c r="AE298" s="66"/>
      <c r="AF298" s="66"/>
      <c r="AG298" s="66"/>
      <c r="CF298" s="68"/>
    </row>
    <row r="299" spans="1:84" ht="17.399999999999999" x14ac:dyDescent="0.35">
      <c r="A299" s="67" t="s">
        <v>939</v>
      </c>
      <c r="B299" s="67"/>
      <c r="C299" s="66"/>
      <c r="D299" s="66">
        <v>57.471299999999999</v>
      </c>
      <c r="E299" s="66"/>
      <c r="F299" s="66"/>
      <c r="G299" s="66"/>
      <c r="H299" s="66"/>
      <c r="I299" s="66"/>
      <c r="J299" s="66"/>
      <c r="K299" s="66"/>
      <c r="L299" s="66"/>
      <c r="M299" s="66"/>
      <c r="N299" s="66"/>
      <c r="O299" s="66"/>
      <c r="P299" s="66"/>
      <c r="Q299" s="66"/>
      <c r="R299" s="66"/>
      <c r="S299" s="66"/>
      <c r="T299" s="66"/>
      <c r="U299" s="66"/>
      <c r="V299" s="66"/>
      <c r="W299" s="66"/>
      <c r="X299" s="66"/>
      <c r="Y299" s="66"/>
      <c r="Z299" s="66"/>
      <c r="AA299" s="66"/>
      <c r="AB299" s="66"/>
      <c r="AC299" s="66"/>
      <c r="AD299" s="66"/>
      <c r="AE299" s="66"/>
      <c r="AF299" s="66"/>
      <c r="AG299" s="66"/>
      <c r="CF299" s="68"/>
    </row>
    <row r="300" spans="1:84" ht="17.399999999999999" x14ac:dyDescent="0.35">
      <c r="A300" s="67" t="s">
        <v>940</v>
      </c>
      <c r="B300" s="67"/>
      <c r="C300" s="66"/>
      <c r="D300" s="66">
        <v>59.851559999999999</v>
      </c>
      <c r="E300" s="66"/>
      <c r="F300" s="66"/>
      <c r="G300" s="66"/>
      <c r="H300" s="66"/>
      <c r="I300" s="66"/>
      <c r="J300" s="66"/>
      <c r="K300" s="66"/>
      <c r="L300" s="66"/>
      <c r="M300" s="66"/>
      <c r="N300" s="66"/>
      <c r="O300" s="66"/>
      <c r="P300" s="66"/>
      <c r="Q300" s="66"/>
      <c r="R300" s="66"/>
      <c r="S300" s="66"/>
      <c r="T300" s="66"/>
      <c r="U300" s="66"/>
      <c r="V300" s="66"/>
      <c r="W300" s="66"/>
      <c r="X300" s="66"/>
      <c r="Y300" s="66"/>
      <c r="Z300" s="66"/>
      <c r="AA300" s="66"/>
      <c r="AB300" s="66"/>
      <c r="AC300" s="66"/>
      <c r="AD300" s="66"/>
      <c r="AE300" s="66"/>
      <c r="AF300" s="66"/>
      <c r="AG300" s="66"/>
      <c r="CF300" s="68"/>
    </row>
    <row r="301" spans="1:84" ht="17.399999999999999" x14ac:dyDescent="0.35">
      <c r="A301" s="67" t="s">
        <v>941</v>
      </c>
      <c r="B301" s="67"/>
      <c r="C301" s="66"/>
      <c r="D301" s="66">
        <v>69.641080000000002</v>
      </c>
      <c r="E301" s="66"/>
      <c r="F301" s="66"/>
      <c r="G301" s="66"/>
      <c r="H301" s="66"/>
      <c r="I301" s="66"/>
      <c r="J301" s="66"/>
      <c r="K301" s="66"/>
      <c r="L301" s="66"/>
      <c r="M301" s="66"/>
      <c r="N301" s="66"/>
      <c r="O301" s="66"/>
      <c r="P301" s="66"/>
      <c r="Q301" s="66"/>
      <c r="R301" s="66"/>
      <c r="S301" s="66"/>
      <c r="T301" s="66"/>
      <c r="U301" s="66"/>
      <c r="V301" s="66"/>
      <c r="W301" s="66"/>
      <c r="X301" s="66"/>
      <c r="Y301" s="66"/>
      <c r="Z301" s="66"/>
      <c r="AA301" s="66"/>
      <c r="AB301" s="66"/>
      <c r="AC301" s="66"/>
      <c r="AD301" s="66"/>
      <c r="AE301" s="66"/>
      <c r="AF301" s="66"/>
      <c r="AG301" s="66"/>
      <c r="CF301" s="68"/>
    </row>
    <row r="302" spans="1:84" ht="17.399999999999999" x14ac:dyDescent="0.35">
      <c r="A302" s="67" t="s">
        <v>942</v>
      </c>
      <c r="B302" s="67"/>
      <c r="C302" s="66"/>
      <c r="D302" s="66">
        <v>70.961259999999996</v>
      </c>
      <c r="E302" s="66"/>
      <c r="F302" s="66"/>
      <c r="G302" s="66"/>
      <c r="H302" s="66"/>
      <c r="I302" s="66"/>
      <c r="J302" s="66"/>
      <c r="K302" s="66"/>
      <c r="L302" s="66"/>
      <c r="M302" s="66"/>
      <c r="N302" s="66"/>
      <c r="O302" s="66"/>
      <c r="P302" s="66"/>
      <c r="Q302" s="66"/>
      <c r="R302" s="66"/>
      <c r="S302" s="66"/>
      <c r="T302" s="66"/>
      <c r="U302" s="66"/>
      <c r="V302" s="66"/>
      <c r="W302" s="66"/>
      <c r="X302" s="66"/>
      <c r="Y302" s="66"/>
      <c r="Z302" s="66"/>
      <c r="AA302" s="66"/>
      <c r="AB302" s="66"/>
      <c r="AC302" s="66"/>
      <c r="AD302" s="66"/>
      <c r="AE302" s="66"/>
      <c r="AF302" s="66"/>
      <c r="AG302" s="66"/>
      <c r="CF302" s="68"/>
    </row>
    <row r="303" spans="1:84" ht="17.399999999999999" x14ac:dyDescent="0.35">
      <c r="A303" s="67" t="s">
        <v>943</v>
      </c>
      <c r="B303" s="67"/>
      <c r="C303" s="66"/>
      <c r="D303" s="66">
        <v>65.713880000000003</v>
      </c>
      <c r="E303" s="66"/>
      <c r="F303" s="66"/>
      <c r="G303" s="66"/>
      <c r="H303" s="66"/>
      <c r="I303" s="66"/>
      <c r="J303" s="66"/>
      <c r="K303" s="66"/>
      <c r="L303" s="66"/>
      <c r="M303" s="66"/>
      <c r="N303" s="66"/>
      <c r="O303" s="66"/>
      <c r="P303" s="66"/>
      <c r="Q303" s="66"/>
      <c r="R303" s="66"/>
      <c r="S303" s="66"/>
      <c r="T303" s="66"/>
      <c r="U303" s="66"/>
      <c r="V303" s="66"/>
      <c r="W303" s="66"/>
      <c r="X303" s="66"/>
      <c r="Y303" s="66"/>
      <c r="Z303" s="66"/>
      <c r="AA303" s="66"/>
      <c r="AB303" s="66"/>
      <c r="AC303" s="66"/>
      <c r="AD303" s="66"/>
      <c r="AE303" s="66"/>
      <c r="AF303" s="66"/>
      <c r="AG303" s="66"/>
      <c r="CF303" s="68"/>
    </row>
    <row r="304" spans="1:84" ht="17.399999999999999" x14ac:dyDescent="0.35">
      <c r="A304" s="67" t="s">
        <v>944</v>
      </c>
      <c r="B304" s="67"/>
      <c r="C304" s="66"/>
      <c r="D304" s="66">
        <v>68.735020000000006</v>
      </c>
      <c r="E304" s="66"/>
      <c r="F304" s="66"/>
      <c r="G304" s="66"/>
      <c r="H304" s="66"/>
      <c r="I304" s="66"/>
      <c r="J304" s="66"/>
      <c r="K304" s="66"/>
      <c r="L304" s="66"/>
      <c r="M304" s="66"/>
      <c r="N304" s="66"/>
      <c r="O304" s="66"/>
      <c r="P304" s="66"/>
      <c r="Q304" s="66"/>
      <c r="R304" s="66"/>
      <c r="S304" s="66"/>
      <c r="T304" s="66"/>
      <c r="U304" s="66"/>
      <c r="V304" s="66"/>
      <c r="W304" s="66"/>
      <c r="X304" s="66"/>
      <c r="Y304" s="66"/>
      <c r="Z304" s="66"/>
      <c r="AA304" s="66"/>
      <c r="AB304" s="66"/>
      <c r="AC304" s="66"/>
      <c r="AD304" s="66"/>
      <c r="AE304" s="66"/>
      <c r="AF304" s="66"/>
      <c r="AG304" s="66"/>
      <c r="CF304" s="68"/>
    </row>
    <row r="305" spans="1:84" ht="17.399999999999999" x14ac:dyDescent="0.35">
      <c r="A305" s="67" t="s">
        <v>945</v>
      </c>
      <c r="B305" s="67"/>
      <c r="C305" s="66"/>
      <c r="D305" s="66">
        <v>84.038259999999994</v>
      </c>
      <c r="E305" s="66"/>
      <c r="F305" s="66"/>
      <c r="G305" s="66"/>
      <c r="H305" s="66"/>
      <c r="I305" s="66"/>
      <c r="J305" s="66"/>
      <c r="K305" s="66"/>
      <c r="L305" s="66"/>
      <c r="M305" s="66"/>
      <c r="N305" s="66"/>
      <c r="O305" s="66"/>
      <c r="P305" s="66"/>
      <c r="Q305" s="66"/>
      <c r="R305" s="66"/>
      <c r="S305" s="66"/>
      <c r="T305" s="66"/>
      <c r="U305" s="66"/>
      <c r="V305" s="66"/>
      <c r="W305" s="66"/>
      <c r="X305" s="66"/>
      <c r="Y305" s="66"/>
      <c r="Z305" s="66"/>
      <c r="AA305" s="66"/>
      <c r="AB305" s="66"/>
      <c r="AC305" s="66"/>
      <c r="AD305" s="66"/>
      <c r="AE305" s="66"/>
      <c r="AF305" s="66"/>
      <c r="AG305" s="66"/>
      <c r="CF305" s="68"/>
    </row>
    <row r="306" spans="1:84" ht="17.399999999999999" x14ac:dyDescent="0.35">
      <c r="A306" s="67" t="s">
        <v>946</v>
      </c>
      <c r="B306" s="67"/>
      <c r="C306" s="66"/>
      <c r="D306" s="66">
        <v>54.715009999999999</v>
      </c>
      <c r="E306" s="66"/>
      <c r="F306" s="66"/>
      <c r="G306" s="66"/>
      <c r="H306" s="66"/>
      <c r="I306" s="66"/>
      <c r="J306" s="66"/>
      <c r="K306" s="66"/>
      <c r="L306" s="66"/>
      <c r="M306" s="66"/>
      <c r="N306" s="66"/>
      <c r="O306" s="66"/>
      <c r="P306" s="66"/>
      <c r="Q306" s="66"/>
      <c r="R306" s="66"/>
      <c r="S306" s="66"/>
      <c r="T306" s="66"/>
      <c r="U306" s="66"/>
      <c r="V306" s="66"/>
      <c r="W306" s="66"/>
      <c r="X306" s="66"/>
      <c r="Y306" s="66"/>
      <c r="Z306" s="66"/>
      <c r="AA306" s="66"/>
      <c r="AB306" s="66"/>
      <c r="AC306" s="66"/>
      <c r="AD306" s="66"/>
      <c r="AE306" s="66"/>
      <c r="AF306" s="66"/>
      <c r="AG306" s="66"/>
      <c r="CF306" s="68"/>
    </row>
    <row r="307" spans="1:84" ht="17.399999999999999" x14ac:dyDescent="0.35">
      <c r="A307" s="67" t="s">
        <v>947</v>
      </c>
      <c r="B307" s="67"/>
      <c r="C307" s="66"/>
      <c r="D307" s="66">
        <v>44.049190000000003</v>
      </c>
      <c r="E307" s="66"/>
      <c r="F307" s="66"/>
      <c r="G307" s="66"/>
      <c r="H307" s="66"/>
      <c r="I307" s="66"/>
      <c r="J307" s="66"/>
      <c r="K307" s="66"/>
      <c r="L307" s="66"/>
      <c r="M307" s="66"/>
      <c r="N307" s="66"/>
      <c r="O307" s="66"/>
      <c r="P307" s="66"/>
      <c r="Q307" s="66"/>
      <c r="R307" s="66"/>
      <c r="S307" s="66"/>
      <c r="T307" s="66"/>
      <c r="U307" s="66"/>
      <c r="V307" s="66"/>
      <c r="W307" s="66"/>
      <c r="X307" s="66"/>
      <c r="Y307" s="66"/>
      <c r="Z307" s="66"/>
      <c r="AA307" s="66"/>
      <c r="AB307" s="66"/>
      <c r="AC307" s="66"/>
      <c r="AD307" s="66"/>
      <c r="AE307" s="66"/>
      <c r="AF307" s="66"/>
      <c r="AG307" s="66"/>
      <c r="CF307" s="68"/>
    </row>
    <row r="308" spans="1:84" ht="17.399999999999999" x14ac:dyDescent="0.35">
      <c r="A308" s="67" t="s">
        <v>948</v>
      </c>
      <c r="B308" s="67"/>
      <c r="C308" s="66"/>
      <c r="D308" s="66">
        <v>33.707320000000003</v>
      </c>
      <c r="E308" s="66"/>
      <c r="F308" s="66"/>
      <c r="G308" s="66"/>
      <c r="H308" s="66"/>
      <c r="I308" s="66"/>
      <c r="J308" s="66"/>
      <c r="K308" s="66"/>
      <c r="L308" s="66"/>
      <c r="M308" s="66"/>
      <c r="N308" s="66"/>
      <c r="O308" s="66"/>
      <c r="P308" s="66"/>
      <c r="Q308" s="66"/>
      <c r="R308" s="66"/>
      <c r="S308" s="66"/>
      <c r="T308" s="66"/>
      <c r="U308" s="66"/>
      <c r="V308" s="66"/>
      <c r="W308" s="66"/>
      <c r="X308" s="66"/>
      <c r="Y308" s="66"/>
      <c r="Z308" s="66"/>
      <c r="AA308" s="66"/>
      <c r="AB308" s="66"/>
      <c r="AC308" s="66"/>
      <c r="AD308" s="66"/>
      <c r="AE308" s="66"/>
      <c r="AF308" s="66"/>
      <c r="AG308" s="66"/>
      <c r="CF308" s="68"/>
    </row>
    <row r="309" spans="1:84" ht="17.399999999999999" x14ac:dyDescent="0.35">
      <c r="A309" s="67" t="s">
        <v>949</v>
      </c>
      <c r="B309" s="67"/>
      <c r="C309" s="66"/>
      <c r="D309" s="66">
        <v>53.93853</v>
      </c>
      <c r="E309" s="66"/>
      <c r="F309" s="66"/>
      <c r="G309" s="66"/>
      <c r="H309" s="66"/>
      <c r="I309" s="66"/>
      <c r="J309" s="66"/>
      <c r="K309" s="66"/>
      <c r="L309" s="66"/>
      <c r="M309" s="66"/>
      <c r="N309" s="66"/>
      <c r="O309" s="66"/>
      <c r="P309" s="66"/>
      <c r="Q309" s="66"/>
      <c r="R309" s="66"/>
      <c r="S309" s="66"/>
      <c r="T309" s="66"/>
      <c r="U309" s="66"/>
      <c r="V309" s="66"/>
      <c r="W309" s="66"/>
      <c r="X309" s="66"/>
      <c r="Y309" s="66"/>
      <c r="Z309" s="66"/>
      <c r="AA309" s="66"/>
      <c r="AB309" s="66"/>
      <c r="AC309" s="66"/>
      <c r="AD309" s="66"/>
      <c r="AE309" s="66"/>
      <c r="AF309" s="66"/>
      <c r="AG309" s="66"/>
      <c r="CF309" s="68"/>
    </row>
    <row r="310" spans="1:84" ht="17.399999999999999" x14ac:dyDescent="0.35">
      <c r="A310" s="67" t="s">
        <v>950</v>
      </c>
      <c r="B310" s="67"/>
      <c r="C310" s="66"/>
      <c r="D310" s="66">
        <v>60.565339999999999</v>
      </c>
      <c r="E310" s="66"/>
      <c r="F310" s="66"/>
      <c r="G310" s="66"/>
      <c r="H310" s="66"/>
      <c r="I310" s="66"/>
      <c r="J310" s="66"/>
      <c r="K310" s="66"/>
      <c r="L310" s="66"/>
      <c r="M310" s="66"/>
      <c r="N310" s="66"/>
      <c r="O310" s="66"/>
      <c r="P310" s="66"/>
      <c r="Q310" s="66"/>
      <c r="R310" s="66"/>
      <c r="S310" s="66"/>
      <c r="T310" s="66"/>
      <c r="U310" s="66"/>
      <c r="V310" s="66"/>
      <c r="W310" s="66"/>
      <c r="X310" s="66"/>
      <c r="Y310" s="66"/>
      <c r="Z310" s="66"/>
      <c r="AA310" s="66"/>
      <c r="AB310" s="66"/>
      <c r="AC310" s="66"/>
      <c r="AD310" s="66"/>
      <c r="AE310" s="66"/>
      <c r="AF310" s="66"/>
      <c r="AG310" s="66"/>
      <c r="CF310" s="68"/>
    </row>
    <row r="311" spans="1:84" ht="17.399999999999999" x14ac:dyDescent="0.35">
      <c r="A311" s="67" t="s">
        <v>951</v>
      </c>
      <c r="B311" s="67"/>
      <c r="C311" s="66"/>
      <c r="D311" s="66">
        <v>66.556240000000003</v>
      </c>
      <c r="E311" s="66"/>
      <c r="F311" s="66"/>
      <c r="G311" s="66"/>
      <c r="H311" s="66"/>
      <c r="I311" s="66"/>
      <c r="J311" s="66"/>
      <c r="K311" s="66"/>
      <c r="L311" s="66"/>
      <c r="M311" s="66"/>
      <c r="N311" s="66"/>
      <c r="O311" s="66"/>
      <c r="P311" s="66"/>
      <c r="Q311" s="66"/>
      <c r="R311" s="66"/>
      <c r="S311" s="66"/>
      <c r="T311" s="66"/>
      <c r="U311" s="66"/>
      <c r="V311" s="66"/>
      <c r="W311" s="66"/>
      <c r="X311" s="66"/>
      <c r="Y311" s="66"/>
      <c r="Z311" s="66"/>
      <c r="AA311" s="66"/>
      <c r="AB311" s="66"/>
      <c r="AC311" s="66"/>
      <c r="AD311" s="66"/>
      <c r="AE311" s="66"/>
      <c r="AF311" s="66"/>
      <c r="AG311" s="66"/>
      <c r="CF311" s="68"/>
    </row>
    <row r="312" spans="1:84" ht="17.399999999999999" x14ac:dyDescent="0.35">
      <c r="A312" s="67" t="s">
        <v>952</v>
      </c>
      <c r="B312" s="67"/>
      <c r="C312" s="66"/>
      <c r="D312" s="66">
        <v>60.861400000000003</v>
      </c>
      <c r="E312" s="66"/>
      <c r="F312" s="66"/>
      <c r="G312" s="66"/>
      <c r="H312" s="66"/>
      <c r="I312" s="66"/>
      <c r="J312" s="66"/>
      <c r="K312" s="66"/>
      <c r="L312" s="66"/>
      <c r="M312" s="66"/>
      <c r="N312" s="66"/>
      <c r="O312" s="66"/>
      <c r="P312" s="66"/>
      <c r="Q312" s="66"/>
      <c r="R312" s="66"/>
      <c r="S312" s="66"/>
      <c r="T312" s="66"/>
      <c r="U312" s="66"/>
      <c r="V312" s="66"/>
      <c r="W312" s="66"/>
      <c r="X312" s="66"/>
      <c r="Y312" s="66"/>
      <c r="Z312" s="66"/>
      <c r="AA312" s="66"/>
      <c r="AB312" s="66"/>
      <c r="AC312" s="66"/>
      <c r="AD312" s="66"/>
      <c r="AE312" s="66"/>
      <c r="AF312" s="66"/>
      <c r="AG312" s="66"/>
      <c r="CF312" s="68"/>
    </row>
    <row r="313" spans="1:84" ht="17.399999999999999" x14ac:dyDescent="0.35">
      <c r="A313" s="67" t="s">
        <v>953</v>
      </c>
      <c r="B313" s="67"/>
      <c r="C313" s="66"/>
      <c r="D313" s="66">
        <v>69.280019999999993</v>
      </c>
      <c r="E313" s="66"/>
      <c r="F313" s="66"/>
      <c r="G313" s="66"/>
      <c r="H313" s="66"/>
      <c r="I313" s="66"/>
      <c r="J313" s="66"/>
      <c r="K313" s="66"/>
      <c r="L313" s="66"/>
      <c r="M313" s="66"/>
      <c r="N313" s="66"/>
      <c r="O313" s="66"/>
      <c r="P313" s="66"/>
      <c r="Q313" s="66"/>
      <c r="R313" s="66"/>
      <c r="S313" s="66"/>
      <c r="T313" s="66"/>
      <c r="U313" s="66"/>
      <c r="V313" s="66"/>
      <c r="W313" s="66"/>
      <c r="X313" s="66"/>
      <c r="Y313" s="66"/>
      <c r="Z313" s="66"/>
      <c r="AA313" s="66"/>
      <c r="AB313" s="66"/>
      <c r="AC313" s="66"/>
      <c r="AD313" s="66"/>
      <c r="AE313" s="66"/>
      <c r="AF313" s="66"/>
      <c r="AG313" s="66"/>
      <c r="CF313" s="68"/>
    </row>
    <row r="314" spans="1:84" ht="17.399999999999999" x14ac:dyDescent="0.35">
      <c r="A314" s="67" t="s">
        <v>954</v>
      </c>
      <c r="B314" s="67"/>
      <c r="C314" s="66"/>
      <c r="D314" s="66">
        <v>64.333380000000005</v>
      </c>
      <c r="E314" s="66"/>
      <c r="F314" s="66"/>
      <c r="G314" s="66"/>
      <c r="H314" s="66"/>
      <c r="I314" s="66"/>
      <c r="J314" s="66"/>
      <c r="K314" s="66"/>
      <c r="L314" s="66"/>
      <c r="M314" s="66"/>
      <c r="N314" s="66"/>
      <c r="O314" s="66"/>
      <c r="P314" s="66"/>
      <c r="Q314" s="66"/>
      <c r="R314" s="66"/>
      <c r="S314" s="66"/>
      <c r="T314" s="66"/>
      <c r="U314" s="66"/>
      <c r="V314" s="66"/>
      <c r="W314" s="66"/>
      <c r="X314" s="66"/>
      <c r="Y314" s="66"/>
      <c r="Z314" s="66"/>
      <c r="AA314" s="66"/>
      <c r="AB314" s="66"/>
      <c r="AC314" s="66"/>
      <c r="AD314" s="66"/>
      <c r="AE314" s="66"/>
      <c r="AF314" s="66"/>
      <c r="AG314" s="66"/>
      <c r="CF314" s="68"/>
    </row>
    <row r="315" spans="1:84" ht="17.399999999999999" x14ac:dyDescent="0.35">
      <c r="A315" s="67" t="s">
        <v>955</v>
      </c>
      <c r="B315" s="67"/>
      <c r="C315" s="66"/>
      <c r="D315" s="66">
        <v>57.857880000000002</v>
      </c>
      <c r="E315" s="66"/>
      <c r="F315" s="66"/>
      <c r="G315" s="66"/>
      <c r="H315" s="66"/>
      <c r="I315" s="66"/>
      <c r="J315" s="66"/>
      <c r="K315" s="66"/>
      <c r="L315" s="66"/>
      <c r="M315" s="66"/>
      <c r="N315" s="66"/>
      <c r="O315" s="66"/>
      <c r="P315" s="66"/>
      <c r="Q315" s="66"/>
      <c r="R315" s="66"/>
      <c r="S315" s="66"/>
      <c r="T315" s="66"/>
      <c r="U315" s="66"/>
      <c r="V315" s="66"/>
      <c r="W315" s="66"/>
      <c r="X315" s="66"/>
      <c r="Y315" s="66"/>
      <c r="Z315" s="66"/>
      <c r="AA315" s="66"/>
      <c r="AB315" s="66"/>
      <c r="AC315" s="66"/>
      <c r="AD315" s="66"/>
      <c r="AE315" s="66"/>
      <c r="AF315" s="66"/>
      <c r="AG315" s="66"/>
      <c r="CF315" s="68"/>
    </row>
    <row r="316" spans="1:84" ht="17.399999999999999" x14ac:dyDescent="0.35">
      <c r="A316" s="67" t="s">
        <v>956</v>
      </c>
      <c r="B316" s="67"/>
      <c r="C316" s="66"/>
      <c r="D316" s="66">
        <v>89.521280000000004</v>
      </c>
      <c r="E316" s="66"/>
      <c r="F316" s="66"/>
      <c r="G316" s="66"/>
      <c r="H316" s="66"/>
      <c r="I316" s="66"/>
      <c r="J316" s="66"/>
      <c r="K316" s="66"/>
      <c r="L316" s="66"/>
      <c r="M316" s="66"/>
      <c r="N316" s="66"/>
      <c r="O316" s="66"/>
      <c r="P316" s="66"/>
      <c r="Q316" s="66"/>
      <c r="R316" s="66"/>
      <c r="S316" s="66"/>
      <c r="T316" s="66"/>
      <c r="U316" s="66"/>
      <c r="V316" s="66"/>
      <c r="W316" s="66"/>
      <c r="X316" s="66"/>
      <c r="Y316" s="66"/>
      <c r="Z316" s="66"/>
      <c r="AA316" s="66"/>
      <c r="AB316" s="66"/>
      <c r="AC316" s="66"/>
      <c r="AD316" s="66"/>
      <c r="AE316" s="66"/>
      <c r="AF316" s="66"/>
      <c r="AG316" s="66"/>
      <c r="CF316" s="68"/>
    </row>
    <row r="317" spans="1:84" ht="17.399999999999999" x14ac:dyDescent="0.35">
      <c r="A317" s="67" t="s">
        <v>957</v>
      </c>
      <c r="B317" s="67"/>
      <c r="C317" s="66"/>
      <c r="D317" s="66">
        <v>77.134399999999999</v>
      </c>
      <c r="E317" s="66"/>
      <c r="F317" s="66"/>
      <c r="G317" s="66"/>
      <c r="H317" s="66"/>
      <c r="I317" s="66"/>
      <c r="J317" s="66"/>
      <c r="K317" s="66"/>
      <c r="L317" s="66"/>
      <c r="M317" s="66"/>
      <c r="N317" s="66"/>
      <c r="O317" s="66"/>
      <c r="P317" s="66"/>
      <c r="Q317" s="66"/>
      <c r="R317" s="66"/>
      <c r="S317" s="66"/>
      <c r="T317" s="66"/>
      <c r="U317" s="66"/>
      <c r="V317" s="66"/>
      <c r="W317" s="66"/>
      <c r="X317" s="66"/>
      <c r="Y317" s="66"/>
      <c r="Z317" s="66"/>
      <c r="AA317" s="66"/>
      <c r="AB317" s="66"/>
      <c r="AC317" s="66"/>
      <c r="AD317" s="66"/>
      <c r="AE317" s="66"/>
      <c r="AF317" s="66"/>
      <c r="AG317" s="66"/>
      <c r="CF317" s="68"/>
    </row>
    <row r="318" spans="1:84" ht="17.399999999999999" x14ac:dyDescent="0.35">
      <c r="A318" s="67" t="s">
        <v>958</v>
      </c>
      <c r="B318" s="67"/>
      <c r="C318" s="66"/>
      <c r="D318" s="66">
        <v>43.945160000000001</v>
      </c>
      <c r="E318" s="66"/>
      <c r="F318" s="66"/>
      <c r="G318" s="66"/>
      <c r="H318" s="66"/>
      <c r="I318" s="66"/>
      <c r="J318" s="66"/>
      <c r="K318" s="66"/>
      <c r="L318" s="66"/>
      <c r="M318" s="66"/>
      <c r="N318" s="66"/>
      <c r="O318" s="66"/>
      <c r="P318" s="66"/>
      <c r="Q318" s="66"/>
      <c r="R318" s="66"/>
      <c r="S318" s="66"/>
      <c r="T318" s="66"/>
      <c r="U318" s="66"/>
      <c r="V318" s="66"/>
      <c r="W318" s="66"/>
      <c r="X318" s="66"/>
      <c r="Y318" s="66"/>
      <c r="Z318" s="66"/>
      <c r="AA318" s="66"/>
      <c r="AB318" s="66"/>
      <c r="AC318" s="66"/>
      <c r="AD318" s="66"/>
      <c r="AE318" s="66"/>
      <c r="AF318" s="66"/>
      <c r="AG318" s="66"/>
      <c r="CF318" s="68"/>
    </row>
    <row r="319" spans="1:84" ht="17.399999999999999" x14ac:dyDescent="0.35">
      <c r="A319" s="67" t="s">
        <v>959</v>
      </c>
      <c r="B319" s="67"/>
      <c r="C319" s="66"/>
      <c r="D319" s="66">
        <v>52.893999999999998</v>
      </c>
      <c r="E319" s="66"/>
      <c r="F319" s="66"/>
      <c r="G319" s="66"/>
      <c r="H319" s="66"/>
      <c r="I319" s="66"/>
      <c r="J319" s="66"/>
      <c r="K319" s="66"/>
      <c r="L319" s="66"/>
      <c r="M319" s="66"/>
      <c r="N319" s="66"/>
      <c r="O319" s="66"/>
      <c r="P319" s="66"/>
      <c r="Q319" s="66"/>
      <c r="R319" s="66"/>
      <c r="S319" s="66"/>
      <c r="T319" s="66"/>
      <c r="U319" s="66"/>
      <c r="V319" s="66"/>
      <c r="W319" s="66"/>
      <c r="X319" s="66"/>
      <c r="Y319" s="66"/>
      <c r="Z319" s="66"/>
      <c r="AA319" s="66"/>
      <c r="AB319" s="66"/>
      <c r="AC319" s="66"/>
      <c r="AD319" s="66"/>
      <c r="AE319" s="66"/>
      <c r="AF319" s="66"/>
      <c r="AG319" s="66"/>
      <c r="CF319" s="68"/>
    </row>
    <row r="320" spans="1:84" ht="17.399999999999999" x14ac:dyDescent="0.35">
      <c r="A320" s="67" t="s">
        <v>960</v>
      </c>
      <c r="B320" s="67"/>
      <c r="C320" s="66"/>
      <c r="D320" s="66">
        <v>61.273679999999999</v>
      </c>
      <c r="E320" s="66"/>
      <c r="F320" s="66"/>
      <c r="G320" s="66"/>
      <c r="H320" s="66"/>
      <c r="I320" s="66"/>
      <c r="J320" s="66"/>
      <c r="K320" s="66"/>
      <c r="L320" s="66"/>
      <c r="M320" s="66"/>
      <c r="N320" s="66"/>
      <c r="O320" s="66"/>
      <c r="P320" s="66"/>
      <c r="Q320" s="66"/>
      <c r="R320" s="66"/>
      <c r="S320" s="66"/>
      <c r="T320" s="66"/>
      <c r="U320" s="66"/>
      <c r="V320" s="66"/>
      <c r="W320" s="66"/>
      <c r="X320" s="66"/>
      <c r="Y320" s="66"/>
      <c r="Z320" s="66"/>
      <c r="AA320" s="66"/>
      <c r="AB320" s="66"/>
      <c r="AC320" s="66"/>
      <c r="AD320" s="66"/>
      <c r="AE320" s="66"/>
      <c r="AF320" s="66"/>
      <c r="AG320" s="66"/>
      <c r="CF320" s="68"/>
    </row>
    <row r="321" spans="1:84" ht="17.399999999999999" x14ac:dyDescent="0.35">
      <c r="A321" s="67" t="s">
        <v>961</v>
      </c>
      <c r="B321" s="67"/>
      <c r="C321" s="66"/>
      <c r="D321" s="66">
        <v>60.926459999999999</v>
      </c>
      <c r="E321" s="66"/>
      <c r="F321" s="66"/>
      <c r="G321" s="66"/>
      <c r="H321" s="66"/>
      <c r="I321" s="66"/>
      <c r="J321" s="66"/>
      <c r="K321" s="66"/>
      <c r="L321" s="66"/>
      <c r="M321" s="66"/>
      <c r="N321" s="66"/>
      <c r="O321" s="66"/>
      <c r="P321" s="66"/>
      <c r="Q321" s="66"/>
      <c r="R321" s="66"/>
      <c r="S321" s="66"/>
      <c r="T321" s="66"/>
      <c r="U321" s="66"/>
      <c r="V321" s="66"/>
      <c r="W321" s="66"/>
      <c r="X321" s="66"/>
      <c r="Y321" s="66"/>
      <c r="Z321" s="66"/>
      <c r="AA321" s="66"/>
      <c r="AB321" s="66"/>
      <c r="AC321" s="66"/>
      <c r="AD321" s="66"/>
      <c r="AE321" s="66"/>
      <c r="AF321" s="66"/>
      <c r="AG321" s="66"/>
      <c r="CF321" s="68"/>
    </row>
    <row r="322" spans="1:84" ht="17.399999999999999" x14ac:dyDescent="0.35">
      <c r="A322" s="67" t="s">
        <v>962</v>
      </c>
      <c r="B322" s="67"/>
      <c r="C322" s="66"/>
      <c r="D322" s="66">
        <v>65.812880000000007</v>
      </c>
      <c r="E322" s="66"/>
      <c r="F322" s="66"/>
      <c r="G322" s="66"/>
      <c r="H322" s="66"/>
      <c r="I322" s="66"/>
      <c r="J322" s="66"/>
      <c r="K322" s="66"/>
      <c r="L322" s="66"/>
      <c r="M322" s="66"/>
      <c r="N322" s="66"/>
      <c r="O322" s="66"/>
      <c r="P322" s="66"/>
      <c r="Q322" s="66"/>
      <c r="R322" s="66"/>
      <c r="S322" s="66"/>
      <c r="T322" s="66"/>
      <c r="U322" s="66"/>
      <c r="V322" s="66"/>
      <c r="W322" s="66"/>
      <c r="X322" s="66"/>
      <c r="Y322" s="66"/>
      <c r="Z322" s="66"/>
      <c r="AA322" s="66"/>
      <c r="AB322" s="66"/>
      <c r="AC322" s="66"/>
      <c r="AD322" s="66"/>
      <c r="AE322" s="66"/>
      <c r="AF322" s="66"/>
      <c r="AG322" s="66"/>
      <c r="CF322" s="68"/>
    </row>
    <row r="323" spans="1:84" ht="17.399999999999999" x14ac:dyDescent="0.35">
      <c r="A323" s="67" t="s">
        <v>963</v>
      </c>
      <c r="B323" s="67"/>
      <c r="C323" s="66"/>
      <c r="D323" s="66">
        <v>66.544560000000004</v>
      </c>
      <c r="E323" s="66"/>
      <c r="F323" s="66"/>
      <c r="G323" s="66"/>
      <c r="H323" s="66"/>
      <c r="I323" s="66"/>
      <c r="J323" s="66"/>
      <c r="K323" s="66"/>
      <c r="L323" s="66"/>
      <c r="M323" s="66"/>
      <c r="N323" s="66"/>
      <c r="O323" s="66"/>
      <c r="P323" s="66"/>
      <c r="Q323" s="66"/>
      <c r="R323" s="66"/>
      <c r="S323" s="66"/>
      <c r="T323" s="66"/>
      <c r="U323" s="66"/>
      <c r="V323" s="66"/>
      <c r="W323" s="66"/>
      <c r="X323" s="66"/>
      <c r="Y323" s="66"/>
      <c r="Z323" s="66"/>
      <c r="AA323" s="66"/>
      <c r="AB323" s="66"/>
      <c r="AC323" s="66"/>
      <c r="AD323" s="66"/>
      <c r="AE323" s="66"/>
      <c r="AF323" s="66"/>
      <c r="AG323" s="66"/>
      <c r="CF323" s="68"/>
    </row>
    <row r="324" spans="1:84" ht="17.399999999999999" x14ac:dyDescent="0.35">
      <c r="A324" s="67" t="s">
        <v>964</v>
      </c>
      <c r="B324" s="67"/>
      <c r="C324" s="66"/>
      <c r="D324" s="66">
        <v>68.935699999999997</v>
      </c>
      <c r="E324" s="66"/>
      <c r="F324" s="66"/>
      <c r="G324" s="66"/>
      <c r="H324" s="66"/>
      <c r="I324" s="66"/>
      <c r="J324" s="66"/>
      <c r="K324" s="66"/>
      <c r="L324" s="66"/>
      <c r="M324" s="66"/>
      <c r="N324" s="66"/>
      <c r="O324" s="66"/>
      <c r="P324" s="66"/>
      <c r="Q324" s="66"/>
      <c r="R324" s="66"/>
      <c r="S324" s="66"/>
      <c r="T324" s="66"/>
      <c r="U324" s="66"/>
      <c r="V324" s="66"/>
      <c r="W324" s="66"/>
      <c r="X324" s="66"/>
      <c r="Y324" s="66"/>
      <c r="Z324" s="66"/>
      <c r="AA324" s="66"/>
      <c r="AB324" s="66"/>
      <c r="AC324" s="66"/>
      <c r="AD324" s="66"/>
      <c r="AE324" s="66"/>
      <c r="AF324" s="66"/>
      <c r="AG324" s="66"/>
      <c r="CF324" s="68"/>
    </row>
    <row r="325" spans="1:84" ht="17.399999999999999" x14ac:dyDescent="0.35">
      <c r="A325" s="67" t="s">
        <v>965</v>
      </c>
      <c r="B325" s="67"/>
      <c r="C325" s="66"/>
      <c r="D325" s="66">
        <v>68.207440000000005</v>
      </c>
      <c r="E325" s="66"/>
      <c r="F325" s="66"/>
      <c r="G325" s="66"/>
      <c r="H325" s="66"/>
      <c r="I325" s="66"/>
      <c r="J325" s="66"/>
      <c r="K325" s="66"/>
      <c r="L325" s="66"/>
      <c r="M325" s="66"/>
      <c r="N325" s="66"/>
      <c r="O325" s="66"/>
      <c r="P325" s="66"/>
      <c r="Q325" s="66"/>
      <c r="R325" s="66"/>
      <c r="S325" s="66"/>
      <c r="T325" s="66"/>
      <c r="U325" s="66"/>
      <c r="V325" s="66"/>
      <c r="W325" s="66"/>
      <c r="X325" s="66"/>
      <c r="Y325" s="66"/>
      <c r="Z325" s="66"/>
      <c r="AA325" s="66"/>
      <c r="AB325" s="66"/>
      <c r="AC325" s="66"/>
      <c r="AD325" s="66"/>
      <c r="AE325" s="66"/>
      <c r="AF325" s="66"/>
      <c r="AG325" s="66"/>
      <c r="CF325" s="68"/>
    </row>
    <row r="326" spans="1:84" ht="17.399999999999999" x14ac:dyDescent="0.35">
      <c r="A326" s="67" t="s">
        <v>966</v>
      </c>
      <c r="B326" s="67"/>
      <c r="C326" s="66"/>
      <c r="D326" s="66">
        <v>72.116079999999997</v>
      </c>
      <c r="E326" s="66"/>
      <c r="F326" s="66"/>
      <c r="G326" s="66"/>
      <c r="H326" s="66"/>
      <c r="I326" s="66"/>
      <c r="J326" s="66"/>
      <c r="K326" s="66"/>
      <c r="L326" s="66"/>
      <c r="M326" s="66"/>
      <c r="N326" s="66"/>
      <c r="O326" s="66"/>
      <c r="P326" s="66"/>
      <c r="Q326" s="66"/>
      <c r="R326" s="66"/>
      <c r="S326" s="66"/>
      <c r="T326" s="66"/>
      <c r="U326" s="66"/>
      <c r="V326" s="66"/>
      <c r="W326" s="66"/>
      <c r="X326" s="66"/>
      <c r="Y326" s="66"/>
      <c r="Z326" s="66"/>
      <c r="AA326" s="66"/>
      <c r="AB326" s="66"/>
      <c r="AC326" s="66"/>
      <c r="AD326" s="66"/>
      <c r="AE326" s="66"/>
      <c r="AF326" s="66"/>
      <c r="AG326" s="66"/>
      <c r="CF326" s="68"/>
    </row>
    <row r="327" spans="1:84" ht="17.399999999999999" x14ac:dyDescent="0.35">
      <c r="A327" s="67" t="s">
        <v>967</v>
      </c>
      <c r="B327" s="67"/>
      <c r="C327" s="66"/>
      <c r="D327" s="66">
        <v>73.370199999999997</v>
      </c>
      <c r="E327" s="66"/>
      <c r="F327" s="66"/>
      <c r="G327" s="66"/>
      <c r="H327" s="66"/>
      <c r="I327" s="66"/>
      <c r="J327" s="66"/>
      <c r="K327" s="66"/>
      <c r="L327" s="66"/>
      <c r="M327" s="66"/>
      <c r="N327" s="66"/>
      <c r="O327" s="66"/>
      <c r="P327" s="66"/>
      <c r="Q327" s="66"/>
      <c r="R327" s="66"/>
      <c r="S327" s="66"/>
      <c r="T327" s="66"/>
      <c r="U327" s="66"/>
      <c r="V327" s="66"/>
      <c r="W327" s="66"/>
      <c r="X327" s="66"/>
      <c r="Y327" s="66"/>
      <c r="Z327" s="66"/>
      <c r="AA327" s="66"/>
      <c r="AB327" s="66"/>
      <c r="AC327" s="66"/>
      <c r="AD327" s="66"/>
      <c r="AE327" s="66"/>
      <c r="AF327" s="66"/>
      <c r="AG327" s="66"/>
      <c r="CF327" s="68"/>
    </row>
    <row r="328" spans="1:84" ht="17.399999999999999" x14ac:dyDescent="0.35">
      <c r="A328" s="67" t="s">
        <v>968</v>
      </c>
      <c r="B328" s="67"/>
      <c r="C328" s="66"/>
      <c r="D328" s="66">
        <v>104.96006</v>
      </c>
      <c r="E328" s="66"/>
      <c r="F328" s="66"/>
      <c r="G328" s="66"/>
      <c r="H328" s="66"/>
      <c r="I328" s="66"/>
      <c r="J328" s="66"/>
      <c r="K328" s="66"/>
      <c r="L328" s="66"/>
      <c r="M328" s="66"/>
      <c r="N328" s="66"/>
      <c r="O328" s="66"/>
      <c r="P328" s="66"/>
      <c r="Q328" s="66"/>
      <c r="R328" s="66"/>
      <c r="S328" s="66"/>
      <c r="T328" s="66"/>
      <c r="U328" s="66"/>
      <c r="V328" s="66"/>
      <c r="W328" s="66"/>
      <c r="X328" s="66"/>
      <c r="Y328" s="66"/>
      <c r="Z328" s="66"/>
      <c r="AA328" s="66"/>
      <c r="AB328" s="66"/>
      <c r="AC328" s="66"/>
      <c r="AD328" s="66"/>
      <c r="AE328" s="66"/>
      <c r="AF328" s="66"/>
      <c r="AG328" s="66"/>
      <c r="CF328" s="68"/>
    </row>
    <row r="329" spans="1:84" ht="17.399999999999999" x14ac:dyDescent="0.35">
      <c r="A329" s="67" t="s">
        <v>969</v>
      </c>
      <c r="B329" s="67"/>
      <c r="C329" s="66"/>
      <c r="D329" s="66">
        <v>2.25318</v>
      </c>
      <c r="E329" s="66"/>
      <c r="F329" s="66"/>
      <c r="G329" s="66"/>
      <c r="H329" s="66"/>
      <c r="I329" s="66"/>
      <c r="J329" s="66"/>
      <c r="K329" s="66"/>
      <c r="L329" s="66"/>
      <c r="M329" s="66"/>
      <c r="N329" s="66"/>
      <c r="O329" s="66"/>
      <c r="P329" s="66"/>
      <c r="Q329" s="66"/>
      <c r="R329" s="66"/>
      <c r="S329" s="66"/>
      <c r="T329" s="66"/>
      <c r="U329" s="66"/>
      <c r="V329" s="66"/>
      <c r="W329" s="66"/>
      <c r="X329" s="66"/>
      <c r="Y329" s="66"/>
      <c r="Z329" s="66"/>
      <c r="AA329" s="66"/>
      <c r="AB329" s="66"/>
      <c r="AC329" s="66"/>
      <c r="AD329" s="66"/>
      <c r="AE329" s="66"/>
      <c r="AF329" s="66"/>
      <c r="AG329" s="66"/>
      <c r="CF329" s="68"/>
    </row>
    <row r="330" spans="1:84" ht="17.399999999999999" x14ac:dyDescent="0.35">
      <c r="A330" s="67" t="s">
        <v>969</v>
      </c>
      <c r="B330" s="67"/>
      <c r="C330" s="66"/>
      <c r="D330" s="66">
        <v>2.4050099999999999</v>
      </c>
      <c r="E330" s="66"/>
      <c r="F330" s="66"/>
      <c r="G330" s="66"/>
      <c r="H330" s="66"/>
      <c r="I330" s="66"/>
      <c r="J330" s="66"/>
      <c r="K330" s="66"/>
      <c r="L330" s="66"/>
      <c r="M330" s="66"/>
      <c r="N330" s="66"/>
      <c r="O330" s="66"/>
      <c r="P330" s="66"/>
      <c r="Q330" s="66"/>
      <c r="R330" s="66"/>
      <c r="S330" s="66"/>
      <c r="T330" s="66"/>
      <c r="U330" s="66"/>
      <c r="V330" s="66"/>
      <c r="W330" s="66"/>
      <c r="X330" s="66"/>
      <c r="Y330" s="66"/>
      <c r="Z330" s="66"/>
      <c r="AA330" s="66"/>
      <c r="AB330" s="66"/>
      <c r="AC330" s="66"/>
      <c r="AD330" s="66"/>
      <c r="AE330" s="66"/>
      <c r="AF330" s="66"/>
      <c r="AG330" s="66"/>
      <c r="CF330" s="68"/>
    </row>
    <row r="331" spans="1:84" ht="17.399999999999999" x14ac:dyDescent="0.35">
      <c r="A331" s="67" t="s">
        <v>969</v>
      </c>
      <c r="B331" s="67"/>
      <c r="C331" s="66"/>
      <c r="D331" s="66">
        <v>2.2703899999999999</v>
      </c>
      <c r="E331" s="66"/>
      <c r="F331" s="66"/>
      <c r="G331" s="66"/>
      <c r="H331" s="66"/>
      <c r="I331" s="66"/>
      <c r="J331" s="66"/>
      <c r="K331" s="66"/>
      <c r="L331" s="66"/>
      <c r="M331" s="66"/>
      <c r="N331" s="66"/>
      <c r="O331" s="66"/>
      <c r="P331" s="66"/>
      <c r="Q331" s="66"/>
      <c r="R331" s="66"/>
      <c r="S331" s="66"/>
      <c r="T331" s="66"/>
      <c r="U331" s="66"/>
      <c r="V331" s="66"/>
      <c r="W331" s="66"/>
      <c r="X331" s="66"/>
      <c r="Y331" s="66"/>
      <c r="Z331" s="66"/>
      <c r="AA331" s="66"/>
      <c r="AB331" s="66"/>
      <c r="AC331" s="66"/>
      <c r="AD331" s="66"/>
      <c r="AE331" s="66"/>
      <c r="AF331" s="66"/>
      <c r="AG331" s="66"/>
      <c r="CF331" s="68"/>
    </row>
    <row r="332" spans="1:84" ht="17.399999999999999" x14ac:dyDescent="0.35">
      <c r="A332" s="67" t="s">
        <v>969</v>
      </c>
      <c r="B332" s="67"/>
      <c r="C332" s="66"/>
      <c r="D332" s="66">
        <v>2.29853</v>
      </c>
      <c r="E332" s="66"/>
      <c r="F332" s="66"/>
      <c r="G332" s="66"/>
      <c r="H332" s="66"/>
      <c r="I332" s="66"/>
      <c r="J332" s="66"/>
      <c r="K332" s="66"/>
      <c r="L332" s="66"/>
      <c r="M332" s="66"/>
      <c r="N332" s="66"/>
      <c r="O332" s="66"/>
      <c r="P332" s="66"/>
      <c r="Q332" s="66"/>
      <c r="R332" s="66"/>
      <c r="S332" s="66"/>
      <c r="T332" s="66"/>
      <c r="U332" s="66"/>
      <c r="V332" s="66"/>
      <c r="W332" s="66"/>
      <c r="X332" s="66"/>
      <c r="Y332" s="66"/>
      <c r="Z332" s="66"/>
      <c r="AA332" s="66"/>
      <c r="AB332" s="66"/>
      <c r="AC332" s="66"/>
      <c r="AD332" s="66"/>
      <c r="AE332" s="66"/>
      <c r="AF332" s="66"/>
      <c r="AG332" s="66"/>
      <c r="CF332" s="68"/>
    </row>
    <row r="333" spans="1:84" ht="17.399999999999999" x14ac:dyDescent="0.35">
      <c r="A333" s="67" t="s">
        <v>969</v>
      </c>
      <c r="B333" s="67"/>
      <c r="C333" s="66"/>
      <c r="D333" s="66">
        <v>2.2919200000000002</v>
      </c>
      <c r="E333" s="66"/>
      <c r="F333" s="66"/>
      <c r="G333" s="66"/>
      <c r="H333" s="66"/>
      <c r="I333" s="66"/>
      <c r="J333" s="66"/>
      <c r="K333" s="66"/>
      <c r="L333" s="66"/>
      <c r="M333" s="66"/>
      <c r="N333" s="66"/>
      <c r="O333" s="66"/>
      <c r="P333" s="66"/>
      <c r="Q333" s="66"/>
      <c r="R333" s="66"/>
      <c r="S333" s="66"/>
      <c r="T333" s="66"/>
      <c r="U333" s="66"/>
      <c r="V333" s="66"/>
      <c r="W333" s="66"/>
      <c r="X333" s="66"/>
      <c r="Y333" s="66"/>
      <c r="Z333" s="66"/>
      <c r="AA333" s="66"/>
      <c r="AB333" s="66"/>
      <c r="AC333" s="66"/>
      <c r="AD333" s="66"/>
      <c r="AE333" s="66"/>
      <c r="AF333" s="66"/>
      <c r="AG333" s="66"/>
      <c r="CF333" s="68"/>
    </row>
    <row r="334" spans="1:84" ht="17.399999999999999" x14ac:dyDescent="0.35">
      <c r="A334" s="67" t="s">
        <v>969</v>
      </c>
      <c r="B334" s="67"/>
      <c r="C334" s="66"/>
      <c r="D334" s="66">
        <v>2.3068</v>
      </c>
      <c r="E334" s="66"/>
      <c r="F334" s="66"/>
      <c r="G334" s="66"/>
      <c r="H334" s="66"/>
      <c r="I334" s="66"/>
      <c r="J334" s="66"/>
      <c r="K334" s="66"/>
      <c r="L334" s="66"/>
      <c r="M334" s="66"/>
      <c r="N334" s="66"/>
      <c r="O334" s="66"/>
      <c r="P334" s="66"/>
      <c r="Q334" s="66"/>
      <c r="R334" s="66"/>
      <c r="S334" s="66"/>
      <c r="T334" s="66"/>
      <c r="U334" s="66"/>
      <c r="V334" s="66"/>
      <c r="W334" s="66"/>
      <c r="X334" s="66"/>
      <c r="Y334" s="66"/>
      <c r="Z334" s="66"/>
      <c r="AA334" s="66"/>
      <c r="AB334" s="66"/>
      <c r="AC334" s="66"/>
      <c r="AD334" s="66"/>
      <c r="AE334" s="66"/>
      <c r="AF334" s="66"/>
      <c r="AG334" s="66"/>
      <c r="CF334" s="68"/>
    </row>
    <row r="335" spans="1:84" ht="17.399999999999999" x14ac:dyDescent="0.35">
      <c r="A335" s="67" t="s">
        <v>969</v>
      </c>
      <c r="B335" s="67"/>
      <c r="C335" s="66"/>
      <c r="D335" s="66">
        <v>2.34328</v>
      </c>
      <c r="E335" s="66"/>
      <c r="F335" s="66"/>
      <c r="G335" s="66"/>
      <c r="H335" s="66"/>
      <c r="I335" s="66"/>
      <c r="J335" s="66"/>
      <c r="K335" s="66"/>
      <c r="L335" s="66"/>
      <c r="M335" s="66"/>
      <c r="N335" s="66"/>
      <c r="O335" s="66"/>
      <c r="P335" s="66"/>
      <c r="Q335" s="66"/>
      <c r="R335" s="66"/>
      <c r="S335" s="66"/>
      <c r="T335" s="66"/>
      <c r="U335" s="66"/>
      <c r="V335" s="66"/>
      <c r="W335" s="66"/>
      <c r="X335" s="66"/>
      <c r="Y335" s="66"/>
      <c r="Z335" s="66"/>
      <c r="AA335" s="66"/>
      <c r="AB335" s="66"/>
      <c r="AC335" s="66"/>
      <c r="AD335" s="66"/>
      <c r="AE335" s="66"/>
      <c r="AF335" s="66"/>
      <c r="AG335" s="66"/>
      <c r="CF335" s="68"/>
    </row>
    <row r="336" spans="1:84" ht="17.399999999999999" x14ac:dyDescent="0.35">
      <c r="A336" s="67" t="s">
        <v>969</v>
      </c>
      <c r="B336" s="67"/>
      <c r="C336" s="66"/>
      <c r="D336" s="66">
        <v>2.29393</v>
      </c>
      <c r="E336" s="66"/>
      <c r="F336" s="66"/>
      <c r="G336" s="66"/>
      <c r="H336" s="66"/>
      <c r="I336" s="66"/>
      <c r="J336" s="66"/>
      <c r="K336" s="66"/>
      <c r="L336" s="66"/>
      <c r="M336" s="66"/>
      <c r="N336" s="66"/>
      <c r="O336" s="66"/>
      <c r="P336" s="66"/>
      <c r="Q336" s="66"/>
      <c r="R336" s="66"/>
      <c r="S336" s="66"/>
      <c r="T336" s="66"/>
      <c r="U336" s="66"/>
      <c r="V336" s="66"/>
      <c r="W336" s="66"/>
      <c r="X336" s="66"/>
      <c r="Y336" s="66"/>
      <c r="Z336" s="66"/>
      <c r="AA336" s="66"/>
      <c r="AB336" s="66"/>
      <c r="AC336" s="66"/>
      <c r="AD336" s="66"/>
      <c r="AE336" s="66"/>
      <c r="AF336" s="66"/>
      <c r="AG336" s="66"/>
      <c r="CF336" s="68"/>
    </row>
    <row r="337" spans="1:84" ht="17.399999999999999" x14ac:dyDescent="0.35">
      <c r="A337" s="67" t="s">
        <v>969</v>
      </c>
      <c r="B337" s="67"/>
      <c r="C337" s="66"/>
      <c r="D337" s="66">
        <v>2.20458</v>
      </c>
      <c r="E337" s="66"/>
      <c r="F337" s="66"/>
      <c r="G337" s="66"/>
      <c r="H337" s="66"/>
      <c r="I337" s="66"/>
      <c r="J337" s="66"/>
      <c r="K337" s="66"/>
      <c r="L337" s="66"/>
      <c r="M337" s="66"/>
      <c r="N337" s="66"/>
      <c r="O337" s="66"/>
      <c r="P337" s="66"/>
      <c r="Q337" s="66"/>
      <c r="R337" s="66"/>
      <c r="S337" s="66"/>
      <c r="T337" s="66"/>
      <c r="U337" s="66"/>
      <c r="V337" s="66"/>
      <c r="W337" s="66"/>
      <c r="X337" s="66"/>
      <c r="Y337" s="66"/>
      <c r="Z337" s="66"/>
      <c r="AA337" s="66"/>
      <c r="AB337" s="66"/>
      <c r="AC337" s="66"/>
      <c r="AD337" s="66"/>
      <c r="AE337" s="66"/>
      <c r="AF337" s="66"/>
      <c r="AG337" s="66"/>
      <c r="CF337" s="68"/>
    </row>
    <row r="338" spans="1:84" ht="17.399999999999999" x14ac:dyDescent="0.35">
      <c r="A338" s="67" t="s">
        <v>969</v>
      </c>
      <c r="B338" s="67"/>
      <c r="C338" s="66"/>
      <c r="D338" s="66">
        <v>2.28864</v>
      </c>
      <c r="E338" s="66"/>
      <c r="F338" s="66"/>
      <c r="G338" s="66"/>
      <c r="H338" s="66"/>
      <c r="I338" s="66"/>
      <c r="J338" s="66"/>
      <c r="K338" s="66"/>
      <c r="L338" s="66"/>
      <c r="M338" s="66"/>
      <c r="N338" s="66"/>
      <c r="O338" s="66"/>
      <c r="P338" s="66"/>
      <c r="Q338" s="66"/>
      <c r="R338" s="66"/>
      <c r="S338" s="66"/>
      <c r="T338" s="66"/>
      <c r="U338" s="66"/>
      <c r="V338" s="66"/>
      <c r="W338" s="66"/>
      <c r="X338" s="66"/>
      <c r="Y338" s="66"/>
      <c r="Z338" s="66"/>
      <c r="AA338" s="66"/>
      <c r="AB338" s="66"/>
      <c r="AC338" s="66"/>
      <c r="AD338" s="66"/>
      <c r="AE338" s="66"/>
      <c r="AF338" s="66"/>
      <c r="AG338" s="66"/>
      <c r="CF338" s="68"/>
    </row>
    <row r="339" spans="1:84" ht="17.399999999999999" x14ac:dyDescent="0.35">
      <c r="A339" s="67" t="s">
        <v>969</v>
      </c>
      <c r="B339" s="67"/>
      <c r="C339" s="66"/>
      <c r="D339" s="66">
        <v>2.2834300000000001</v>
      </c>
      <c r="E339" s="66"/>
      <c r="F339" s="66"/>
      <c r="G339" s="66"/>
      <c r="H339" s="66"/>
      <c r="I339" s="66"/>
      <c r="J339" s="66"/>
      <c r="K339" s="66"/>
      <c r="L339" s="66"/>
      <c r="M339" s="66"/>
      <c r="N339" s="66"/>
      <c r="O339" s="66"/>
      <c r="P339" s="66"/>
      <c r="Q339" s="66"/>
      <c r="R339" s="66"/>
      <c r="S339" s="66"/>
      <c r="T339" s="66"/>
      <c r="U339" s="66"/>
      <c r="V339" s="66"/>
      <c r="W339" s="66"/>
      <c r="X339" s="66"/>
      <c r="Y339" s="66"/>
      <c r="Z339" s="66"/>
      <c r="AA339" s="66"/>
      <c r="AB339" s="66"/>
      <c r="AC339" s="66"/>
      <c r="AD339" s="66"/>
      <c r="AE339" s="66"/>
      <c r="AF339" s="66"/>
      <c r="AG339" s="66"/>
      <c r="CF339" s="68"/>
    </row>
    <row r="340" spans="1:84" ht="17.399999999999999" x14ac:dyDescent="0.35">
      <c r="A340" s="67" t="s">
        <v>969</v>
      </c>
      <c r="B340" s="67"/>
      <c r="C340" s="66"/>
      <c r="D340" s="66">
        <v>2.2572199999999998</v>
      </c>
      <c r="E340" s="66"/>
      <c r="F340" s="66"/>
      <c r="G340" s="66"/>
      <c r="H340" s="66"/>
      <c r="I340" s="66"/>
      <c r="J340" s="66"/>
      <c r="K340" s="66"/>
      <c r="L340" s="66"/>
      <c r="M340" s="66"/>
      <c r="N340" s="66"/>
      <c r="O340" s="66"/>
      <c r="P340" s="66"/>
      <c r="Q340" s="66"/>
      <c r="R340" s="66"/>
      <c r="S340" s="66"/>
      <c r="T340" s="66"/>
      <c r="U340" s="66"/>
      <c r="V340" s="66"/>
      <c r="W340" s="66"/>
      <c r="X340" s="66"/>
      <c r="Y340" s="66"/>
      <c r="Z340" s="66"/>
      <c r="AA340" s="66"/>
      <c r="AB340" s="66"/>
      <c r="AC340" s="66"/>
      <c r="AD340" s="66"/>
      <c r="AE340" s="66"/>
      <c r="AF340" s="66"/>
      <c r="AG340" s="66"/>
      <c r="CF340" s="68"/>
    </row>
    <row r="341" spans="1:84" ht="17.399999999999999" x14ac:dyDescent="0.35">
      <c r="A341" s="67" t="s">
        <v>969</v>
      </c>
      <c r="B341" s="67"/>
      <c r="C341" s="66"/>
      <c r="D341" s="66">
        <v>2.30071</v>
      </c>
      <c r="E341" s="66"/>
      <c r="F341" s="66"/>
      <c r="G341" s="66"/>
      <c r="H341" s="66"/>
      <c r="I341" s="66"/>
      <c r="J341" s="66"/>
      <c r="K341" s="66"/>
      <c r="L341" s="66"/>
      <c r="M341" s="66"/>
      <c r="N341" s="66"/>
      <c r="O341" s="66"/>
      <c r="P341" s="66"/>
      <c r="Q341" s="66"/>
      <c r="R341" s="66"/>
      <c r="S341" s="66"/>
      <c r="T341" s="66"/>
      <c r="U341" s="66"/>
      <c r="V341" s="66"/>
      <c r="W341" s="66"/>
      <c r="X341" s="66"/>
      <c r="Y341" s="66"/>
      <c r="Z341" s="66"/>
      <c r="AA341" s="66"/>
      <c r="AB341" s="66"/>
      <c r="AC341" s="66"/>
      <c r="AD341" s="66"/>
      <c r="AE341" s="66"/>
      <c r="AF341" s="66"/>
      <c r="AG341" s="66"/>
      <c r="CF341" s="68"/>
    </row>
    <row r="342" spans="1:84" ht="17.399999999999999" x14ac:dyDescent="0.35">
      <c r="A342" s="67" t="s">
        <v>969</v>
      </c>
      <c r="B342" s="67"/>
      <c r="C342" s="66"/>
      <c r="D342" s="66">
        <v>2.3002799999999999</v>
      </c>
      <c r="E342" s="66"/>
      <c r="F342" s="66"/>
      <c r="G342" s="66"/>
      <c r="H342" s="66"/>
      <c r="I342" s="66"/>
      <c r="J342" s="66"/>
      <c r="K342" s="66"/>
      <c r="L342" s="66"/>
      <c r="M342" s="66"/>
      <c r="N342" s="66"/>
      <c r="O342" s="66"/>
      <c r="P342" s="66"/>
      <c r="Q342" s="66"/>
      <c r="R342" s="66"/>
      <c r="S342" s="66"/>
      <c r="T342" s="66"/>
      <c r="U342" s="66"/>
      <c r="V342" s="66"/>
      <c r="W342" s="66"/>
      <c r="X342" s="66"/>
      <c r="Y342" s="66"/>
      <c r="Z342" s="66"/>
      <c r="AA342" s="66"/>
      <c r="AB342" s="66"/>
      <c r="AC342" s="66"/>
      <c r="AD342" s="66"/>
      <c r="AE342" s="66"/>
      <c r="AF342" s="66"/>
      <c r="AG342" s="66"/>
      <c r="CF342" s="68"/>
    </row>
    <row r="343" spans="1:84" ht="17.399999999999999" x14ac:dyDescent="0.35">
      <c r="A343" s="67" t="s">
        <v>969</v>
      </c>
      <c r="B343" s="67"/>
      <c r="C343" s="66"/>
      <c r="D343" s="66">
        <v>2.2841800000000001</v>
      </c>
      <c r="E343" s="66"/>
      <c r="F343" s="66"/>
      <c r="G343" s="66"/>
      <c r="H343" s="66"/>
      <c r="I343" s="66"/>
      <c r="J343" s="66"/>
      <c r="K343" s="66"/>
      <c r="L343" s="66"/>
      <c r="M343" s="66"/>
      <c r="N343" s="66"/>
      <c r="O343" s="66"/>
      <c r="P343" s="66"/>
      <c r="Q343" s="66"/>
      <c r="R343" s="66"/>
      <c r="S343" s="66"/>
      <c r="T343" s="66"/>
      <c r="U343" s="66"/>
      <c r="V343" s="66"/>
      <c r="W343" s="66"/>
      <c r="X343" s="66"/>
      <c r="Y343" s="66"/>
      <c r="Z343" s="66"/>
      <c r="AA343" s="66"/>
      <c r="AB343" s="66"/>
      <c r="AC343" s="66"/>
      <c r="AD343" s="66"/>
      <c r="AE343" s="66"/>
      <c r="AF343" s="66"/>
      <c r="AG343" s="66"/>
      <c r="CF343" s="68"/>
    </row>
    <row r="344" spans="1:84" ht="17.399999999999999" x14ac:dyDescent="0.35">
      <c r="A344" s="67" t="s">
        <v>969</v>
      </c>
      <c r="B344" s="67"/>
      <c r="C344" s="66"/>
      <c r="D344" s="66">
        <v>2.2992400000000002</v>
      </c>
      <c r="E344" s="66"/>
      <c r="F344" s="66"/>
      <c r="G344" s="66"/>
      <c r="H344" s="66"/>
      <c r="I344" s="66"/>
      <c r="J344" s="66"/>
      <c r="K344" s="66"/>
      <c r="L344" s="66"/>
      <c r="M344" s="66"/>
      <c r="N344" s="66"/>
      <c r="O344" s="66"/>
      <c r="P344" s="66"/>
      <c r="Q344" s="66"/>
      <c r="R344" s="66"/>
      <c r="S344" s="66"/>
      <c r="T344" s="66"/>
      <c r="U344" s="66"/>
      <c r="V344" s="66"/>
      <c r="W344" s="66"/>
      <c r="X344" s="66"/>
      <c r="Y344" s="66"/>
      <c r="Z344" s="66"/>
      <c r="AA344" s="66"/>
      <c r="AB344" s="66"/>
      <c r="AC344" s="66"/>
      <c r="AD344" s="66"/>
      <c r="AE344" s="66"/>
      <c r="AF344" s="66"/>
      <c r="AG344" s="66"/>
      <c r="CF344" s="68"/>
    </row>
    <row r="345" spans="1:84" ht="17.399999999999999" x14ac:dyDescent="0.35">
      <c r="A345" s="67" t="s">
        <v>969</v>
      </c>
      <c r="B345" s="67"/>
      <c r="C345" s="66"/>
      <c r="D345" s="66">
        <v>2.2829799999999998</v>
      </c>
      <c r="E345" s="66"/>
      <c r="F345" s="66"/>
      <c r="G345" s="66"/>
      <c r="H345" s="66"/>
      <c r="I345" s="66"/>
      <c r="J345" s="66"/>
      <c r="K345" s="66"/>
      <c r="L345" s="66"/>
      <c r="M345" s="66"/>
      <c r="N345" s="66"/>
      <c r="O345" s="66"/>
      <c r="P345" s="66"/>
      <c r="Q345" s="66"/>
      <c r="R345" s="66"/>
      <c r="S345" s="66"/>
      <c r="T345" s="66"/>
      <c r="U345" s="66"/>
      <c r="V345" s="66"/>
      <c r="W345" s="66"/>
      <c r="X345" s="66"/>
      <c r="Y345" s="66"/>
      <c r="Z345" s="66"/>
      <c r="AA345" s="66"/>
      <c r="AB345" s="66"/>
      <c r="AC345" s="66"/>
      <c r="AD345" s="66"/>
      <c r="AE345" s="66"/>
      <c r="AF345" s="66"/>
      <c r="AG345" s="66"/>
      <c r="CF345" s="68"/>
    </row>
    <row r="346" spans="1:84" ht="17.399999999999999" x14ac:dyDescent="0.35">
      <c r="A346" s="67" t="s">
        <v>969</v>
      </c>
      <c r="B346" s="67"/>
      <c r="C346" s="66"/>
      <c r="D346" s="66">
        <v>2.2915899999999998</v>
      </c>
      <c r="E346" s="66"/>
      <c r="F346" s="66"/>
      <c r="G346" s="66"/>
      <c r="H346" s="66"/>
      <c r="I346" s="66"/>
      <c r="J346" s="66"/>
      <c r="K346" s="66"/>
      <c r="L346" s="66"/>
      <c r="M346" s="66"/>
      <c r="N346" s="66"/>
      <c r="O346" s="66"/>
      <c r="P346" s="66"/>
      <c r="Q346" s="66"/>
      <c r="R346" s="66"/>
      <c r="S346" s="66"/>
      <c r="T346" s="66"/>
      <c r="U346" s="66"/>
      <c r="V346" s="66"/>
      <c r="W346" s="66"/>
      <c r="X346" s="66"/>
      <c r="Y346" s="66"/>
      <c r="Z346" s="66"/>
      <c r="AA346" s="66"/>
      <c r="AB346" s="66"/>
      <c r="AC346" s="66"/>
      <c r="AD346" s="66"/>
      <c r="AE346" s="66"/>
      <c r="AF346" s="66"/>
      <c r="AG346" s="66"/>
      <c r="CF346" s="68"/>
    </row>
    <row r="347" spans="1:84" ht="17.399999999999999" x14ac:dyDescent="0.35">
      <c r="A347" s="67" t="s">
        <v>969</v>
      </c>
      <c r="B347" s="67"/>
      <c r="C347" s="66"/>
      <c r="D347" s="66">
        <v>2.3343500000000001</v>
      </c>
      <c r="E347" s="66"/>
      <c r="F347" s="66"/>
      <c r="G347" s="66"/>
      <c r="H347" s="66"/>
      <c r="I347" s="66"/>
      <c r="J347" s="66"/>
      <c r="K347" s="66"/>
      <c r="L347" s="66"/>
      <c r="M347" s="66"/>
      <c r="N347" s="66"/>
      <c r="O347" s="66"/>
      <c r="P347" s="66"/>
      <c r="Q347" s="66"/>
      <c r="R347" s="66"/>
      <c r="S347" s="66"/>
      <c r="T347" s="66"/>
      <c r="U347" s="66"/>
      <c r="V347" s="66"/>
      <c r="W347" s="66"/>
      <c r="X347" s="66"/>
      <c r="Y347" s="66"/>
      <c r="Z347" s="66"/>
      <c r="AA347" s="66"/>
      <c r="AB347" s="66"/>
      <c r="AC347" s="66"/>
      <c r="AD347" s="66"/>
      <c r="AE347" s="66"/>
      <c r="AF347" s="66"/>
      <c r="AG347" s="66"/>
      <c r="CF347" s="68"/>
    </row>
    <row r="348" spans="1:84" ht="17.399999999999999" x14ac:dyDescent="0.35">
      <c r="A348" s="67" t="s">
        <v>969</v>
      </c>
      <c r="B348" s="67"/>
      <c r="C348" s="66"/>
      <c r="D348" s="66">
        <v>2.29861</v>
      </c>
      <c r="E348" s="66"/>
      <c r="F348" s="66"/>
      <c r="G348" s="66"/>
      <c r="H348" s="66"/>
      <c r="I348" s="66"/>
      <c r="J348" s="66"/>
      <c r="K348" s="66"/>
      <c r="L348" s="66"/>
      <c r="M348" s="66"/>
      <c r="N348" s="66"/>
      <c r="O348" s="66"/>
      <c r="P348" s="66"/>
      <c r="Q348" s="66"/>
      <c r="R348" s="66"/>
      <c r="S348" s="66"/>
      <c r="T348" s="66"/>
      <c r="U348" s="66"/>
      <c r="V348" s="66"/>
      <c r="W348" s="66"/>
      <c r="X348" s="66"/>
      <c r="Y348" s="66"/>
      <c r="Z348" s="66"/>
      <c r="AA348" s="66"/>
      <c r="AB348" s="66"/>
      <c r="AC348" s="66"/>
      <c r="AD348" s="66"/>
      <c r="AE348" s="66"/>
      <c r="AF348" s="66"/>
      <c r="AG348" s="66"/>
      <c r="CF348" s="68"/>
    </row>
    <row r="349" spans="1:84" ht="17.399999999999999" x14ac:dyDescent="0.35">
      <c r="A349" s="67" t="s">
        <v>969</v>
      </c>
      <c r="B349" s="67"/>
      <c r="C349" s="66"/>
      <c r="D349" s="66">
        <v>2.2917700000000001</v>
      </c>
      <c r="E349" s="66"/>
      <c r="F349" s="66"/>
      <c r="G349" s="66"/>
      <c r="H349" s="66"/>
      <c r="I349" s="66"/>
      <c r="J349" s="66"/>
      <c r="K349" s="66"/>
      <c r="L349" s="66"/>
      <c r="M349" s="66"/>
      <c r="N349" s="66"/>
      <c r="O349" s="66"/>
      <c r="P349" s="66"/>
      <c r="Q349" s="66"/>
      <c r="R349" s="66"/>
      <c r="S349" s="66"/>
      <c r="T349" s="66"/>
      <c r="U349" s="66"/>
      <c r="V349" s="66"/>
      <c r="W349" s="66"/>
      <c r="X349" s="66"/>
      <c r="Y349" s="66"/>
      <c r="Z349" s="66"/>
      <c r="AA349" s="66"/>
      <c r="AB349" s="66"/>
      <c r="AC349" s="66"/>
      <c r="AD349" s="66"/>
      <c r="AE349" s="66"/>
      <c r="AF349" s="66"/>
      <c r="AG349" s="66"/>
      <c r="CF349" s="68"/>
    </row>
    <row r="350" spans="1:84" ht="17.399999999999999" x14ac:dyDescent="0.35">
      <c r="A350" s="67" t="s">
        <v>969</v>
      </c>
      <c r="B350" s="67"/>
      <c r="C350" s="66"/>
      <c r="D350" s="66">
        <v>2.28776</v>
      </c>
      <c r="E350" s="66"/>
      <c r="F350" s="66"/>
      <c r="G350" s="66"/>
      <c r="H350" s="66"/>
      <c r="I350" s="66"/>
      <c r="J350" s="66"/>
      <c r="K350" s="66"/>
      <c r="L350" s="66"/>
      <c r="M350" s="66"/>
      <c r="N350" s="66"/>
      <c r="O350" s="66"/>
      <c r="P350" s="66"/>
      <c r="Q350" s="66"/>
      <c r="R350" s="66"/>
      <c r="S350" s="66"/>
      <c r="T350" s="66"/>
      <c r="U350" s="66"/>
      <c r="V350" s="66"/>
      <c r="W350" s="66"/>
      <c r="X350" s="66"/>
      <c r="Y350" s="66"/>
      <c r="Z350" s="66"/>
      <c r="AA350" s="66"/>
      <c r="AB350" s="66"/>
      <c r="AC350" s="66"/>
      <c r="AD350" s="66"/>
      <c r="AE350" s="66"/>
      <c r="AF350" s="66"/>
      <c r="AG350" s="66"/>
      <c r="CF350" s="68"/>
    </row>
    <row r="351" spans="1:84" ht="17.399999999999999" x14ac:dyDescent="0.35">
      <c r="A351" s="67" t="s">
        <v>969</v>
      </c>
      <c r="B351" s="67"/>
      <c r="C351" s="66"/>
      <c r="D351" s="66">
        <v>2.2960799999999999</v>
      </c>
      <c r="E351" s="66"/>
      <c r="F351" s="66"/>
      <c r="G351" s="66"/>
      <c r="H351" s="66"/>
      <c r="I351" s="66"/>
      <c r="J351" s="66"/>
      <c r="K351" s="66"/>
      <c r="L351" s="66"/>
      <c r="M351" s="66"/>
      <c r="N351" s="66"/>
      <c r="O351" s="66"/>
      <c r="P351" s="66"/>
      <c r="Q351" s="66"/>
      <c r="R351" s="66"/>
      <c r="S351" s="66"/>
      <c r="T351" s="66"/>
      <c r="U351" s="66"/>
      <c r="V351" s="66"/>
      <c r="W351" s="66"/>
      <c r="X351" s="66"/>
      <c r="Y351" s="66"/>
      <c r="Z351" s="66"/>
      <c r="AA351" s="66"/>
      <c r="AB351" s="66"/>
      <c r="AC351" s="66"/>
      <c r="AD351" s="66"/>
      <c r="AE351" s="66"/>
      <c r="AF351" s="66"/>
      <c r="AG351" s="66"/>
      <c r="CF351" s="68"/>
    </row>
    <row r="352" spans="1:84" ht="17.399999999999999" x14ac:dyDescent="0.35">
      <c r="A352" s="67" t="s">
        <v>969</v>
      </c>
      <c r="B352" s="67"/>
      <c r="C352" s="66"/>
      <c r="D352" s="66">
        <v>2.3012000000000001</v>
      </c>
      <c r="E352" s="66"/>
      <c r="F352" s="66"/>
      <c r="G352" s="66"/>
      <c r="H352" s="66"/>
      <c r="I352" s="66"/>
      <c r="J352" s="66"/>
      <c r="K352" s="66"/>
      <c r="L352" s="66"/>
      <c r="M352" s="66"/>
      <c r="N352" s="66"/>
      <c r="O352" s="66"/>
      <c r="P352" s="66"/>
      <c r="Q352" s="66"/>
      <c r="R352" s="66"/>
      <c r="S352" s="66"/>
      <c r="T352" s="66"/>
      <c r="U352" s="66"/>
      <c r="V352" s="66"/>
      <c r="W352" s="66"/>
      <c r="X352" s="66"/>
      <c r="Y352" s="66"/>
      <c r="Z352" s="66"/>
      <c r="AA352" s="66"/>
      <c r="AB352" s="66"/>
      <c r="AC352" s="66"/>
      <c r="AD352" s="66"/>
      <c r="AE352" s="66"/>
      <c r="AF352" s="66"/>
      <c r="AG352" s="66"/>
      <c r="CF352" s="68"/>
    </row>
    <row r="353" spans="1:84" ht="17.399999999999999" x14ac:dyDescent="0.35">
      <c r="A353" s="67" t="s">
        <v>969</v>
      </c>
      <c r="B353" s="67"/>
      <c r="C353" s="66"/>
      <c r="D353" s="66">
        <v>2.3068599999999999</v>
      </c>
      <c r="E353" s="66"/>
      <c r="F353" s="66"/>
      <c r="G353" s="66"/>
      <c r="H353" s="66"/>
      <c r="I353" s="66"/>
      <c r="J353" s="66"/>
      <c r="K353" s="66"/>
      <c r="L353" s="66"/>
      <c r="M353" s="66"/>
      <c r="N353" s="66"/>
      <c r="O353" s="66"/>
      <c r="P353" s="66"/>
      <c r="Q353" s="66"/>
      <c r="R353" s="66"/>
      <c r="S353" s="66"/>
      <c r="T353" s="66"/>
      <c r="U353" s="66"/>
      <c r="V353" s="66"/>
      <c r="W353" s="66"/>
      <c r="X353" s="66"/>
      <c r="Y353" s="66"/>
      <c r="Z353" s="66"/>
      <c r="AA353" s="66"/>
      <c r="AB353" s="66"/>
      <c r="AC353" s="66"/>
      <c r="AD353" s="66"/>
      <c r="AE353" s="66"/>
      <c r="AF353" s="66"/>
      <c r="AG353" s="66"/>
      <c r="CF353" s="68"/>
    </row>
    <row r="354" spans="1:84" ht="17.399999999999999" x14ac:dyDescent="0.35">
      <c r="A354" s="67" t="s">
        <v>969</v>
      </c>
      <c r="B354" s="67"/>
      <c r="C354" s="66"/>
      <c r="D354" s="66">
        <v>2.31745</v>
      </c>
      <c r="E354" s="66"/>
      <c r="F354" s="66"/>
      <c r="G354" s="66"/>
      <c r="H354" s="66"/>
      <c r="I354" s="66"/>
      <c r="J354" s="66"/>
      <c r="K354" s="66"/>
      <c r="L354" s="66"/>
      <c r="M354" s="66"/>
      <c r="N354" s="66"/>
      <c r="O354" s="66"/>
      <c r="P354" s="66"/>
      <c r="Q354" s="66"/>
      <c r="R354" s="66"/>
      <c r="S354" s="66"/>
      <c r="T354" s="66"/>
      <c r="U354" s="66"/>
      <c r="V354" s="66"/>
      <c r="W354" s="66"/>
      <c r="X354" s="66"/>
      <c r="Y354" s="66"/>
      <c r="Z354" s="66"/>
      <c r="AA354" s="66"/>
      <c r="AB354" s="66"/>
      <c r="AC354" s="66"/>
      <c r="AD354" s="66"/>
      <c r="AE354" s="66"/>
      <c r="AF354" s="66"/>
      <c r="AG354" s="66"/>
      <c r="CF354" s="68"/>
    </row>
    <row r="355" spans="1:84" ht="17.399999999999999" x14ac:dyDescent="0.35">
      <c r="A355" s="67" t="s">
        <v>969</v>
      </c>
      <c r="B355" s="67"/>
      <c r="C355" s="66"/>
      <c r="D355" s="66">
        <v>2.29088</v>
      </c>
      <c r="E355" s="66"/>
      <c r="F355" s="66"/>
      <c r="G355" s="66"/>
      <c r="H355" s="66"/>
      <c r="I355" s="66"/>
      <c r="J355" s="66"/>
      <c r="K355" s="66"/>
      <c r="L355" s="66"/>
      <c r="M355" s="66"/>
      <c r="N355" s="66"/>
      <c r="O355" s="66"/>
      <c r="P355" s="66"/>
      <c r="Q355" s="66"/>
      <c r="R355" s="66"/>
      <c r="S355" s="66"/>
      <c r="T355" s="66"/>
      <c r="U355" s="66"/>
      <c r="V355" s="66"/>
      <c r="W355" s="66"/>
      <c r="X355" s="66"/>
      <c r="Y355" s="66"/>
      <c r="Z355" s="66"/>
      <c r="AA355" s="66"/>
      <c r="AB355" s="66"/>
      <c r="AC355" s="66"/>
      <c r="AD355" s="66"/>
      <c r="AE355" s="66"/>
      <c r="AF355" s="66"/>
      <c r="AG355" s="66"/>
      <c r="CF355" s="68"/>
    </row>
    <row r="356" spans="1:84" ht="17.399999999999999" x14ac:dyDescent="0.35">
      <c r="A356" s="67" t="s">
        <v>969</v>
      </c>
      <c r="B356" s="67"/>
      <c r="C356" s="66"/>
      <c r="D356" s="66">
        <v>2.26288</v>
      </c>
      <c r="E356" s="66"/>
      <c r="F356" s="66"/>
      <c r="G356" s="66"/>
      <c r="H356" s="66"/>
      <c r="I356" s="66"/>
      <c r="J356" s="66"/>
      <c r="K356" s="66"/>
      <c r="L356" s="66"/>
      <c r="M356" s="66"/>
      <c r="N356" s="66"/>
      <c r="O356" s="66"/>
      <c r="P356" s="66"/>
      <c r="Q356" s="66"/>
      <c r="R356" s="66"/>
      <c r="S356" s="66"/>
      <c r="T356" s="66"/>
      <c r="U356" s="66"/>
      <c r="V356" s="66"/>
      <c r="W356" s="66"/>
      <c r="X356" s="66"/>
      <c r="Y356" s="66"/>
      <c r="Z356" s="66"/>
      <c r="AA356" s="66"/>
      <c r="AB356" s="66"/>
      <c r="AC356" s="66"/>
      <c r="AD356" s="66"/>
      <c r="AE356" s="66"/>
      <c r="AF356" s="66"/>
      <c r="AG356" s="66"/>
      <c r="CF356" s="68"/>
    </row>
    <row r="357" spans="1:84" ht="17.399999999999999" x14ac:dyDescent="0.35">
      <c r="A357" s="67" t="s">
        <v>969</v>
      </c>
      <c r="B357" s="67"/>
      <c r="C357" s="66"/>
      <c r="D357" s="66">
        <v>2.2856399999999999</v>
      </c>
      <c r="E357" s="66"/>
      <c r="F357" s="66"/>
      <c r="G357" s="66"/>
      <c r="H357" s="66"/>
      <c r="I357" s="66"/>
      <c r="J357" s="66"/>
      <c r="K357" s="66"/>
      <c r="L357" s="66"/>
      <c r="M357" s="66"/>
      <c r="N357" s="66"/>
      <c r="O357" s="66"/>
      <c r="P357" s="66"/>
      <c r="Q357" s="66"/>
      <c r="R357" s="66"/>
      <c r="S357" s="66"/>
      <c r="T357" s="66"/>
      <c r="U357" s="66"/>
      <c r="V357" s="66"/>
      <c r="W357" s="66"/>
      <c r="X357" s="66"/>
      <c r="Y357" s="66"/>
      <c r="Z357" s="66"/>
      <c r="AA357" s="66"/>
      <c r="AB357" s="66"/>
      <c r="AC357" s="66"/>
      <c r="AD357" s="66"/>
      <c r="AE357" s="66"/>
      <c r="AF357" s="66"/>
      <c r="AG357" s="66"/>
      <c r="CF357" s="68"/>
    </row>
    <row r="358" spans="1:84" ht="17.399999999999999" x14ac:dyDescent="0.35">
      <c r="A358" s="67" t="s">
        <v>969</v>
      </c>
      <c r="B358" s="67"/>
      <c r="C358" s="66"/>
      <c r="D358" s="66">
        <v>2.26654</v>
      </c>
      <c r="E358" s="66"/>
      <c r="F358" s="66"/>
      <c r="G358" s="66"/>
      <c r="H358" s="66"/>
      <c r="I358" s="66"/>
      <c r="J358" s="66"/>
      <c r="K358" s="66"/>
      <c r="L358" s="66"/>
      <c r="M358" s="66"/>
      <c r="N358" s="66"/>
      <c r="O358" s="66"/>
      <c r="P358" s="66"/>
      <c r="Q358" s="66"/>
      <c r="R358" s="66"/>
      <c r="S358" s="66"/>
      <c r="T358" s="66"/>
      <c r="U358" s="66"/>
      <c r="V358" s="66"/>
      <c r="W358" s="66"/>
      <c r="X358" s="66"/>
      <c r="Y358" s="66"/>
      <c r="Z358" s="66"/>
      <c r="AA358" s="66"/>
      <c r="AB358" s="66"/>
      <c r="AC358" s="66"/>
      <c r="AD358" s="66"/>
      <c r="AE358" s="66"/>
      <c r="AF358" s="66"/>
      <c r="AG358" s="66"/>
      <c r="CF358" s="68"/>
    </row>
    <row r="359" spans="1:84" ht="17.399999999999999" x14ac:dyDescent="0.35">
      <c r="A359" s="67" t="s">
        <v>969</v>
      </c>
      <c r="B359" s="67"/>
      <c r="C359" s="66"/>
      <c r="D359" s="66">
        <v>2.2831800000000002</v>
      </c>
      <c r="E359" s="66"/>
      <c r="F359" s="66"/>
      <c r="G359" s="66"/>
      <c r="H359" s="66"/>
      <c r="I359" s="66"/>
      <c r="J359" s="66"/>
      <c r="K359" s="66"/>
      <c r="L359" s="66"/>
      <c r="M359" s="66"/>
      <c r="N359" s="66"/>
      <c r="O359" s="66"/>
      <c r="P359" s="66"/>
      <c r="Q359" s="66"/>
      <c r="R359" s="66"/>
      <c r="S359" s="66"/>
      <c r="T359" s="66"/>
      <c r="U359" s="66"/>
      <c r="V359" s="66"/>
      <c r="W359" s="66"/>
      <c r="X359" s="66"/>
      <c r="Y359" s="66"/>
      <c r="Z359" s="66"/>
      <c r="AA359" s="66"/>
      <c r="AB359" s="66"/>
      <c r="AC359" s="66"/>
      <c r="AD359" s="66"/>
      <c r="AE359" s="66"/>
      <c r="AF359" s="66"/>
      <c r="AG359" s="66"/>
      <c r="CF359" s="68"/>
    </row>
    <row r="360" spans="1:84" ht="17.399999999999999" x14ac:dyDescent="0.35">
      <c r="A360" s="67" t="s">
        <v>969</v>
      </c>
      <c r="B360" s="67"/>
      <c r="C360" s="66"/>
      <c r="D360" s="66">
        <v>2.3109999999999999</v>
      </c>
      <c r="E360" s="66"/>
      <c r="F360" s="66"/>
      <c r="G360" s="66"/>
      <c r="H360" s="66"/>
      <c r="I360" s="66"/>
      <c r="J360" s="66"/>
      <c r="K360" s="66"/>
      <c r="L360" s="66"/>
      <c r="M360" s="66"/>
      <c r="N360" s="66"/>
      <c r="O360" s="66"/>
      <c r="P360" s="66"/>
      <c r="Q360" s="66"/>
      <c r="R360" s="66"/>
      <c r="S360" s="66"/>
      <c r="T360" s="66"/>
      <c r="U360" s="66"/>
      <c r="V360" s="66"/>
      <c r="W360" s="66"/>
      <c r="X360" s="66"/>
      <c r="Y360" s="66"/>
      <c r="Z360" s="66"/>
      <c r="AA360" s="66"/>
      <c r="AB360" s="66"/>
      <c r="AC360" s="66"/>
      <c r="AD360" s="66"/>
      <c r="AE360" s="66"/>
      <c r="AF360" s="66"/>
      <c r="AG360" s="66"/>
      <c r="CF360" s="68"/>
    </row>
    <row r="361" spans="1:84" ht="17.399999999999999" x14ac:dyDescent="0.35">
      <c r="A361" s="67" t="s">
        <v>969</v>
      </c>
      <c r="B361" s="67"/>
      <c r="C361" s="66"/>
      <c r="D361" s="66">
        <v>2.2985600000000002</v>
      </c>
      <c r="E361" s="66"/>
      <c r="F361" s="66"/>
      <c r="G361" s="66"/>
      <c r="H361" s="66"/>
      <c r="I361" s="66"/>
      <c r="J361" s="66"/>
      <c r="K361" s="66"/>
      <c r="L361" s="66"/>
      <c r="M361" s="66"/>
      <c r="N361" s="66"/>
      <c r="O361" s="66"/>
      <c r="P361" s="66"/>
      <c r="Q361" s="66"/>
      <c r="R361" s="66"/>
      <c r="S361" s="66"/>
      <c r="T361" s="66"/>
      <c r="U361" s="66"/>
      <c r="V361" s="66"/>
      <c r="W361" s="66"/>
      <c r="X361" s="66"/>
      <c r="Y361" s="66"/>
      <c r="Z361" s="66"/>
      <c r="AA361" s="66"/>
      <c r="AB361" s="66"/>
      <c r="AC361" s="66"/>
      <c r="AD361" s="66"/>
      <c r="AE361" s="66"/>
      <c r="AF361" s="66"/>
      <c r="AG361" s="66"/>
      <c r="CF361" s="68"/>
    </row>
    <row r="362" spans="1:84" ht="17.399999999999999" x14ac:dyDescent="0.35">
      <c r="A362" s="67" t="s">
        <v>969</v>
      </c>
      <c r="B362" s="67"/>
      <c r="C362" s="66"/>
      <c r="D362" s="66">
        <v>2.2868200000000001</v>
      </c>
      <c r="E362" s="66"/>
      <c r="F362" s="66"/>
      <c r="G362" s="66"/>
      <c r="H362" s="66"/>
      <c r="I362" s="66"/>
      <c r="J362" s="66"/>
      <c r="K362" s="66"/>
      <c r="L362" s="66"/>
      <c r="M362" s="66"/>
      <c r="N362" s="66"/>
      <c r="O362" s="66"/>
      <c r="P362" s="66"/>
      <c r="Q362" s="66"/>
      <c r="R362" s="66"/>
      <c r="S362" s="66"/>
      <c r="T362" s="66"/>
      <c r="U362" s="66"/>
      <c r="V362" s="66"/>
      <c r="W362" s="66"/>
      <c r="X362" s="66"/>
      <c r="Y362" s="66"/>
      <c r="Z362" s="66"/>
      <c r="AA362" s="66"/>
      <c r="AB362" s="66"/>
      <c r="AC362" s="66"/>
      <c r="AD362" s="66"/>
      <c r="AE362" s="66"/>
      <c r="AF362" s="66"/>
      <c r="AG362" s="66"/>
      <c r="CF362" s="68"/>
    </row>
    <row r="363" spans="1:84" ht="17.399999999999999" x14ac:dyDescent="0.35">
      <c r="A363" s="67" t="s">
        <v>969</v>
      </c>
      <c r="B363" s="67"/>
      <c r="C363" s="66"/>
      <c r="D363" s="66">
        <v>2.2858299999999998</v>
      </c>
      <c r="E363" s="66"/>
      <c r="F363" s="66"/>
      <c r="G363" s="66"/>
      <c r="H363" s="66"/>
      <c r="I363" s="66"/>
      <c r="J363" s="66"/>
      <c r="K363" s="66"/>
      <c r="L363" s="66"/>
      <c r="M363" s="66"/>
      <c r="N363" s="66"/>
      <c r="O363" s="66"/>
      <c r="P363" s="66"/>
      <c r="Q363" s="66"/>
      <c r="R363" s="66"/>
      <c r="S363" s="66"/>
      <c r="T363" s="66"/>
      <c r="U363" s="66"/>
      <c r="V363" s="66"/>
      <c r="W363" s="66"/>
      <c r="X363" s="66"/>
      <c r="Y363" s="66"/>
      <c r="Z363" s="66"/>
      <c r="AA363" s="66"/>
      <c r="AB363" s="66"/>
      <c r="AC363" s="66"/>
      <c r="AD363" s="66"/>
      <c r="AE363" s="66"/>
      <c r="AF363" s="66"/>
      <c r="AG363" s="66"/>
      <c r="CF363" s="68"/>
    </row>
    <row r="364" spans="1:84" ht="17.399999999999999" x14ac:dyDescent="0.35">
      <c r="A364" s="67" t="s">
        <v>969</v>
      </c>
      <c r="B364" s="67"/>
      <c r="C364" s="66"/>
      <c r="D364" s="66">
        <v>2.2921999999999998</v>
      </c>
      <c r="E364" s="66"/>
      <c r="F364" s="66"/>
      <c r="G364" s="66"/>
      <c r="H364" s="66"/>
      <c r="I364" s="66"/>
      <c r="J364" s="66"/>
      <c r="K364" s="66"/>
      <c r="L364" s="66"/>
      <c r="M364" s="66"/>
      <c r="N364" s="66"/>
      <c r="O364" s="66"/>
      <c r="P364" s="66"/>
      <c r="Q364" s="66"/>
      <c r="R364" s="66"/>
      <c r="S364" s="66"/>
      <c r="T364" s="66"/>
      <c r="U364" s="66"/>
      <c r="V364" s="66"/>
      <c r="W364" s="66"/>
      <c r="X364" s="66"/>
      <c r="Y364" s="66"/>
      <c r="Z364" s="66"/>
      <c r="AA364" s="66"/>
      <c r="AB364" s="66"/>
      <c r="AC364" s="66"/>
      <c r="AD364" s="66"/>
      <c r="AE364" s="66"/>
      <c r="AF364" s="66"/>
      <c r="AG364" s="66"/>
      <c r="CF364" s="68"/>
    </row>
    <row r="365" spans="1:84" ht="17.399999999999999" x14ac:dyDescent="0.35">
      <c r="A365" s="67" t="s">
        <v>969</v>
      </c>
      <c r="B365" s="67"/>
      <c r="C365" s="66"/>
      <c r="D365" s="66">
        <v>2.3283</v>
      </c>
      <c r="E365" s="66"/>
      <c r="F365" s="66"/>
      <c r="G365" s="66"/>
      <c r="H365" s="66"/>
      <c r="I365" s="66"/>
      <c r="J365" s="66"/>
      <c r="K365" s="66"/>
      <c r="L365" s="66"/>
      <c r="M365" s="66"/>
      <c r="N365" s="66"/>
      <c r="O365" s="66"/>
      <c r="P365" s="66"/>
      <c r="Q365" s="66"/>
      <c r="R365" s="66"/>
      <c r="S365" s="66"/>
      <c r="T365" s="66"/>
      <c r="U365" s="66"/>
      <c r="V365" s="66"/>
      <c r="W365" s="66"/>
      <c r="X365" s="66"/>
      <c r="Y365" s="66"/>
      <c r="Z365" s="66"/>
      <c r="AA365" s="66"/>
      <c r="AB365" s="66"/>
      <c r="AC365" s="66"/>
      <c r="AD365" s="66"/>
      <c r="AE365" s="66"/>
      <c r="AF365" s="66"/>
      <c r="AG365" s="66"/>
      <c r="CF365" s="68"/>
    </row>
    <row r="366" spans="1:84" ht="17.399999999999999" x14ac:dyDescent="0.35">
      <c r="A366" s="67" t="s">
        <v>969</v>
      </c>
      <c r="B366" s="67"/>
      <c r="C366" s="66"/>
      <c r="D366" s="66">
        <v>2.30403</v>
      </c>
      <c r="E366" s="66"/>
      <c r="F366" s="66"/>
      <c r="G366" s="66"/>
      <c r="H366" s="66"/>
      <c r="I366" s="66"/>
      <c r="J366" s="66"/>
      <c r="K366" s="66"/>
      <c r="L366" s="66"/>
      <c r="M366" s="66"/>
      <c r="N366" s="66"/>
      <c r="O366" s="66"/>
      <c r="P366" s="66"/>
      <c r="Q366" s="66"/>
      <c r="R366" s="66"/>
      <c r="S366" s="66"/>
      <c r="T366" s="66"/>
      <c r="U366" s="66"/>
      <c r="V366" s="66"/>
      <c r="W366" s="66"/>
      <c r="X366" s="66"/>
      <c r="Y366" s="66"/>
      <c r="Z366" s="66"/>
      <c r="AA366" s="66"/>
      <c r="AB366" s="66"/>
      <c r="AC366" s="66"/>
      <c r="AD366" s="66"/>
      <c r="AE366" s="66"/>
      <c r="AF366" s="66"/>
      <c r="AG366" s="66"/>
      <c r="CF366" s="68"/>
    </row>
    <row r="367" spans="1:84" ht="17.399999999999999" x14ac:dyDescent="0.35">
      <c r="A367" s="67" t="s">
        <v>969</v>
      </c>
      <c r="B367" s="67"/>
      <c r="C367" s="66"/>
      <c r="D367" s="66">
        <v>2.3047399999999998</v>
      </c>
      <c r="E367" s="66"/>
      <c r="F367" s="66"/>
      <c r="G367" s="66"/>
      <c r="H367" s="66"/>
      <c r="I367" s="66"/>
      <c r="J367" s="66"/>
      <c r="K367" s="66"/>
      <c r="L367" s="66"/>
      <c r="M367" s="66"/>
      <c r="N367" s="66"/>
      <c r="O367" s="66"/>
      <c r="P367" s="66"/>
      <c r="Q367" s="66"/>
      <c r="R367" s="66"/>
      <c r="S367" s="66"/>
      <c r="T367" s="66"/>
      <c r="U367" s="66"/>
      <c r="V367" s="66"/>
      <c r="W367" s="66"/>
      <c r="X367" s="66"/>
      <c r="Y367" s="66"/>
      <c r="Z367" s="66"/>
      <c r="AA367" s="66"/>
      <c r="AB367" s="66"/>
      <c r="AC367" s="66"/>
      <c r="AD367" s="66"/>
      <c r="AE367" s="66"/>
      <c r="AF367" s="66"/>
      <c r="AG367" s="66"/>
      <c r="CF367" s="68"/>
    </row>
    <row r="368" spans="1:84" ht="17.399999999999999" x14ac:dyDescent="0.35">
      <c r="A368" s="67" t="s">
        <v>969</v>
      </c>
      <c r="B368" s="67"/>
      <c r="C368" s="66"/>
      <c r="D368" s="66">
        <v>2.2662200000000001</v>
      </c>
      <c r="E368" s="66"/>
      <c r="F368" s="66"/>
      <c r="G368" s="66"/>
      <c r="H368" s="66"/>
      <c r="I368" s="66"/>
      <c r="J368" s="66"/>
      <c r="K368" s="66"/>
      <c r="L368" s="66"/>
      <c r="M368" s="66"/>
      <c r="N368" s="66"/>
      <c r="O368" s="66"/>
      <c r="P368" s="66"/>
      <c r="Q368" s="66"/>
      <c r="R368" s="66"/>
      <c r="S368" s="66"/>
      <c r="T368" s="66"/>
      <c r="U368" s="66"/>
      <c r="V368" s="66"/>
      <c r="W368" s="66"/>
      <c r="X368" s="66"/>
      <c r="Y368" s="66"/>
      <c r="Z368" s="66"/>
      <c r="AA368" s="66"/>
      <c r="AB368" s="66"/>
      <c r="AC368" s="66"/>
      <c r="AD368" s="66"/>
      <c r="AE368" s="66"/>
      <c r="AF368" s="66"/>
      <c r="AG368" s="66"/>
      <c r="CF368" s="68"/>
    </row>
    <row r="369" spans="1:84" ht="17.399999999999999" x14ac:dyDescent="0.35">
      <c r="A369" s="67" t="s">
        <v>969</v>
      </c>
      <c r="B369" s="67"/>
      <c r="C369" s="66"/>
      <c r="D369" s="66">
        <v>2.29196</v>
      </c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66"/>
      <c r="S369" s="66"/>
      <c r="T369" s="66"/>
      <c r="U369" s="66"/>
      <c r="V369" s="66"/>
      <c r="W369" s="66"/>
      <c r="X369" s="66"/>
      <c r="Y369" s="66"/>
      <c r="Z369" s="66"/>
      <c r="AA369" s="66"/>
      <c r="AB369" s="66"/>
      <c r="AC369" s="66"/>
      <c r="AD369" s="66"/>
      <c r="AE369" s="66"/>
      <c r="AF369" s="66"/>
      <c r="AG369" s="66"/>
      <c r="CF369" s="68"/>
    </row>
    <row r="370" spans="1:84" ht="17.399999999999999" x14ac:dyDescent="0.35">
      <c r="A370" s="67" t="s">
        <v>969</v>
      </c>
      <c r="B370" s="67"/>
      <c r="C370" s="66"/>
      <c r="D370" s="66">
        <v>2.3010100000000002</v>
      </c>
      <c r="E370" s="66"/>
      <c r="F370" s="66"/>
      <c r="G370" s="66"/>
      <c r="H370" s="66"/>
      <c r="I370" s="66"/>
      <c r="J370" s="66"/>
      <c r="K370" s="66"/>
      <c r="L370" s="66"/>
      <c r="M370" s="66"/>
      <c r="N370" s="66"/>
      <c r="O370" s="66"/>
      <c r="P370" s="66"/>
      <c r="Q370" s="66"/>
      <c r="R370" s="66"/>
      <c r="S370" s="66"/>
      <c r="T370" s="66"/>
      <c r="U370" s="66"/>
      <c r="V370" s="66"/>
      <c r="W370" s="66"/>
      <c r="X370" s="66"/>
      <c r="Y370" s="66"/>
      <c r="Z370" s="66"/>
      <c r="AA370" s="66"/>
      <c r="AB370" s="66"/>
      <c r="AC370" s="66"/>
      <c r="AD370" s="66"/>
      <c r="AE370" s="66"/>
      <c r="AF370" s="66"/>
      <c r="AG370" s="66"/>
      <c r="CF370" s="68"/>
    </row>
    <row r="371" spans="1:84" ht="17.399999999999999" x14ac:dyDescent="0.35">
      <c r="A371" s="67" t="s">
        <v>969</v>
      </c>
      <c r="B371" s="67"/>
      <c r="C371" s="66"/>
      <c r="D371" s="66">
        <v>2.29013</v>
      </c>
      <c r="E371" s="66"/>
      <c r="F371" s="66"/>
      <c r="G371" s="66"/>
      <c r="H371" s="66"/>
      <c r="I371" s="66"/>
      <c r="J371" s="66"/>
      <c r="K371" s="66"/>
      <c r="L371" s="66"/>
      <c r="M371" s="66"/>
      <c r="N371" s="66"/>
      <c r="O371" s="66"/>
      <c r="P371" s="66"/>
      <c r="Q371" s="66"/>
      <c r="R371" s="66"/>
      <c r="S371" s="66"/>
      <c r="T371" s="66"/>
      <c r="U371" s="66"/>
      <c r="V371" s="66"/>
      <c r="W371" s="66"/>
      <c r="X371" s="66"/>
      <c r="Y371" s="66"/>
      <c r="Z371" s="66"/>
      <c r="AA371" s="66"/>
      <c r="AB371" s="66"/>
      <c r="AC371" s="66"/>
      <c r="AD371" s="66"/>
      <c r="AE371" s="66"/>
      <c r="AF371" s="66"/>
      <c r="AG371" s="66"/>
      <c r="CF371" s="68"/>
    </row>
    <row r="372" spans="1:84" ht="17.399999999999999" x14ac:dyDescent="0.35">
      <c r="A372" s="67" t="s">
        <v>969</v>
      </c>
      <c r="B372" s="67"/>
      <c r="C372" s="66"/>
      <c r="D372" s="66">
        <v>2.3158400000000001</v>
      </c>
      <c r="E372" s="66"/>
      <c r="F372" s="66"/>
      <c r="G372" s="66"/>
      <c r="H372" s="66"/>
      <c r="I372" s="66"/>
      <c r="J372" s="66"/>
      <c r="K372" s="66"/>
      <c r="L372" s="66"/>
      <c r="M372" s="66"/>
      <c r="N372" s="66"/>
      <c r="O372" s="66"/>
      <c r="P372" s="66"/>
      <c r="Q372" s="66"/>
      <c r="R372" s="66"/>
      <c r="S372" s="66"/>
      <c r="T372" s="66"/>
      <c r="U372" s="66"/>
      <c r="V372" s="66"/>
      <c r="W372" s="66"/>
      <c r="X372" s="66"/>
      <c r="Y372" s="66"/>
      <c r="Z372" s="66"/>
      <c r="AA372" s="66"/>
      <c r="AB372" s="66"/>
      <c r="AC372" s="66"/>
      <c r="AD372" s="66"/>
      <c r="AE372" s="66"/>
      <c r="AF372" s="66"/>
      <c r="AG372" s="66"/>
      <c r="CF372" s="68"/>
    </row>
    <row r="373" spans="1:84" ht="17.399999999999999" x14ac:dyDescent="0.35">
      <c r="A373" s="67" t="s">
        <v>969</v>
      </c>
      <c r="B373" s="67"/>
      <c r="C373" s="66"/>
      <c r="D373" s="66"/>
      <c r="E373" s="66"/>
      <c r="F373" s="66"/>
      <c r="G373" s="66"/>
      <c r="H373" s="66"/>
      <c r="I373" s="66"/>
      <c r="J373" s="66"/>
      <c r="K373" s="66"/>
      <c r="L373" s="66"/>
      <c r="M373" s="66"/>
      <c r="N373" s="66"/>
      <c r="O373" s="66"/>
      <c r="P373" s="66"/>
      <c r="Q373" s="66"/>
      <c r="R373" s="66"/>
      <c r="S373" s="66"/>
      <c r="T373" s="66"/>
      <c r="U373" s="66"/>
      <c r="V373" s="66"/>
      <c r="W373" s="66"/>
      <c r="X373" s="66"/>
      <c r="Y373" s="66"/>
      <c r="Z373" s="66"/>
      <c r="AA373" s="66"/>
      <c r="AB373" s="66"/>
      <c r="AC373" s="66"/>
      <c r="AD373" s="66"/>
      <c r="AE373" s="66"/>
      <c r="AF373" s="66"/>
      <c r="AG373" s="66"/>
      <c r="CF373" s="68"/>
    </row>
    <row r="374" spans="1:84" ht="17.399999999999999" x14ac:dyDescent="0.35">
      <c r="A374" s="67" t="s">
        <v>969</v>
      </c>
      <c r="B374" s="67"/>
      <c r="C374" s="66"/>
      <c r="D374" s="66"/>
      <c r="E374" s="66"/>
      <c r="F374" s="66"/>
      <c r="G374" s="66"/>
      <c r="H374" s="66"/>
      <c r="I374" s="66"/>
      <c r="J374" s="66"/>
      <c r="K374" s="66"/>
      <c r="L374" s="66"/>
      <c r="M374" s="66"/>
      <c r="N374" s="66"/>
      <c r="O374" s="66"/>
      <c r="P374" s="66"/>
      <c r="Q374" s="66"/>
      <c r="R374" s="66"/>
      <c r="S374" s="66"/>
      <c r="T374" s="66"/>
      <c r="U374" s="66"/>
      <c r="V374" s="66"/>
      <c r="W374" s="66"/>
      <c r="X374" s="66"/>
      <c r="Y374" s="66"/>
      <c r="Z374" s="66"/>
      <c r="AA374" s="66"/>
      <c r="AB374" s="66"/>
      <c r="AC374" s="66"/>
      <c r="AD374" s="66"/>
      <c r="AE374" s="66"/>
      <c r="AF374" s="66"/>
      <c r="AG374" s="66"/>
      <c r="CF374" s="68"/>
    </row>
    <row r="375" spans="1:84" ht="17.399999999999999" x14ac:dyDescent="0.35">
      <c r="A375" s="67" t="s">
        <v>969</v>
      </c>
      <c r="B375" s="67"/>
      <c r="C375" s="66"/>
      <c r="D375" s="66"/>
      <c r="E375" s="66"/>
      <c r="F375" s="66"/>
      <c r="G375" s="66"/>
      <c r="H375" s="66"/>
      <c r="I375" s="66"/>
      <c r="J375" s="66"/>
      <c r="K375" s="66"/>
      <c r="L375" s="66"/>
      <c r="M375" s="66"/>
      <c r="N375" s="66"/>
      <c r="O375" s="66"/>
      <c r="P375" s="66"/>
      <c r="Q375" s="66"/>
      <c r="R375" s="66"/>
      <c r="S375" s="66"/>
      <c r="T375" s="66"/>
      <c r="U375" s="66"/>
      <c r="V375" s="66"/>
      <c r="W375" s="66"/>
      <c r="X375" s="66"/>
      <c r="Y375" s="66"/>
      <c r="Z375" s="66"/>
      <c r="AA375" s="66"/>
      <c r="AB375" s="66"/>
      <c r="AC375" s="66"/>
      <c r="AD375" s="66"/>
      <c r="AE375" s="66"/>
      <c r="AF375" s="66"/>
      <c r="AG375" s="66"/>
      <c r="CF375" s="68"/>
    </row>
    <row r="376" spans="1:84" ht="17.399999999999999" x14ac:dyDescent="0.35">
      <c r="A376" s="67" t="s">
        <v>969</v>
      </c>
      <c r="B376" s="67"/>
      <c r="C376" s="66"/>
      <c r="D376" s="66"/>
      <c r="E376" s="66"/>
      <c r="F376" s="66"/>
      <c r="G376" s="66"/>
      <c r="H376" s="66"/>
      <c r="I376" s="66"/>
      <c r="J376" s="66"/>
      <c r="K376" s="66"/>
      <c r="L376" s="66"/>
      <c r="M376" s="66"/>
      <c r="N376" s="66"/>
      <c r="O376" s="66"/>
      <c r="P376" s="66"/>
      <c r="Q376" s="66"/>
      <c r="R376" s="66"/>
      <c r="S376" s="66"/>
      <c r="T376" s="66"/>
      <c r="U376" s="66"/>
      <c r="V376" s="66"/>
      <c r="W376" s="66"/>
      <c r="X376" s="66"/>
      <c r="Y376" s="66"/>
      <c r="Z376" s="66"/>
      <c r="AA376" s="66"/>
      <c r="AB376" s="66"/>
      <c r="AC376" s="66"/>
      <c r="AD376" s="66"/>
      <c r="AE376" s="66"/>
      <c r="AF376" s="66"/>
      <c r="AG376" s="66"/>
      <c r="CF376" s="68"/>
    </row>
    <row r="377" spans="1:84" ht="17.399999999999999" x14ac:dyDescent="0.35">
      <c r="A377" s="67" t="s">
        <v>969</v>
      </c>
      <c r="B377" s="67"/>
      <c r="C377" s="66"/>
      <c r="D377" s="66"/>
      <c r="E377" s="66"/>
      <c r="F377" s="66"/>
      <c r="G377" s="66"/>
      <c r="H377" s="66"/>
      <c r="I377" s="66"/>
      <c r="J377" s="66"/>
      <c r="K377" s="66"/>
      <c r="L377" s="66"/>
      <c r="M377" s="66"/>
      <c r="N377" s="66"/>
      <c r="O377" s="66"/>
      <c r="P377" s="66"/>
      <c r="Q377" s="66"/>
      <c r="R377" s="66"/>
      <c r="S377" s="66"/>
      <c r="T377" s="66"/>
      <c r="U377" s="66"/>
      <c r="V377" s="66"/>
      <c r="W377" s="66"/>
      <c r="X377" s="66"/>
      <c r="Y377" s="66"/>
      <c r="Z377" s="66"/>
      <c r="AA377" s="66"/>
      <c r="AB377" s="66"/>
      <c r="AC377" s="66"/>
      <c r="AD377" s="66"/>
      <c r="AE377" s="66"/>
      <c r="AF377" s="66"/>
      <c r="AG377" s="66"/>
      <c r="CF377" s="68"/>
    </row>
    <row r="378" spans="1:84" ht="17.399999999999999" x14ac:dyDescent="0.35">
      <c r="A378" s="67" t="s">
        <v>969</v>
      </c>
      <c r="B378" s="67"/>
      <c r="C378" s="66"/>
      <c r="D378" s="66"/>
      <c r="E378" s="66"/>
      <c r="F378" s="66"/>
      <c r="G378" s="66"/>
      <c r="H378" s="66"/>
      <c r="I378" s="66"/>
      <c r="J378" s="66"/>
      <c r="K378" s="66"/>
      <c r="L378" s="66"/>
      <c r="M378" s="66"/>
      <c r="N378" s="66"/>
      <c r="O378" s="66"/>
      <c r="P378" s="66"/>
      <c r="Q378" s="66"/>
      <c r="R378" s="66"/>
      <c r="S378" s="66"/>
      <c r="T378" s="66"/>
      <c r="U378" s="66"/>
      <c r="V378" s="66"/>
      <c r="W378" s="66"/>
      <c r="X378" s="66"/>
      <c r="Y378" s="66"/>
      <c r="Z378" s="66"/>
      <c r="AA378" s="66"/>
      <c r="AB378" s="66"/>
      <c r="AC378" s="66"/>
      <c r="AD378" s="66"/>
      <c r="AE378" s="66"/>
      <c r="AF378" s="66"/>
      <c r="AG378" s="66"/>
      <c r="CF378" s="68"/>
    </row>
    <row r="379" spans="1:84" ht="17.399999999999999" x14ac:dyDescent="0.35">
      <c r="A379" s="67" t="s">
        <v>969</v>
      </c>
      <c r="B379" s="67"/>
      <c r="C379" s="66"/>
      <c r="D379" s="66"/>
      <c r="E379" s="66"/>
      <c r="F379" s="66"/>
      <c r="G379" s="66"/>
      <c r="H379" s="66"/>
      <c r="I379" s="66"/>
      <c r="J379" s="66"/>
      <c r="K379" s="66"/>
      <c r="L379" s="66"/>
      <c r="M379" s="66"/>
      <c r="N379" s="66"/>
      <c r="O379" s="66"/>
      <c r="P379" s="66"/>
      <c r="Q379" s="66"/>
      <c r="R379" s="66"/>
      <c r="S379" s="66"/>
      <c r="T379" s="66"/>
      <c r="U379" s="66"/>
      <c r="V379" s="66"/>
      <c r="W379" s="66"/>
      <c r="X379" s="66"/>
      <c r="Y379" s="66"/>
      <c r="Z379" s="66"/>
      <c r="AA379" s="66"/>
      <c r="AB379" s="66"/>
      <c r="AC379" s="66"/>
      <c r="AD379" s="66"/>
      <c r="AE379" s="66"/>
      <c r="AF379" s="66"/>
      <c r="AG379" s="66"/>
      <c r="CF379" s="68"/>
    </row>
    <row r="380" spans="1:84" ht="17.399999999999999" x14ac:dyDescent="0.35">
      <c r="A380" s="67" t="s">
        <v>969</v>
      </c>
      <c r="B380" s="67"/>
      <c r="C380" s="66"/>
      <c r="D380" s="66"/>
      <c r="E380" s="66"/>
      <c r="F380" s="66"/>
      <c r="G380" s="66"/>
      <c r="H380" s="66"/>
      <c r="I380" s="66"/>
      <c r="J380" s="66"/>
      <c r="K380" s="66"/>
      <c r="L380" s="66"/>
      <c r="M380" s="66"/>
      <c r="N380" s="66"/>
      <c r="O380" s="66"/>
      <c r="P380" s="66"/>
      <c r="Q380" s="66"/>
      <c r="R380" s="66"/>
      <c r="S380" s="66"/>
      <c r="T380" s="66"/>
      <c r="U380" s="66"/>
      <c r="V380" s="66"/>
      <c r="W380" s="66"/>
      <c r="X380" s="66"/>
      <c r="Y380" s="66"/>
      <c r="Z380" s="66"/>
      <c r="AA380" s="66"/>
      <c r="AB380" s="66"/>
      <c r="AC380" s="66"/>
      <c r="AD380" s="66"/>
      <c r="AE380" s="66"/>
      <c r="AF380" s="66"/>
      <c r="AG380" s="66"/>
      <c r="CF380" s="68"/>
    </row>
    <row r="381" spans="1:84" ht="17.399999999999999" x14ac:dyDescent="0.35">
      <c r="A381" s="67" t="s">
        <v>969</v>
      </c>
      <c r="B381" s="67"/>
      <c r="C381" s="66"/>
      <c r="D381" s="66"/>
      <c r="E381" s="66"/>
      <c r="F381" s="66"/>
      <c r="G381" s="66"/>
      <c r="H381" s="66"/>
      <c r="I381" s="66"/>
      <c r="J381" s="66"/>
      <c r="K381" s="66"/>
      <c r="L381" s="66"/>
      <c r="M381" s="66"/>
      <c r="N381" s="66"/>
      <c r="O381" s="66"/>
      <c r="P381" s="66"/>
      <c r="Q381" s="66"/>
      <c r="R381" s="66"/>
      <c r="S381" s="66"/>
      <c r="T381" s="66"/>
      <c r="U381" s="66"/>
      <c r="V381" s="66"/>
      <c r="W381" s="66"/>
      <c r="X381" s="66"/>
      <c r="Y381" s="66"/>
      <c r="Z381" s="66"/>
      <c r="AA381" s="66"/>
      <c r="AB381" s="66"/>
      <c r="AC381" s="66"/>
      <c r="AD381" s="66"/>
      <c r="AE381" s="66"/>
      <c r="AF381" s="66"/>
      <c r="AG381" s="66"/>
      <c r="CF381" s="68"/>
    </row>
    <row r="382" spans="1:84" ht="17.399999999999999" x14ac:dyDescent="0.35">
      <c r="A382" s="67" t="s">
        <v>969</v>
      </c>
      <c r="B382" s="67"/>
      <c r="C382" s="66"/>
      <c r="D382" s="66"/>
      <c r="E382" s="66"/>
      <c r="F382" s="66"/>
      <c r="G382" s="66"/>
      <c r="H382" s="66"/>
      <c r="I382" s="66"/>
      <c r="J382" s="66"/>
      <c r="K382" s="66"/>
      <c r="L382" s="66"/>
      <c r="M382" s="66"/>
      <c r="N382" s="66"/>
      <c r="O382" s="66"/>
      <c r="P382" s="66"/>
      <c r="Q382" s="66"/>
      <c r="R382" s="66"/>
      <c r="S382" s="66"/>
      <c r="T382" s="66"/>
      <c r="U382" s="66"/>
      <c r="V382" s="66"/>
      <c r="W382" s="66"/>
      <c r="X382" s="66"/>
      <c r="Y382" s="66"/>
      <c r="Z382" s="66"/>
      <c r="AA382" s="66"/>
      <c r="AB382" s="66"/>
      <c r="AC382" s="66"/>
      <c r="AD382" s="66"/>
      <c r="AE382" s="66"/>
      <c r="AF382" s="66"/>
      <c r="AG382" s="66"/>
      <c r="CF382" s="68"/>
    </row>
    <row r="383" spans="1:84" ht="17.399999999999999" x14ac:dyDescent="0.35">
      <c r="A383" s="67" t="s">
        <v>969</v>
      </c>
      <c r="B383" s="67"/>
      <c r="C383" s="66"/>
      <c r="D383" s="66"/>
      <c r="E383" s="66"/>
      <c r="F383" s="66"/>
      <c r="G383" s="66"/>
      <c r="H383" s="66"/>
      <c r="I383" s="66"/>
      <c r="J383" s="66"/>
      <c r="K383" s="66"/>
      <c r="L383" s="66"/>
      <c r="M383" s="66"/>
      <c r="N383" s="66"/>
      <c r="O383" s="66"/>
      <c r="P383" s="66"/>
      <c r="Q383" s="66"/>
      <c r="R383" s="66"/>
      <c r="S383" s="66"/>
      <c r="T383" s="66"/>
      <c r="U383" s="66"/>
      <c r="V383" s="66"/>
      <c r="W383" s="66"/>
      <c r="X383" s="66"/>
      <c r="Y383" s="66"/>
      <c r="Z383" s="66"/>
      <c r="AA383" s="66"/>
      <c r="AB383" s="66"/>
      <c r="AC383" s="66"/>
      <c r="AD383" s="66"/>
      <c r="AE383" s="66"/>
      <c r="AF383" s="66"/>
      <c r="AG383" s="66"/>
      <c r="CF383" s="68"/>
    </row>
    <row r="384" spans="1:84" ht="17.399999999999999" x14ac:dyDescent="0.35">
      <c r="A384" s="67" t="s">
        <v>969</v>
      </c>
      <c r="B384" s="67"/>
      <c r="C384" s="66"/>
      <c r="D384" s="66"/>
      <c r="E384" s="66"/>
      <c r="F384" s="66"/>
      <c r="G384" s="66"/>
      <c r="H384" s="66"/>
      <c r="I384" s="66"/>
      <c r="J384" s="66"/>
      <c r="K384" s="66"/>
      <c r="L384" s="66"/>
      <c r="M384" s="66"/>
      <c r="N384" s="66"/>
      <c r="O384" s="66"/>
      <c r="P384" s="66"/>
      <c r="Q384" s="66"/>
      <c r="R384" s="66"/>
      <c r="S384" s="66"/>
      <c r="T384" s="66"/>
      <c r="U384" s="66"/>
      <c r="V384" s="66"/>
      <c r="W384" s="66"/>
      <c r="X384" s="66"/>
      <c r="Y384" s="66"/>
      <c r="Z384" s="66"/>
      <c r="AA384" s="66"/>
      <c r="AB384" s="66"/>
      <c r="AC384" s="66"/>
      <c r="AD384" s="66"/>
      <c r="AE384" s="66"/>
      <c r="AF384" s="66"/>
      <c r="AG384" s="66"/>
      <c r="CF384" s="68"/>
    </row>
    <row r="385" spans="1:84" ht="17.399999999999999" x14ac:dyDescent="0.35">
      <c r="A385" s="67" t="s">
        <v>969</v>
      </c>
      <c r="B385" s="67"/>
      <c r="C385" s="66"/>
      <c r="D385" s="66"/>
      <c r="E385" s="66"/>
      <c r="F385" s="66"/>
      <c r="G385" s="66"/>
      <c r="H385" s="66"/>
      <c r="I385" s="66"/>
      <c r="J385" s="66"/>
      <c r="K385" s="66"/>
      <c r="L385" s="66"/>
      <c r="M385" s="66"/>
      <c r="N385" s="66"/>
      <c r="O385" s="66"/>
      <c r="P385" s="66"/>
      <c r="Q385" s="66"/>
      <c r="R385" s="66"/>
      <c r="S385" s="66"/>
      <c r="T385" s="66"/>
      <c r="U385" s="66"/>
      <c r="V385" s="66"/>
      <c r="W385" s="66"/>
      <c r="X385" s="66"/>
      <c r="Y385" s="66"/>
      <c r="Z385" s="66"/>
      <c r="AA385" s="66"/>
      <c r="AB385" s="66"/>
      <c r="AC385" s="66"/>
      <c r="AD385" s="66"/>
      <c r="AE385" s="66"/>
      <c r="AF385" s="66"/>
      <c r="AG385" s="66"/>
      <c r="CF385" s="68"/>
    </row>
    <row r="386" spans="1:84" ht="17.399999999999999" x14ac:dyDescent="0.35">
      <c r="A386" s="67" t="s">
        <v>969</v>
      </c>
      <c r="B386" s="67"/>
      <c r="C386" s="66"/>
      <c r="D386" s="66"/>
      <c r="E386" s="66"/>
      <c r="F386" s="66"/>
      <c r="G386" s="66"/>
      <c r="H386" s="66"/>
      <c r="I386" s="66"/>
      <c r="J386" s="66"/>
      <c r="K386" s="66"/>
      <c r="L386" s="66"/>
      <c r="M386" s="66"/>
      <c r="N386" s="66"/>
      <c r="O386" s="66"/>
      <c r="P386" s="66"/>
      <c r="Q386" s="66"/>
      <c r="R386" s="66"/>
      <c r="S386" s="66"/>
      <c r="T386" s="66"/>
      <c r="U386" s="66"/>
      <c r="V386" s="66"/>
      <c r="W386" s="66"/>
      <c r="X386" s="66"/>
      <c r="Y386" s="66"/>
      <c r="Z386" s="66"/>
      <c r="AA386" s="66"/>
      <c r="AB386" s="66"/>
      <c r="AC386" s="66"/>
      <c r="AD386" s="66"/>
      <c r="AE386" s="66"/>
      <c r="AF386" s="66"/>
      <c r="AG386" s="66"/>
      <c r="CF386" s="68"/>
    </row>
    <row r="387" spans="1:84" ht="17.399999999999999" x14ac:dyDescent="0.35">
      <c r="A387" s="67" t="s">
        <v>969</v>
      </c>
      <c r="B387" s="67"/>
      <c r="C387" s="66"/>
      <c r="D387" s="66"/>
      <c r="E387" s="66"/>
      <c r="F387" s="66"/>
      <c r="G387" s="66"/>
      <c r="H387" s="66"/>
      <c r="I387" s="66"/>
      <c r="J387" s="66"/>
      <c r="K387" s="66"/>
      <c r="L387" s="66"/>
      <c r="M387" s="66"/>
      <c r="N387" s="66"/>
      <c r="O387" s="66"/>
      <c r="P387" s="66"/>
      <c r="Q387" s="66"/>
      <c r="R387" s="66"/>
      <c r="S387" s="66"/>
      <c r="T387" s="66"/>
      <c r="U387" s="66"/>
      <c r="V387" s="66"/>
      <c r="W387" s="66"/>
      <c r="X387" s="66"/>
      <c r="Y387" s="66"/>
      <c r="Z387" s="66"/>
      <c r="AA387" s="66"/>
      <c r="AB387" s="66"/>
      <c r="AC387" s="66"/>
      <c r="AD387" s="66"/>
      <c r="AE387" s="66"/>
      <c r="AF387" s="66"/>
      <c r="AG387" s="66"/>
      <c r="CF387" s="68"/>
    </row>
    <row r="388" spans="1:84" ht="17.399999999999999" x14ac:dyDescent="0.35">
      <c r="A388" s="67" t="s">
        <v>969</v>
      </c>
      <c r="B388" s="67"/>
      <c r="C388" s="66"/>
      <c r="D388" s="66"/>
      <c r="E388" s="66"/>
      <c r="F388" s="66"/>
      <c r="G388" s="66"/>
      <c r="H388" s="66"/>
      <c r="I388" s="66"/>
      <c r="J388" s="66"/>
      <c r="K388" s="66"/>
      <c r="L388" s="66"/>
      <c r="M388" s="66"/>
      <c r="N388" s="66"/>
      <c r="O388" s="66"/>
      <c r="P388" s="66"/>
      <c r="Q388" s="66"/>
      <c r="R388" s="66"/>
      <c r="S388" s="66"/>
      <c r="T388" s="66"/>
      <c r="U388" s="66"/>
      <c r="V388" s="66"/>
      <c r="W388" s="66"/>
      <c r="X388" s="66"/>
      <c r="Y388" s="66"/>
      <c r="Z388" s="66"/>
      <c r="AA388" s="66"/>
      <c r="AB388" s="66"/>
      <c r="AC388" s="66"/>
      <c r="AD388" s="66"/>
      <c r="AE388" s="66"/>
      <c r="AF388" s="66"/>
      <c r="AG388" s="66"/>
      <c r="CF388" s="68"/>
    </row>
    <row r="389" spans="1:84" ht="17.399999999999999" x14ac:dyDescent="0.35">
      <c r="A389" s="67" t="s">
        <v>969</v>
      </c>
      <c r="B389" s="67"/>
      <c r="C389" s="66"/>
      <c r="D389" s="66"/>
      <c r="E389" s="66"/>
      <c r="F389" s="66"/>
      <c r="G389" s="66"/>
      <c r="H389" s="66"/>
      <c r="I389" s="66"/>
      <c r="J389" s="66"/>
      <c r="K389" s="66"/>
      <c r="L389" s="66"/>
      <c r="M389" s="66"/>
      <c r="N389" s="66"/>
      <c r="O389" s="66"/>
      <c r="P389" s="66"/>
      <c r="Q389" s="66"/>
      <c r="R389" s="66"/>
      <c r="S389" s="66"/>
      <c r="T389" s="66"/>
      <c r="U389" s="66"/>
      <c r="V389" s="66"/>
      <c r="W389" s="66"/>
      <c r="X389" s="66"/>
      <c r="Y389" s="66"/>
      <c r="Z389" s="66"/>
      <c r="AA389" s="66"/>
      <c r="AB389" s="66"/>
      <c r="AC389" s="66"/>
      <c r="AD389" s="66"/>
      <c r="AE389" s="66"/>
      <c r="AF389" s="66"/>
      <c r="AG389" s="66"/>
      <c r="CF389" s="68"/>
    </row>
    <row r="390" spans="1:84" ht="17.399999999999999" x14ac:dyDescent="0.35">
      <c r="A390" s="67" t="s">
        <v>969</v>
      </c>
      <c r="B390" s="67"/>
      <c r="C390" s="66"/>
      <c r="D390" s="66"/>
      <c r="E390" s="66"/>
      <c r="F390" s="66"/>
      <c r="G390" s="66"/>
      <c r="H390" s="66"/>
      <c r="I390" s="66"/>
      <c r="J390" s="66"/>
      <c r="K390" s="66"/>
      <c r="L390" s="66"/>
      <c r="M390" s="66"/>
      <c r="N390" s="66"/>
      <c r="O390" s="66"/>
      <c r="P390" s="66"/>
      <c r="Q390" s="66"/>
      <c r="R390" s="66"/>
      <c r="S390" s="66"/>
      <c r="T390" s="66"/>
      <c r="U390" s="66"/>
      <c r="V390" s="66"/>
      <c r="W390" s="66"/>
      <c r="X390" s="66"/>
      <c r="Y390" s="66"/>
      <c r="Z390" s="66"/>
      <c r="AA390" s="66"/>
      <c r="AB390" s="66"/>
      <c r="AC390" s="66"/>
      <c r="AD390" s="66"/>
      <c r="AE390" s="66"/>
      <c r="AF390" s="66"/>
      <c r="AG390" s="66"/>
      <c r="CF390" s="68"/>
    </row>
    <row r="391" spans="1:84" ht="17.399999999999999" x14ac:dyDescent="0.35">
      <c r="A391" s="67" t="s">
        <v>969</v>
      </c>
      <c r="B391" s="67"/>
      <c r="C391" s="66"/>
      <c r="D391" s="66"/>
      <c r="E391" s="66"/>
      <c r="F391" s="66"/>
      <c r="G391" s="66"/>
      <c r="H391" s="66"/>
      <c r="I391" s="66"/>
      <c r="J391" s="66"/>
      <c r="K391" s="66"/>
      <c r="L391" s="66"/>
      <c r="M391" s="66"/>
      <c r="N391" s="66"/>
      <c r="O391" s="66"/>
      <c r="P391" s="66"/>
      <c r="Q391" s="66"/>
      <c r="R391" s="66"/>
      <c r="S391" s="66"/>
      <c r="T391" s="66"/>
      <c r="U391" s="66"/>
      <c r="V391" s="66"/>
      <c r="W391" s="66"/>
      <c r="X391" s="66"/>
      <c r="Y391" s="66"/>
      <c r="Z391" s="66"/>
      <c r="AA391" s="66"/>
      <c r="AB391" s="66"/>
      <c r="AC391" s="66"/>
      <c r="AD391" s="66"/>
      <c r="AE391" s="66"/>
      <c r="AF391" s="66"/>
      <c r="AG391" s="66"/>
      <c r="CF391" s="68"/>
    </row>
    <row r="392" spans="1:84" ht="17.399999999999999" x14ac:dyDescent="0.35">
      <c r="A392" s="67" t="s">
        <v>969</v>
      </c>
      <c r="B392" s="67"/>
      <c r="C392" s="66"/>
      <c r="D392" s="66"/>
      <c r="E392" s="66"/>
      <c r="F392" s="66"/>
      <c r="G392" s="66"/>
      <c r="H392" s="66"/>
      <c r="I392" s="66"/>
      <c r="J392" s="66"/>
      <c r="K392" s="66"/>
      <c r="L392" s="66"/>
      <c r="M392" s="66"/>
      <c r="N392" s="66"/>
      <c r="O392" s="66"/>
      <c r="P392" s="66"/>
      <c r="Q392" s="66"/>
      <c r="R392" s="66"/>
      <c r="S392" s="66"/>
      <c r="T392" s="66"/>
      <c r="U392" s="66"/>
      <c r="V392" s="66"/>
      <c r="W392" s="66"/>
      <c r="X392" s="66"/>
      <c r="Y392" s="66"/>
      <c r="Z392" s="66"/>
      <c r="AA392" s="66"/>
      <c r="AB392" s="66"/>
      <c r="AC392" s="66"/>
      <c r="AD392" s="66"/>
      <c r="AE392" s="66"/>
      <c r="AF392" s="66"/>
      <c r="AG392" s="66"/>
      <c r="CF392" s="68"/>
    </row>
    <row r="393" spans="1:84" ht="17.399999999999999" x14ac:dyDescent="0.35">
      <c r="A393" s="67" t="s">
        <v>969</v>
      </c>
      <c r="B393" s="67"/>
      <c r="C393" s="66"/>
      <c r="D393" s="66"/>
      <c r="E393" s="66"/>
      <c r="F393" s="66"/>
      <c r="G393" s="66"/>
      <c r="H393" s="66"/>
      <c r="I393" s="66"/>
      <c r="J393" s="66"/>
      <c r="K393" s="66"/>
      <c r="L393" s="66"/>
      <c r="M393" s="66"/>
      <c r="N393" s="66"/>
      <c r="O393" s="66"/>
      <c r="P393" s="66"/>
      <c r="Q393" s="66"/>
      <c r="R393" s="66"/>
      <c r="S393" s="66"/>
      <c r="T393" s="66"/>
      <c r="U393" s="66"/>
      <c r="V393" s="66"/>
      <c r="W393" s="66"/>
      <c r="X393" s="66"/>
      <c r="Y393" s="66"/>
      <c r="Z393" s="66"/>
      <c r="AA393" s="66"/>
      <c r="AB393" s="66"/>
      <c r="AC393" s="66"/>
      <c r="AD393" s="66"/>
      <c r="AE393" s="66"/>
      <c r="AF393" s="66"/>
      <c r="AG393" s="66"/>
      <c r="CF393" s="68"/>
    </row>
    <row r="394" spans="1:84" ht="17.399999999999999" x14ac:dyDescent="0.35">
      <c r="A394" s="67" t="s">
        <v>969</v>
      </c>
      <c r="B394" s="67"/>
      <c r="C394" s="66"/>
      <c r="D394" s="66"/>
      <c r="E394" s="66"/>
      <c r="F394" s="66"/>
      <c r="G394" s="66"/>
      <c r="H394" s="66"/>
      <c r="I394" s="66"/>
      <c r="J394" s="66"/>
      <c r="K394" s="66"/>
      <c r="L394" s="66"/>
      <c r="M394" s="66"/>
      <c r="N394" s="66"/>
      <c r="O394" s="66"/>
      <c r="P394" s="66"/>
      <c r="Q394" s="66"/>
      <c r="R394" s="66"/>
      <c r="S394" s="66"/>
      <c r="T394" s="66"/>
      <c r="U394" s="66"/>
      <c r="V394" s="66"/>
      <c r="W394" s="66"/>
      <c r="X394" s="66"/>
      <c r="Y394" s="66"/>
      <c r="Z394" s="66"/>
      <c r="AA394" s="66"/>
      <c r="AB394" s="66"/>
      <c r="AC394" s="66"/>
      <c r="AD394" s="66"/>
      <c r="AE394" s="66"/>
      <c r="AF394" s="66"/>
      <c r="AG394" s="66"/>
      <c r="CF394" s="68"/>
    </row>
    <row r="395" spans="1:84" ht="17.399999999999999" x14ac:dyDescent="0.35">
      <c r="A395" s="67" t="s">
        <v>969</v>
      </c>
      <c r="B395" s="67"/>
      <c r="C395" s="66"/>
      <c r="D395" s="66"/>
      <c r="E395" s="66"/>
      <c r="F395" s="66"/>
      <c r="G395" s="66"/>
      <c r="H395" s="66"/>
      <c r="I395" s="66"/>
      <c r="J395" s="66"/>
      <c r="K395" s="66"/>
      <c r="L395" s="66"/>
      <c r="M395" s="66"/>
      <c r="N395" s="66"/>
      <c r="O395" s="66"/>
      <c r="P395" s="66"/>
      <c r="Q395" s="66"/>
      <c r="R395" s="66"/>
      <c r="S395" s="66"/>
      <c r="T395" s="66"/>
      <c r="U395" s="66"/>
      <c r="V395" s="66"/>
      <c r="W395" s="66"/>
      <c r="X395" s="66"/>
      <c r="Y395" s="66"/>
      <c r="Z395" s="66"/>
      <c r="AA395" s="66"/>
      <c r="AB395" s="66"/>
      <c r="AC395" s="66"/>
      <c r="AD395" s="66"/>
      <c r="AE395" s="66"/>
      <c r="AF395" s="66"/>
      <c r="AG395" s="66"/>
      <c r="CF395" s="68"/>
    </row>
    <row r="396" spans="1:84" ht="17.399999999999999" x14ac:dyDescent="0.35">
      <c r="A396" s="67" t="s">
        <v>969</v>
      </c>
      <c r="B396" s="67"/>
      <c r="C396" s="66"/>
      <c r="D396" s="66"/>
      <c r="E396" s="66"/>
      <c r="F396" s="66"/>
      <c r="G396" s="66"/>
      <c r="H396" s="66"/>
      <c r="I396" s="66"/>
      <c r="J396" s="66"/>
      <c r="K396" s="66"/>
      <c r="L396" s="66"/>
      <c r="M396" s="66"/>
      <c r="N396" s="66"/>
      <c r="O396" s="66"/>
      <c r="P396" s="66"/>
      <c r="Q396" s="66"/>
      <c r="R396" s="66"/>
      <c r="S396" s="66"/>
      <c r="T396" s="66"/>
      <c r="U396" s="66"/>
      <c r="V396" s="66"/>
      <c r="W396" s="66"/>
      <c r="X396" s="66"/>
      <c r="Y396" s="66"/>
      <c r="Z396" s="66"/>
      <c r="AA396" s="66"/>
      <c r="AB396" s="66"/>
      <c r="AC396" s="66"/>
      <c r="AD396" s="66"/>
      <c r="AE396" s="66"/>
      <c r="AF396" s="66"/>
      <c r="AG396" s="66"/>
      <c r="CF396" s="68"/>
    </row>
    <row r="397" spans="1:84" ht="17.399999999999999" x14ac:dyDescent="0.35">
      <c r="A397" s="67" t="s">
        <v>969</v>
      </c>
      <c r="B397" s="67"/>
      <c r="C397" s="66"/>
      <c r="D397" s="66"/>
      <c r="E397" s="66"/>
      <c r="F397" s="66"/>
      <c r="G397" s="66"/>
      <c r="H397" s="66"/>
      <c r="I397" s="66"/>
      <c r="J397" s="66"/>
      <c r="K397" s="66"/>
      <c r="L397" s="66"/>
      <c r="M397" s="66"/>
      <c r="N397" s="66"/>
      <c r="O397" s="66"/>
      <c r="P397" s="66"/>
      <c r="Q397" s="66"/>
      <c r="R397" s="66"/>
      <c r="S397" s="66"/>
      <c r="T397" s="66"/>
      <c r="U397" s="66"/>
      <c r="V397" s="66"/>
      <c r="W397" s="66"/>
      <c r="X397" s="66"/>
      <c r="Y397" s="66"/>
      <c r="Z397" s="66"/>
      <c r="AA397" s="66"/>
      <c r="AB397" s="66"/>
      <c r="AC397" s="66"/>
      <c r="AD397" s="66"/>
      <c r="AE397" s="66"/>
      <c r="AF397" s="66"/>
      <c r="AG397" s="66"/>
      <c r="CF397" s="68"/>
    </row>
    <row r="398" spans="1:84" ht="17.399999999999999" x14ac:dyDescent="0.35">
      <c r="A398" s="67" t="s">
        <v>969</v>
      </c>
      <c r="B398" s="67"/>
      <c r="C398" s="66"/>
      <c r="D398" s="66"/>
      <c r="E398" s="66"/>
      <c r="F398" s="66"/>
      <c r="G398" s="66"/>
      <c r="H398" s="66"/>
      <c r="I398" s="66"/>
      <c r="J398" s="66"/>
      <c r="K398" s="66"/>
      <c r="L398" s="66"/>
      <c r="M398" s="66"/>
      <c r="N398" s="66"/>
      <c r="O398" s="66"/>
      <c r="P398" s="66"/>
      <c r="Q398" s="66"/>
      <c r="R398" s="66"/>
      <c r="S398" s="66"/>
      <c r="T398" s="66"/>
      <c r="U398" s="66"/>
      <c r="V398" s="66"/>
      <c r="W398" s="66"/>
      <c r="X398" s="66"/>
      <c r="Y398" s="66"/>
      <c r="Z398" s="66"/>
      <c r="AA398" s="66"/>
      <c r="AB398" s="66"/>
      <c r="AC398" s="66"/>
      <c r="AD398" s="66"/>
      <c r="AE398" s="66"/>
      <c r="AF398" s="66"/>
      <c r="AG398" s="66"/>
      <c r="CF398" s="68"/>
    </row>
    <row r="399" spans="1:84" ht="17.399999999999999" x14ac:dyDescent="0.35">
      <c r="A399" s="67" t="s">
        <v>969</v>
      </c>
      <c r="B399" s="67"/>
      <c r="C399" s="66"/>
      <c r="D399" s="66"/>
      <c r="E399" s="66"/>
      <c r="F399" s="66"/>
      <c r="G399" s="66"/>
      <c r="H399" s="66"/>
      <c r="I399" s="66"/>
      <c r="J399" s="66"/>
      <c r="K399" s="66"/>
      <c r="L399" s="66"/>
      <c r="M399" s="66"/>
      <c r="N399" s="66"/>
      <c r="O399" s="66"/>
      <c r="P399" s="66"/>
      <c r="Q399" s="66"/>
      <c r="R399" s="66"/>
      <c r="S399" s="66"/>
      <c r="T399" s="66"/>
      <c r="U399" s="66"/>
      <c r="V399" s="66"/>
      <c r="W399" s="66"/>
      <c r="X399" s="66"/>
      <c r="Y399" s="66"/>
      <c r="Z399" s="66"/>
      <c r="AA399" s="66"/>
      <c r="AB399" s="66"/>
      <c r="AC399" s="66"/>
      <c r="AD399" s="66"/>
      <c r="AE399" s="66"/>
      <c r="AF399" s="66"/>
      <c r="AG399" s="66"/>
      <c r="CF399" s="68"/>
    </row>
    <row r="400" spans="1:84" ht="17.399999999999999" x14ac:dyDescent="0.35">
      <c r="A400" s="67" t="s">
        <v>969</v>
      </c>
      <c r="B400" s="67"/>
      <c r="C400" s="66"/>
      <c r="D400" s="66"/>
      <c r="E400" s="66"/>
      <c r="F400" s="66"/>
      <c r="G400" s="66"/>
      <c r="H400" s="66"/>
      <c r="I400" s="66"/>
      <c r="J400" s="66"/>
      <c r="K400" s="66"/>
      <c r="L400" s="66"/>
      <c r="M400" s="66"/>
      <c r="N400" s="66"/>
      <c r="O400" s="66"/>
      <c r="P400" s="66"/>
      <c r="Q400" s="66"/>
      <c r="R400" s="66"/>
      <c r="S400" s="66"/>
      <c r="T400" s="66"/>
      <c r="U400" s="66"/>
      <c r="V400" s="66"/>
      <c r="W400" s="66"/>
      <c r="X400" s="66"/>
      <c r="Y400" s="66"/>
      <c r="Z400" s="66"/>
      <c r="AA400" s="66"/>
      <c r="AB400" s="66"/>
      <c r="AC400" s="66"/>
      <c r="AD400" s="66"/>
      <c r="AE400" s="66"/>
      <c r="AF400" s="66"/>
      <c r="AG400" s="66"/>
      <c r="CF400" s="68"/>
    </row>
    <row r="401" spans="1:84" ht="17.399999999999999" x14ac:dyDescent="0.35">
      <c r="A401" s="67" t="s">
        <v>969</v>
      </c>
      <c r="B401" s="67"/>
      <c r="C401" s="66"/>
      <c r="D401" s="66"/>
      <c r="E401" s="66"/>
      <c r="F401" s="66"/>
      <c r="G401" s="66"/>
      <c r="H401" s="66"/>
      <c r="I401" s="66"/>
      <c r="J401" s="66"/>
      <c r="K401" s="66"/>
      <c r="L401" s="66"/>
      <c r="M401" s="66"/>
      <c r="N401" s="66"/>
      <c r="O401" s="66"/>
      <c r="P401" s="66"/>
      <c r="Q401" s="66"/>
      <c r="R401" s="66"/>
      <c r="S401" s="66"/>
      <c r="T401" s="66"/>
      <c r="U401" s="66"/>
      <c r="V401" s="66"/>
      <c r="W401" s="66"/>
      <c r="X401" s="66"/>
      <c r="Y401" s="66"/>
      <c r="Z401" s="66"/>
      <c r="AA401" s="66"/>
      <c r="AB401" s="66"/>
      <c r="AC401" s="66"/>
      <c r="AD401" s="66"/>
      <c r="AE401" s="66"/>
      <c r="AF401" s="66"/>
      <c r="AG401" s="66"/>
      <c r="CF401" s="68"/>
    </row>
    <row r="402" spans="1:84" ht="17.399999999999999" x14ac:dyDescent="0.35">
      <c r="A402" s="67" t="s">
        <v>969</v>
      </c>
      <c r="B402" s="67"/>
      <c r="C402" s="66"/>
      <c r="D402" s="66"/>
      <c r="E402" s="66"/>
      <c r="F402" s="66"/>
      <c r="G402" s="66"/>
      <c r="H402" s="66"/>
      <c r="I402" s="66"/>
      <c r="J402" s="66"/>
      <c r="K402" s="66"/>
      <c r="L402" s="66"/>
      <c r="M402" s="66"/>
      <c r="N402" s="66"/>
      <c r="O402" s="66"/>
      <c r="P402" s="66"/>
      <c r="Q402" s="66"/>
      <c r="R402" s="66"/>
      <c r="S402" s="66"/>
      <c r="T402" s="66"/>
      <c r="U402" s="66"/>
      <c r="V402" s="66"/>
      <c r="W402" s="66"/>
      <c r="X402" s="66"/>
      <c r="Y402" s="66"/>
      <c r="Z402" s="66"/>
      <c r="AA402" s="66"/>
      <c r="AB402" s="66"/>
      <c r="AC402" s="66"/>
      <c r="AD402" s="66"/>
      <c r="AE402" s="66"/>
      <c r="AF402" s="66"/>
      <c r="AG402" s="66"/>
      <c r="CF402" s="68"/>
    </row>
    <row r="403" spans="1:84" ht="17.399999999999999" x14ac:dyDescent="0.35">
      <c r="A403" s="67" t="s">
        <v>969</v>
      </c>
      <c r="B403" s="67"/>
      <c r="C403" s="66"/>
      <c r="D403" s="66"/>
      <c r="E403" s="66"/>
      <c r="F403" s="66"/>
      <c r="G403" s="66"/>
      <c r="H403" s="66"/>
      <c r="I403" s="66"/>
      <c r="J403" s="66"/>
      <c r="K403" s="66"/>
      <c r="L403" s="66"/>
      <c r="M403" s="66"/>
      <c r="N403" s="66"/>
      <c r="O403" s="66"/>
      <c r="P403" s="66"/>
      <c r="Q403" s="66"/>
      <c r="R403" s="66"/>
      <c r="S403" s="66"/>
      <c r="T403" s="66"/>
      <c r="U403" s="66"/>
      <c r="V403" s="66"/>
      <c r="W403" s="66"/>
      <c r="X403" s="66"/>
      <c r="Y403" s="66"/>
      <c r="Z403" s="66"/>
      <c r="AA403" s="66"/>
      <c r="AB403" s="66"/>
      <c r="AC403" s="66"/>
      <c r="AD403" s="66"/>
      <c r="AE403" s="66"/>
      <c r="AF403" s="66"/>
      <c r="AG403" s="66"/>
      <c r="CF403" s="68"/>
    </row>
    <row r="404" spans="1:84" ht="17.399999999999999" x14ac:dyDescent="0.35">
      <c r="A404" s="67" t="s">
        <v>969</v>
      </c>
      <c r="B404" s="67"/>
      <c r="C404" s="66"/>
      <c r="D404" s="66"/>
      <c r="E404" s="66"/>
      <c r="F404" s="66"/>
      <c r="G404" s="66"/>
      <c r="H404" s="66"/>
      <c r="I404" s="66"/>
      <c r="J404" s="66"/>
      <c r="K404" s="66"/>
      <c r="L404" s="66"/>
      <c r="M404" s="66"/>
      <c r="N404" s="66"/>
      <c r="O404" s="66"/>
      <c r="P404" s="66"/>
      <c r="Q404" s="66"/>
      <c r="R404" s="66"/>
      <c r="S404" s="66"/>
      <c r="T404" s="66"/>
      <c r="U404" s="66"/>
      <c r="V404" s="66"/>
      <c r="W404" s="66"/>
      <c r="X404" s="66"/>
      <c r="Y404" s="66"/>
      <c r="Z404" s="66"/>
      <c r="AA404" s="66"/>
      <c r="AB404" s="66"/>
      <c r="AC404" s="66"/>
      <c r="AD404" s="66"/>
      <c r="AE404" s="66"/>
      <c r="AF404" s="66"/>
      <c r="AG404" s="66"/>
      <c r="CF404" s="68"/>
    </row>
    <row r="405" spans="1:84" ht="17.399999999999999" x14ac:dyDescent="0.35">
      <c r="A405" s="67" t="s">
        <v>969</v>
      </c>
      <c r="B405" s="67"/>
      <c r="C405" s="66"/>
      <c r="D405" s="66"/>
      <c r="E405" s="66"/>
      <c r="F405" s="66"/>
      <c r="G405" s="66"/>
      <c r="H405" s="66"/>
      <c r="I405" s="66"/>
      <c r="J405" s="66"/>
      <c r="K405" s="66"/>
      <c r="L405" s="66"/>
      <c r="M405" s="66"/>
      <c r="N405" s="66"/>
      <c r="O405" s="66"/>
      <c r="P405" s="66"/>
      <c r="Q405" s="66"/>
      <c r="R405" s="66"/>
      <c r="S405" s="66"/>
      <c r="T405" s="66"/>
      <c r="U405" s="66"/>
      <c r="V405" s="66"/>
      <c r="W405" s="66"/>
      <c r="X405" s="66"/>
      <c r="Y405" s="66"/>
      <c r="Z405" s="66"/>
      <c r="AA405" s="66"/>
      <c r="AB405" s="66"/>
      <c r="AC405" s="66"/>
      <c r="AD405" s="66"/>
      <c r="AE405" s="66"/>
      <c r="AF405" s="66"/>
      <c r="AG405" s="66"/>
      <c r="CF405" s="68"/>
    </row>
    <row r="406" spans="1:84" ht="17.399999999999999" x14ac:dyDescent="0.35">
      <c r="A406" s="67" t="s">
        <v>969</v>
      </c>
      <c r="B406" s="67"/>
      <c r="C406" s="66"/>
      <c r="D406" s="66"/>
      <c r="E406" s="66"/>
      <c r="F406" s="66"/>
      <c r="G406" s="66"/>
      <c r="H406" s="66"/>
      <c r="I406" s="66"/>
      <c r="J406" s="66"/>
      <c r="K406" s="66"/>
      <c r="L406" s="66"/>
      <c r="M406" s="66"/>
      <c r="N406" s="66"/>
      <c r="O406" s="66"/>
      <c r="P406" s="66"/>
      <c r="Q406" s="66"/>
      <c r="R406" s="66"/>
      <c r="S406" s="66"/>
      <c r="T406" s="66"/>
      <c r="U406" s="66"/>
      <c r="V406" s="66"/>
      <c r="W406" s="66"/>
      <c r="X406" s="66"/>
      <c r="Y406" s="66"/>
      <c r="Z406" s="66"/>
      <c r="AA406" s="66"/>
      <c r="AB406" s="66"/>
      <c r="AC406" s="66"/>
      <c r="AD406" s="66"/>
      <c r="AE406" s="66"/>
      <c r="AF406" s="66"/>
      <c r="AG406" s="66"/>
      <c r="CF406" s="68"/>
    </row>
    <row r="407" spans="1:84" ht="17.399999999999999" x14ac:dyDescent="0.35">
      <c r="A407" s="67" t="s">
        <v>969</v>
      </c>
      <c r="B407" s="67"/>
      <c r="C407" s="66"/>
      <c r="D407" s="66"/>
      <c r="E407" s="66"/>
      <c r="F407" s="66"/>
      <c r="G407" s="66"/>
      <c r="H407" s="66"/>
      <c r="I407" s="66"/>
      <c r="J407" s="66"/>
      <c r="K407" s="66"/>
      <c r="L407" s="66"/>
      <c r="M407" s="66"/>
      <c r="N407" s="66"/>
      <c r="O407" s="66"/>
      <c r="P407" s="66"/>
      <c r="Q407" s="66"/>
      <c r="R407" s="66"/>
      <c r="S407" s="66"/>
      <c r="T407" s="66"/>
      <c r="U407" s="66"/>
      <c r="V407" s="66"/>
      <c r="W407" s="66"/>
      <c r="X407" s="66"/>
      <c r="Y407" s="66"/>
      <c r="Z407" s="66"/>
      <c r="AA407" s="66"/>
      <c r="AB407" s="66"/>
      <c r="AC407" s="66"/>
      <c r="AD407" s="66"/>
      <c r="AE407" s="66"/>
      <c r="AF407" s="66"/>
      <c r="AG407" s="66"/>
      <c r="CF407" s="68"/>
    </row>
    <row r="408" spans="1:84" ht="17.399999999999999" x14ac:dyDescent="0.35">
      <c r="A408" s="67" t="s">
        <v>969</v>
      </c>
      <c r="B408" s="67"/>
      <c r="C408" s="66"/>
      <c r="D408" s="66"/>
      <c r="E408" s="66"/>
      <c r="F408" s="66"/>
      <c r="G408" s="66"/>
      <c r="H408" s="66"/>
      <c r="I408" s="66"/>
      <c r="J408" s="66"/>
      <c r="K408" s="66"/>
      <c r="L408" s="66"/>
      <c r="M408" s="66"/>
      <c r="N408" s="66"/>
      <c r="O408" s="66"/>
      <c r="P408" s="66"/>
      <c r="Q408" s="66"/>
      <c r="R408" s="66"/>
      <c r="S408" s="66"/>
      <c r="T408" s="66"/>
      <c r="U408" s="66"/>
      <c r="V408" s="66"/>
      <c r="W408" s="66"/>
      <c r="X408" s="66"/>
      <c r="Y408" s="66"/>
      <c r="Z408" s="66"/>
      <c r="AA408" s="66"/>
      <c r="AB408" s="66"/>
      <c r="AC408" s="66"/>
      <c r="AD408" s="66"/>
      <c r="AE408" s="66"/>
      <c r="AF408" s="66"/>
      <c r="AG408" s="66"/>
      <c r="CF408" s="68"/>
    </row>
    <row r="409" spans="1:84" ht="17.399999999999999" x14ac:dyDescent="0.35">
      <c r="A409" s="67" t="s">
        <v>969</v>
      </c>
      <c r="B409" s="67"/>
      <c r="C409" s="66"/>
      <c r="D409" s="66"/>
      <c r="E409" s="66"/>
      <c r="F409" s="66"/>
      <c r="G409" s="66"/>
      <c r="H409" s="66"/>
      <c r="I409" s="66"/>
      <c r="J409" s="66"/>
      <c r="K409" s="66"/>
      <c r="L409" s="66"/>
      <c r="M409" s="66"/>
      <c r="N409" s="66"/>
      <c r="O409" s="66"/>
      <c r="P409" s="66"/>
      <c r="Q409" s="66"/>
      <c r="R409" s="66"/>
      <c r="S409" s="66"/>
      <c r="T409" s="66"/>
      <c r="U409" s="66"/>
      <c r="V409" s="66"/>
      <c r="W409" s="66"/>
      <c r="X409" s="66"/>
      <c r="Y409" s="66"/>
      <c r="Z409" s="66"/>
      <c r="AA409" s="66"/>
      <c r="AB409" s="66"/>
      <c r="AC409" s="66"/>
      <c r="AD409" s="66"/>
      <c r="AE409" s="66"/>
      <c r="AF409" s="66"/>
      <c r="AG409" s="66"/>
      <c r="CF409" s="68"/>
    </row>
    <row r="410" spans="1:84" ht="17.399999999999999" x14ac:dyDescent="0.35">
      <c r="A410" s="67" t="s">
        <v>969</v>
      </c>
      <c r="B410" s="67"/>
      <c r="C410" s="66"/>
      <c r="D410" s="66"/>
      <c r="E410" s="66"/>
      <c r="F410" s="66"/>
      <c r="G410" s="66"/>
      <c r="H410" s="66"/>
      <c r="I410" s="66"/>
      <c r="J410" s="66"/>
      <c r="K410" s="66"/>
      <c r="L410" s="66"/>
      <c r="M410" s="66"/>
      <c r="N410" s="66"/>
      <c r="O410" s="66"/>
      <c r="P410" s="66"/>
      <c r="Q410" s="66"/>
      <c r="R410" s="66"/>
      <c r="S410" s="66"/>
      <c r="T410" s="66"/>
      <c r="U410" s="66"/>
      <c r="V410" s="66"/>
      <c r="W410" s="66"/>
      <c r="X410" s="66"/>
      <c r="Y410" s="66"/>
      <c r="Z410" s="66"/>
      <c r="AA410" s="66"/>
      <c r="AB410" s="66"/>
      <c r="AC410" s="66"/>
      <c r="AD410" s="66"/>
      <c r="AE410" s="66"/>
      <c r="AF410" s="66"/>
      <c r="AG410" s="66"/>
      <c r="CF410" s="68"/>
    </row>
    <row r="411" spans="1:84" ht="17.399999999999999" x14ac:dyDescent="0.35">
      <c r="A411" s="67" t="s">
        <v>969</v>
      </c>
      <c r="B411" s="67"/>
      <c r="C411" s="66"/>
      <c r="D411" s="66"/>
      <c r="E411" s="66"/>
      <c r="F411" s="66"/>
      <c r="G411" s="66"/>
      <c r="H411" s="66"/>
      <c r="I411" s="66"/>
      <c r="J411" s="66"/>
      <c r="K411" s="66"/>
      <c r="L411" s="66"/>
      <c r="M411" s="66"/>
      <c r="N411" s="66"/>
      <c r="O411" s="66"/>
      <c r="P411" s="66"/>
      <c r="Q411" s="66"/>
      <c r="R411" s="66"/>
      <c r="S411" s="66"/>
      <c r="T411" s="66"/>
      <c r="U411" s="66"/>
      <c r="V411" s="66"/>
      <c r="W411" s="66"/>
      <c r="X411" s="66"/>
      <c r="Y411" s="66"/>
      <c r="Z411" s="66"/>
      <c r="AA411" s="66"/>
      <c r="AB411" s="66"/>
      <c r="AC411" s="66"/>
      <c r="AD411" s="66"/>
      <c r="AE411" s="66"/>
      <c r="AF411" s="66"/>
      <c r="AG411" s="66"/>
      <c r="CF411" s="68"/>
    </row>
    <row r="412" spans="1:84" ht="17.399999999999999" x14ac:dyDescent="0.35">
      <c r="A412" s="67" t="s">
        <v>969</v>
      </c>
      <c r="B412" s="67"/>
      <c r="C412" s="66"/>
      <c r="D412" s="66"/>
      <c r="E412" s="66"/>
      <c r="F412" s="66"/>
      <c r="G412" s="66"/>
      <c r="H412" s="66"/>
      <c r="I412" s="66"/>
      <c r="J412" s="66"/>
      <c r="K412" s="66"/>
      <c r="L412" s="66"/>
      <c r="M412" s="66"/>
      <c r="N412" s="66"/>
      <c r="O412" s="66"/>
      <c r="P412" s="66"/>
      <c r="Q412" s="66"/>
      <c r="R412" s="66"/>
      <c r="S412" s="66"/>
      <c r="T412" s="66"/>
      <c r="U412" s="66"/>
      <c r="V412" s="66"/>
      <c r="W412" s="66"/>
      <c r="X412" s="66"/>
      <c r="Y412" s="66"/>
      <c r="Z412" s="66"/>
      <c r="AA412" s="66"/>
      <c r="AB412" s="66"/>
      <c r="AC412" s="66"/>
      <c r="AD412" s="66"/>
      <c r="AE412" s="66"/>
      <c r="AF412" s="66"/>
      <c r="AG412" s="66"/>
      <c r="CF412" s="68"/>
    </row>
    <row r="413" spans="1:84" ht="17.399999999999999" x14ac:dyDescent="0.35">
      <c r="A413" s="67" t="s">
        <v>969</v>
      </c>
      <c r="B413" s="67"/>
      <c r="C413" s="66"/>
      <c r="D413" s="66"/>
      <c r="E413" s="66"/>
      <c r="F413" s="66"/>
      <c r="G413" s="66"/>
      <c r="H413" s="66"/>
      <c r="I413" s="66"/>
      <c r="J413" s="66"/>
      <c r="K413" s="66"/>
      <c r="L413" s="66"/>
      <c r="M413" s="66"/>
      <c r="N413" s="66"/>
      <c r="O413" s="66"/>
      <c r="P413" s="66"/>
      <c r="Q413" s="66"/>
      <c r="R413" s="66"/>
      <c r="S413" s="66"/>
      <c r="T413" s="66"/>
      <c r="U413" s="66"/>
      <c r="V413" s="66"/>
      <c r="W413" s="66"/>
      <c r="X413" s="66"/>
      <c r="Y413" s="66"/>
      <c r="Z413" s="66"/>
      <c r="AA413" s="66"/>
      <c r="AB413" s="66"/>
      <c r="AC413" s="66"/>
      <c r="AD413" s="66"/>
      <c r="AE413" s="66"/>
      <c r="AF413" s="66"/>
      <c r="AG413" s="66"/>
      <c r="CF413" s="68"/>
    </row>
    <row r="414" spans="1:84" ht="17.399999999999999" x14ac:dyDescent="0.35">
      <c r="A414" s="67" t="s">
        <v>969</v>
      </c>
      <c r="B414" s="67"/>
      <c r="C414" s="66"/>
      <c r="D414" s="66"/>
      <c r="E414" s="66"/>
      <c r="F414" s="66"/>
      <c r="G414" s="66"/>
      <c r="H414" s="66"/>
      <c r="I414" s="66"/>
      <c r="J414" s="66"/>
      <c r="K414" s="66"/>
      <c r="L414" s="66"/>
      <c r="M414" s="66"/>
      <c r="N414" s="66"/>
      <c r="O414" s="66"/>
      <c r="P414" s="66"/>
      <c r="Q414" s="66"/>
      <c r="R414" s="66"/>
      <c r="S414" s="66"/>
      <c r="T414" s="66"/>
      <c r="U414" s="66"/>
      <c r="V414" s="66"/>
      <c r="W414" s="66"/>
      <c r="X414" s="66"/>
      <c r="Y414" s="66"/>
      <c r="Z414" s="66"/>
      <c r="AA414" s="66"/>
      <c r="AB414" s="66"/>
      <c r="AC414" s="66"/>
      <c r="AD414" s="66"/>
      <c r="AE414" s="66"/>
      <c r="AF414" s="66"/>
      <c r="AG414" s="66"/>
      <c r="CF414" s="68"/>
    </row>
    <row r="415" spans="1:84" ht="17.399999999999999" x14ac:dyDescent="0.35">
      <c r="A415" s="67" t="s">
        <v>969</v>
      </c>
      <c r="B415" s="67"/>
      <c r="C415" s="66"/>
      <c r="D415" s="66"/>
      <c r="E415" s="66"/>
      <c r="F415" s="66"/>
      <c r="G415" s="66"/>
      <c r="H415" s="66"/>
      <c r="I415" s="66"/>
      <c r="J415" s="66"/>
      <c r="K415" s="66"/>
      <c r="L415" s="66"/>
      <c r="M415" s="66"/>
      <c r="N415" s="66"/>
      <c r="O415" s="66"/>
      <c r="P415" s="66"/>
      <c r="Q415" s="66"/>
      <c r="R415" s="66"/>
      <c r="S415" s="66"/>
      <c r="T415" s="66"/>
      <c r="U415" s="66"/>
      <c r="V415" s="66"/>
      <c r="W415" s="66"/>
      <c r="X415" s="66"/>
      <c r="Y415" s="66"/>
      <c r="Z415" s="66"/>
      <c r="AA415" s="66"/>
      <c r="AB415" s="66"/>
      <c r="AC415" s="66"/>
      <c r="AD415" s="66"/>
      <c r="AE415" s="66"/>
      <c r="AF415" s="66"/>
      <c r="AG415" s="66"/>
      <c r="CF415" s="68"/>
    </row>
    <row r="416" spans="1:84" ht="17.399999999999999" x14ac:dyDescent="0.35">
      <c r="A416" s="67" t="s">
        <v>969</v>
      </c>
      <c r="B416" s="67"/>
      <c r="C416" s="66"/>
      <c r="D416" s="66"/>
      <c r="E416" s="66"/>
      <c r="F416" s="66"/>
      <c r="G416" s="66"/>
      <c r="H416" s="66"/>
      <c r="I416" s="66"/>
      <c r="J416" s="66"/>
      <c r="K416" s="66"/>
      <c r="L416" s="66"/>
      <c r="M416" s="66"/>
      <c r="N416" s="66"/>
      <c r="O416" s="66"/>
      <c r="P416" s="66"/>
      <c r="Q416" s="66"/>
      <c r="R416" s="66"/>
      <c r="S416" s="66"/>
      <c r="T416" s="66"/>
      <c r="U416" s="66"/>
      <c r="V416" s="66"/>
      <c r="W416" s="66"/>
      <c r="X416" s="66"/>
      <c r="Y416" s="66"/>
      <c r="Z416" s="66"/>
      <c r="AA416" s="66"/>
      <c r="AB416" s="66"/>
      <c r="AC416" s="66"/>
      <c r="AD416" s="66"/>
      <c r="AE416" s="66"/>
      <c r="AF416" s="66"/>
      <c r="AG416" s="66"/>
      <c r="CF416" s="68"/>
    </row>
    <row r="417" spans="1:84" ht="17.399999999999999" x14ac:dyDescent="0.35">
      <c r="A417" s="67" t="s">
        <v>969</v>
      </c>
      <c r="B417" s="67"/>
      <c r="C417" s="66"/>
      <c r="D417" s="66"/>
      <c r="E417" s="66"/>
      <c r="F417" s="66"/>
      <c r="G417" s="66"/>
      <c r="H417" s="66"/>
      <c r="I417" s="66"/>
      <c r="J417" s="66"/>
      <c r="K417" s="66"/>
      <c r="L417" s="66"/>
      <c r="M417" s="66"/>
      <c r="N417" s="66"/>
      <c r="O417" s="66"/>
      <c r="P417" s="66"/>
      <c r="Q417" s="66"/>
      <c r="R417" s="66"/>
      <c r="S417" s="66"/>
      <c r="T417" s="66"/>
      <c r="U417" s="66"/>
      <c r="V417" s="66"/>
      <c r="W417" s="66"/>
      <c r="X417" s="66"/>
      <c r="Y417" s="66"/>
      <c r="Z417" s="66"/>
      <c r="AA417" s="66"/>
      <c r="AB417" s="66"/>
      <c r="AC417" s="66"/>
      <c r="AD417" s="66"/>
      <c r="AE417" s="66"/>
      <c r="AF417" s="66"/>
      <c r="AG417" s="66"/>
      <c r="CF417" s="68"/>
    </row>
    <row r="418" spans="1:84" ht="17.399999999999999" x14ac:dyDescent="0.35">
      <c r="A418" s="67" t="s">
        <v>969</v>
      </c>
      <c r="B418" s="67"/>
      <c r="C418" s="66"/>
      <c r="D418" s="66"/>
      <c r="E418" s="66"/>
      <c r="F418" s="66"/>
      <c r="G418" s="66"/>
      <c r="H418" s="66"/>
      <c r="I418" s="66"/>
      <c r="J418" s="66"/>
      <c r="K418" s="66"/>
      <c r="L418" s="66"/>
      <c r="M418" s="66"/>
      <c r="N418" s="66"/>
      <c r="O418" s="66"/>
      <c r="P418" s="66"/>
      <c r="Q418" s="66"/>
      <c r="R418" s="66"/>
      <c r="S418" s="66"/>
      <c r="T418" s="66"/>
      <c r="U418" s="66"/>
      <c r="V418" s="66"/>
      <c r="W418" s="66"/>
      <c r="X418" s="66"/>
      <c r="Y418" s="66"/>
      <c r="Z418" s="66"/>
      <c r="AA418" s="66"/>
      <c r="AB418" s="66"/>
      <c r="AC418" s="66"/>
      <c r="AD418" s="66"/>
      <c r="AE418" s="66"/>
      <c r="AF418" s="66"/>
      <c r="AG418" s="66"/>
      <c r="CF418" s="68"/>
    </row>
    <row r="419" spans="1:84" ht="17.399999999999999" x14ac:dyDescent="0.35">
      <c r="A419" s="67" t="s">
        <v>969</v>
      </c>
      <c r="B419" s="67"/>
      <c r="C419" s="66"/>
      <c r="D419" s="66"/>
      <c r="E419" s="66"/>
      <c r="F419" s="66"/>
      <c r="G419" s="66"/>
      <c r="H419" s="66"/>
      <c r="I419" s="66"/>
      <c r="J419" s="66"/>
      <c r="K419" s="66"/>
      <c r="L419" s="66"/>
      <c r="M419" s="66"/>
      <c r="N419" s="66"/>
      <c r="O419" s="66"/>
      <c r="P419" s="66"/>
      <c r="Q419" s="66"/>
      <c r="R419" s="66"/>
      <c r="S419" s="66"/>
      <c r="T419" s="66"/>
      <c r="U419" s="66"/>
      <c r="V419" s="66"/>
      <c r="W419" s="66"/>
      <c r="X419" s="66"/>
      <c r="Y419" s="66"/>
      <c r="Z419" s="66"/>
      <c r="AA419" s="66"/>
      <c r="AB419" s="66"/>
      <c r="AC419" s="66"/>
      <c r="AD419" s="66"/>
      <c r="AE419" s="66"/>
      <c r="AF419" s="66"/>
      <c r="AG419" s="66"/>
      <c r="CF419" s="68"/>
    </row>
    <row r="420" spans="1:84" ht="17.399999999999999" x14ac:dyDescent="0.35">
      <c r="A420" s="67" t="s">
        <v>969</v>
      </c>
      <c r="B420" s="67"/>
      <c r="C420" s="66"/>
      <c r="D420" s="66"/>
      <c r="E420" s="66"/>
      <c r="F420" s="66"/>
      <c r="G420" s="66"/>
      <c r="H420" s="66"/>
      <c r="I420" s="66"/>
      <c r="J420" s="66"/>
      <c r="K420" s="66"/>
      <c r="L420" s="66"/>
      <c r="M420" s="66"/>
      <c r="N420" s="66"/>
      <c r="O420" s="66"/>
      <c r="P420" s="66"/>
      <c r="Q420" s="66"/>
      <c r="R420" s="66"/>
      <c r="S420" s="66"/>
      <c r="T420" s="66"/>
      <c r="U420" s="66"/>
      <c r="V420" s="66"/>
      <c r="W420" s="66"/>
      <c r="X420" s="66"/>
      <c r="Y420" s="66"/>
      <c r="Z420" s="66"/>
      <c r="AA420" s="66"/>
      <c r="AB420" s="66"/>
      <c r="AC420" s="66"/>
      <c r="AD420" s="66"/>
      <c r="AE420" s="66"/>
      <c r="AF420" s="66"/>
      <c r="AG420" s="66"/>
      <c r="CF420" s="68"/>
    </row>
    <row r="421" spans="1:84" ht="17.399999999999999" x14ac:dyDescent="0.35">
      <c r="A421" s="67" t="s">
        <v>969</v>
      </c>
      <c r="B421" s="67"/>
      <c r="C421" s="66"/>
      <c r="D421" s="66"/>
      <c r="E421" s="66"/>
      <c r="F421" s="66"/>
      <c r="G421" s="66"/>
      <c r="H421" s="66"/>
      <c r="I421" s="66"/>
      <c r="J421" s="66"/>
      <c r="K421" s="66"/>
      <c r="L421" s="66"/>
      <c r="M421" s="66"/>
      <c r="N421" s="66"/>
      <c r="O421" s="66"/>
      <c r="P421" s="66"/>
      <c r="Q421" s="66"/>
      <c r="R421" s="66"/>
      <c r="S421" s="66"/>
      <c r="T421" s="66"/>
      <c r="U421" s="66"/>
      <c r="V421" s="66"/>
      <c r="W421" s="66"/>
      <c r="X421" s="66"/>
      <c r="Y421" s="66"/>
      <c r="Z421" s="66"/>
      <c r="AA421" s="66"/>
      <c r="AB421" s="66"/>
      <c r="AC421" s="66"/>
      <c r="AD421" s="66"/>
      <c r="AE421" s="66"/>
      <c r="AF421" s="66"/>
      <c r="AG421" s="66"/>
      <c r="CF421" s="68"/>
    </row>
    <row r="422" spans="1:84" ht="17.399999999999999" x14ac:dyDescent="0.35">
      <c r="A422" s="67" t="s">
        <v>969</v>
      </c>
      <c r="B422" s="67"/>
      <c r="C422" s="66"/>
      <c r="D422" s="66"/>
      <c r="E422" s="66"/>
      <c r="F422" s="66"/>
      <c r="G422" s="66"/>
      <c r="H422" s="66"/>
      <c r="I422" s="66"/>
      <c r="J422" s="66"/>
      <c r="K422" s="66"/>
      <c r="L422" s="66"/>
      <c r="M422" s="66"/>
      <c r="N422" s="66"/>
      <c r="O422" s="66"/>
      <c r="P422" s="66"/>
      <c r="Q422" s="66"/>
      <c r="R422" s="66"/>
      <c r="S422" s="66"/>
      <c r="T422" s="66"/>
      <c r="U422" s="66"/>
      <c r="V422" s="66"/>
      <c r="W422" s="66"/>
      <c r="X422" s="66"/>
      <c r="Y422" s="66"/>
      <c r="Z422" s="66"/>
      <c r="AA422" s="66"/>
      <c r="AB422" s="66"/>
      <c r="AC422" s="66"/>
      <c r="AD422" s="66"/>
      <c r="AE422" s="66"/>
      <c r="AF422" s="66"/>
      <c r="AG422" s="66"/>
      <c r="CF422" s="68"/>
    </row>
    <row r="423" spans="1:84" ht="17.399999999999999" x14ac:dyDescent="0.35">
      <c r="A423" s="67" t="s">
        <v>969</v>
      </c>
      <c r="B423" s="67"/>
      <c r="C423" s="66"/>
      <c r="D423" s="66"/>
      <c r="E423" s="66"/>
      <c r="F423" s="66"/>
      <c r="G423" s="66"/>
      <c r="H423" s="66"/>
      <c r="I423" s="66"/>
      <c r="J423" s="66"/>
      <c r="K423" s="66"/>
      <c r="L423" s="66"/>
      <c r="M423" s="66"/>
      <c r="N423" s="66"/>
      <c r="O423" s="66"/>
      <c r="P423" s="66"/>
      <c r="Q423" s="66"/>
      <c r="R423" s="66"/>
      <c r="S423" s="66"/>
      <c r="T423" s="66"/>
      <c r="U423" s="66"/>
      <c r="V423" s="66"/>
      <c r="W423" s="66"/>
      <c r="X423" s="66"/>
      <c r="Y423" s="66"/>
      <c r="Z423" s="66"/>
      <c r="AA423" s="66"/>
      <c r="AB423" s="66"/>
      <c r="AC423" s="66"/>
      <c r="AD423" s="66"/>
      <c r="AE423" s="66"/>
      <c r="AF423" s="66"/>
      <c r="AG423" s="66"/>
      <c r="CF423" s="68"/>
    </row>
    <row r="424" spans="1:84" ht="17.399999999999999" x14ac:dyDescent="0.35">
      <c r="A424" s="67" t="s">
        <v>969</v>
      </c>
      <c r="B424" s="67"/>
      <c r="C424" s="66"/>
      <c r="D424" s="66"/>
      <c r="E424" s="66"/>
      <c r="F424" s="66"/>
      <c r="G424" s="66"/>
      <c r="H424" s="66"/>
      <c r="I424" s="66"/>
      <c r="J424" s="66"/>
      <c r="K424" s="66"/>
      <c r="L424" s="66"/>
      <c r="M424" s="66"/>
      <c r="N424" s="66"/>
      <c r="O424" s="66"/>
      <c r="P424" s="66"/>
      <c r="Q424" s="66"/>
      <c r="R424" s="66"/>
      <c r="S424" s="66"/>
      <c r="T424" s="66"/>
      <c r="U424" s="66"/>
      <c r="V424" s="66"/>
      <c r="W424" s="66"/>
      <c r="X424" s="66"/>
      <c r="Y424" s="66"/>
      <c r="Z424" s="66"/>
      <c r="AA424" s="66"/>
      <c r="AB424" s="66"/>
      <c r="AC424" s="66"/>
      <c r="AD424" s="66"/>
      <c r="AE424" s="66"/>
      <c r="AF424" s="66"/>
      <c r="AG424" s="66"/>
      <c r="CF424" s="68"/>
    </row>
    <row r="425" spans="1:84" ht="17.399999999999999" x14ac:dyDescent="0.35">
      <c r="A425" s="67" t="s">
        <v>969</v>
      </c>
      <c r="B425" s="67"/>
      <c r="C425" s="66"/>
      <c r="D425" s="66"/>
      <c r="E425" s="66"/>
      <c r="F425" s="66"/>
      <c r="G425" s="66"/>
      <c r="H425" s="66"/>
      <c r="I425" s="66"/>
      <c r="J425" s="66"/>
      <c r="K425" s="66"/>
      <c r="L425" s="66"/>
      <c r="M425" s="66"/>
      <c r="N425" s="66"/>
      <c r="O425" s="66"/>
      <c r="P425" s="66"/>
      <c r="Q425" s="66"/>
      <c r="R425" s="66"/>
      <c r="S425" s="66"/>
      <c r="T425" s="66"/>
      <c r="U425" s="66"/>
      <c r="V425" s="66"/>
      <c r="W425" s="66"/>
      <c r="X425" s="66"/>
      <c r="Y425" s="66"/>
      <c r="Z425" s="66"/>
      <c r="AA425" s="66"/>
      <c r="AB425" s="66"/>
      <c r="AC425" s="66"/>
      <c r="AD425" s="66"/>
      <c r="AE425" s="66"/>
      <c r="AF425" s="66"/>
      <c r="AG425" s="66"/>
      <c r="CF425" s="68"/>
    </row>
    <row r="426" spans="1:84" ht="17.399999999999999" x14ac:dyDescent="0.35">
      <c r="A426" s="67" t="s">
        <v>969</v>
      </c>
      <c r="B426" s="67"/>
      <c r="C426" s="66"/>
      <c r="D426" s="66"/>
      <c r="E426" s="66"/>
      <c r="F426" s="66"/>
      <c r="G426" s="66"/>
      <c r="H426" s="66"/>
      <c r="I426" s="66"/>
      <c r="J426" s="66"/>
      <c r="K426" s="66"/>
      <c r="L426" s="66"/>
      <c r="M426" s="66"/>
      <c r="N426" s="66"/>
      <c r="O426" s="66"/>
      <c r="P426" s="66"/>
      <c r="Q426" s="66"/>
      <c r="R426" s="66"/>
      <c r="S426" s="66"/>
      <c r="T426" s="66"/>
      <c r="U426" s="66"/>
      <c r="V426" s="66"/>
      <c r="W426" s="66"/>
      <c r="X426" s="66"/>
      <c r="Y426" s="66"/>
      <c r="Z426" s="66"/>
      <c r="AA426" s="66"/>
      <c r="AB426" s="66"/>
      <c r="AC426" s="66"/>
      <c r="AD426" s="66"/>
      <c r="AE426" s="66"/>
      <c r="AF426" s="66"/>
      <c r="AG426" s="66"/>
      <c r="CF426" s="68"/>
    </row>
    <row r="427" spans="1:84" ht="17.399999999999999" x14ac:dyDescent="0.35">
      <c r="A427" s="67" t="s">
        <v>969</v>
      </c>
      <c r="B427" s="67"/>
      <c r="C427" s="66"/>
      <c r="D427" s="66"/>
      <c r="E427" s="66"/>
      <c r="F427" s="66"/>
      <c r="G427" s="66"/>
      <c r="H427" s="66"/>
      <c r="I427" s="66"/>
      <c r="J427" s="66"/>
      <c r="K427" s="66"/>
      <c r="L427" s="66"/>
      <c r="M427" s="66"/>
      <c r="N427" s="66"/>
      <c r="O427" s="66"/>
      <c r="P427" s="66"/>
      <c r="Q427" s="66"/>
      <c r="R427" s="66"/>
      <c r="S427" s="66"/>
      <c r="T427" s="66"/>
      <c r="U427" s="66"/>
      <c r="V427" s="66"/>
      <c r="W427" s="66"/>
      <c r="X427" s="66"/>
      <c r="Y427" s="66"/>
      <c r="Z427" s="66"/>
      <c r="AA427" s="66"/>
      <c r="AB427" s="66"/>
      <c r="AC427" s="66"/>
      <c r="AD427" s="66"/>
      <c r="AE427" s="66"/>
      <c r="AF427" s="66"/>
      <c r="AG427" s="66"/>
      <c r="CF427" s="68"/>
    </row>
    <row r="428" spans="1:84" ht="17.399999999999999" x14ac:dyDescent="0.35">
      <c r="A428" s="67" t="s">
        <v>969</v>
      </c>
      <c r="B428" s="67"/>
      <c r="C428" s="66"/>
      <c r="D428" s="66"/>
      <c r="E428" s="66"/>
      <c r="F428" s="66"/>
      <c r="G428" s="66"/>
      <c r="H428" s="66"/>
      <c r="I428" s="66"/>
      <c r="J428" s="66"/>
      <c r="K428" s="66"/>
      <c r="L428" s="66"/>
      <c r="M428" s="66"/>
      <c r="N428" s="66"/>
      <c r="O428" s="66"/>
      <c r="P428" s="66"/>
      <c r="Q428" s="66"/>
      <c r="R428" s="66"/>
      <c r="S428" s="66"/>
      <c r="T428" s="66"/>
      <c r="U428" s="66"/>
      <c r="V428" s="66"/>
      <c r="W428" s="66"/>
      <c r="X428" s="66"/>
      <c r="Y428" s="66"/>
      <c r="Z428" s="66"/>
      <c r="AA428" s="66"/>
      <c r="AB428" s="66"/>
      <c r="AC428" s="66"/>
      <c r="AD428" s="66"/>
      <c r="AE428" s="66"/>
      <c r="AF428" s="66"/>
      <c r="AG428" s="66"/>
      <c r="CF428" s="68"/>
    </row>
    <row r="429" spans="1:84" ht="17.399999999999999" x14ac:dyDescent="0.35">
      <c r="A429" s="67" t="s">
        <v>969</v>
      </c>
      <c r="B429" s="67"/>
      <c r="C429" s="66"/>
      <c r="D429" s="66"/>
      <c r="E429" s="66"/>
      <c r="F429" s="66"/>
      <c r="G429" s="66"/>
      <c r="H429" s="66"/>
      <c r="I429" s="66"/>
      <c r="J429" s="66"/>
      <c r="K429" s="66"/>
      <c r="L429" s="66"/>
      <c r="M429" s="66"/>
      <c r="N429" s="66"/>
      <c r="O429" s="66"/>
      <c r="P429" s="66"/>
      <c r="Q429" s="66"/>
      <c r="R429" s="66"/>
      <c r="S429" s="66"/>
      <c r="T429" s="66"/>
      <c r="U429" s="66"/>
      <c r="V429" s="66"/>
      <c r="W429" s="66"/>
      <c r="X429" s="66"/>
      <c r="Y429" s="66"/>
      <c r="Z429" s="66"/>
      <c r="AA429" s="66"/>
      <c r="AB429" s="66"/>
      <c r="AC429" s="66"/>
      <c r="AD429" s="66"/>
      <c r="AE429" s="66"/>
      <c r="AF429" s="66"/>
      <c r="AG429" s="66"/>
      <c r="CF429" s="68"/>
    </row>
    <row r="430" spans="1:84" ht="17.399999999999999" x14ac:dyDescent="0.35">
      <c r="A430" s="67"/>
      <c r="B430" s="67"/>
      <c r="C430" s="66"/>
      <c r="D430" s="66"/>
      <c r="E430" s="66"/>
      <c r="F430" s="66"/>
      <c r="G430" s="66"/>
      <c r="H430" s="66"/>
      <c r="I430" s="66"/>
      <c r="J430" s="66"/>
      <c r="K430" s="66"/>
      <c r="L430" s="66"/>
      <c r="M430" s="66"/>
      <c r="N430" s="66"/>
      <c r="O430" s="66"/>
      <c r="P430" s="66"/>
      <c r="Q430" s="66"/>
      <c r="R430" s="66"/>
      <c r="S430" s="66"/>
      <c r="T430" s="66"/>
      <c r="U430" s="66"/>
      <c r="V430" s="66"/>
      <c r="W430" s="66"/>
      <c r="X430" s="66"/>
      <c r="Y430" s="66"/>
      <c r="Z430" s="66"/>
      <c r="AA430" s="66"/>
      <c r="AB430" s="66"/>
      <c r="AC430" s="66"/>
      <c r="AD430" s="66"/>
      <c r="AE430" s="66"/>
      <c r="AF430" s="66"/>
      <c r="AG430" s="66"/>
      <c r="CF430" s="68"/>
    </row>
    <row r="431" spans="1:84" ht="17.399999999999999" x14ac:dyDescent="0.35">
      <c r="A431" s="67"/>
      <c r="B431" s="67"/>
      <c r="C431" s="66"/>
      <c r="D431" s="66"/>
      <c r="E431" s="66"/>
      <c r="F431" s="66"/>
      <c r="G431" s="66"/>
      <c r="H431" s="66"/>
      <c r="I431" s="66"/>
      <c r="J431" s="66"/>
      <c r="K431" s="66"/>
      <c r="L431" s="66"/>
      <c r="M431" s="66"/>
      <c r="N431" s="66"/>
      <c r="O431" s="66"/>
      <c r="P431" s="66"/>
      <c r="Q431" s="66"/>
      <c r="R431" s="66"/>
      <c r="S431" s="66"/>
      <c r="T431" s="66"/>
      <c r="U431" s="66"/>
      <c r="V431" s="66"/>
      <c r="W431" s="66"/>
      <c r="X431" s="66"/>
      <c r="Y431" s="66"/>
      <c r="Z431" s="66"/>
      <c r="AA431" s="66"/>
      <c r="AB431" s="66"/>
      <c r="AC431" s="66"/>
      <c r="AD431" s="66"/>
      <c r="AE431" s="66"/>
      <c r="AF431" s="66"/>
      <c r="AG431" s="66"/>
      <c r="CF431" s="68"/>
    </row>
    <row r="432" spans="1:84" ht="17.399999999999999" x14ac:dyDescent="0.35">
      <c r="A432" s="67"/>
      <c r="B432" s="67"/>
      <c r="C432" s="66"/>
      <c r="D432" s="66"/>
      <c r="E432" s="66"/>
      <c r="F432" s="66"/>
      <c r="G432" s="66"/>
      <c r="H432" s="66"/>
      <c r="I432" s="66"/>
      <c r="J432" s="66"/>
      <c r="K432" s="66"/>
      <c r="L432" s="66"/>
      <c r="M432" s="66"/>
      <c r="N432" s="66"/>
      <c r="O432" s="66"/>
      <c r="P432" s="66"/>
      <c r="Q432" s="66"/>
      <c r="R432" s="66"/>
      <c r="S432" s="66"/>
      <c r="T432" s="66"/>
      <c r="U432" s="66"/>
      <c r="V432" s="66"/>
      <c r="W432" s="66"/>
      <c r="X432" s="66"/>
      <c r="Y432" s="66"/>
      <c r="Z432" s="66"/>
      <c r="AA432" s="66"/>
      <c r="AB432" s="66"/>
      <c r="AC432" s="66"/>
      <c r="AD432" s="66"/>
      <c r="AE432" s="66"/>
      <c r="AF432" s="66"/>
      <c r="AG432" s="66"/>
      <c r="CF432" s="68"/>
    </row>
    <row r="433" spans="1:84" ht="17.399999999999999" x14ac:dyDescent="0.35">
      <c r="A433" s="67"/>
      <c r="B433" s="67"/>
      <c r="C433" s="66"/>
      <c r="D433" s="66"/>
      <c r="E433" s="66"/>
      <c r="F433" s="66"/>
      <c r="G433" s="66"/>
      <c r="H433" s="66"/>
      <c r="I433" s="66"/>
      <c r="J433" s="66"/>
      <c r="K433" s="66"/>
      <c r="L433" s="66"/>
      <c r="M433" s="66"/>
      <c r="N433" s="66"/>
      <c r="O433" s="66"/>
      <c r="P433" s="66"/>
      <c r="Q433" s="66"/>
      <c r="R433" s="66"/>
      <c r="S433" s="66"/>
      <c r="T433" s="66"/>
      <c r="U433" s="66"/>
      <c r="V433" s="66"/>
      <c r="W433" s="66"/>
      <c r="X433" s="66"/>
      <c r="Y433" s="66"/>
      <c r="Z433" s="66"/>
      <c r="AA433" s="66"/>
      <c r="AB433" s="66"/>
      <c r="AC433" s="66"/>
      <c r="AD433" s="66"/>
      <c r="AE433" s="66"/>
      <c r="AF433" s="66"/>
      <c r="AG433" s="66"/>
      <c r="CF433" s="68"/>
    </row>
    <row r="434" spans="1:84" ht="17.399999999999999" x14ac:dyDescent="0.35">
      <c r="A434" s="67"/>
      <c r="B434" s="67"/>
      <c r="C434" s="66"/>
      <c r="D434" s="66"/>
      <c r="E434" s="66"/>
      <c r="F434" s="66"/>
      <c r="G434" s="66"/>
      <c r="H434" s="66"/>
      <c r="I434" s="66"/>
      <c r="J434" s="66"/>
      <c r="K434" s="66"/>
      <c r="L434" s="66"/>
      <c r="M434" s="66"/>
      <c r="N434" s="66"/>
      <c r="O434" s="66"/>
      <c r="P434" s="66"/>
      <c r="Q434" s="66"/>
      <c r="R434" s="66"/>
      <c r="S434" s="66"/>
      <c r="T434" s="66"/>
      <c r="U434" s="66"/>
      <c r="V434" s="66"/>
      <c r="W434" s="66"/>
      <c r="X434" s="66"/>
      <c r="Y434" s="66"/>
      <c r="Z434" s="66"/>
      <c r="AA434" s="66"/>
      <c r="AB434" s="66"/>
      <c r="AC434" s="66"/>
      <c r="AD434" s="66"/>
      <c r="AE434" s="66"/>
      <c r="AF434" s="66"/>
      <c r="AG434" s="66"/>
      <c r="CF434" s="68"/>
    </row>
    <row r="435" spans="1:84" ht="17.399999999999999" x14ac:dyDescent="0.35">
      <c r="A435" s="67"/>
      <c r="B435" s="67"/>
      <c r="C435" s="66"/>
      <c r="D435" s="66"/>
      <c r="E435" s="66"/>
      <c r="F435" s="66"/>
      <c r="G435" s="66"/>
      <c r="H435" s="66"/>
      <c r="I435" s="66"/>
      <c r="J435" s="66"/>
      <c r="K435" s="66"/>
      <c r="L435" s="66"/>
      <c r="M435" s="66"/>
      <c r="N435" s="66"/>
      <c r="O435" s="66"/>
      <c r="P435" s="66"/>
      <c r="Q435" s="66"/>
      <c r="R435" s="66"/>
      <c r="S435" s="66"/>
      <c r="T435" s="66"/>
      <c r="U435" s="66"/>
      <c r="V435" s="66"/>
      <c r="W435" s="66"/>
      <c r="X435" s="66"/>
      <c r="Y435" s="66"/>
      <c r="Z435" s="66"/>
      <c r="AA435" s="66"/>
      <c r="AB435" s="66"/>
      <c r="AC435" s="66"/>
      <c r="AD435" s="66"/>
      <c r="AE435" s="66"/>
      <c r="AF435" s="66"/>
      <c r="AG435" s="66"/>
      <c r="CF435" s="68"/>
    </row>
    <row r="436" spans="1:84" ht="17.399999999999999" x14ac:dyDescent="0.35">
      <c r="A436" s="67"/>
      <c r="B436" s="67"/>
      <c r="C436" s="66"/>
      <c r="D436" s="66"/>
      <c r="E436" s="66"/>
      <c r="F436" s="66"/>
      <c r="G436" s="66"/>
      <c r="H436" s="66"/>
      <c r="I436" s="66"/>
      <c r="J436" s="66"/>
      <c r="K436" s="66"/>
      <c r="L436" s="66"/>
      <c r="M436" s="66"/>
      <c r="N436" s="66"/>
      <c r="O436" s="66"/>
      <c r="P436" s="66"/>
      <c r="Q436" s="66"/>
      <c r="R436" s="66"/>
      <c r="S436" s="66"/>
      <c r="T436" s="66"/>
      <c r="U436" s="66"/>
      <c r="V436" s="66"/>
      <c r="W436" s="66"/>
      <c r="X436" s="66"/>
      <c r="Y436" s="66"/>
      <c r="Z436" s="66"/>
      <c r="AA436" s="66"/>
      <c r="AB436" s="66"/>
      <c r="AC436" s="66"/>
      <c r="AD436" s="66"/>
      <c r="AE436" s="66"/>
      <c r="AF436" s="66"/>
      <c r="AG436" s="66"/>
      <c r="CF436" s="68"/>
    </row>
    <row r="437" spans="1:84" ht="17.399999999999999" x14ac:dyDescent="0.35">
      <c r="A437" s="67"/>
      <c r="B437" s="67"/>
      <c r="C437" s="66"/>
      <c r="D437" s="66"/>
      <c r="E437" s="66"/>
      <c r="F437" s="66"/>
      <c r="G437" s="66"/>
      <c r="H437" s="66"/>
      <c r="I437" s="66"/>
      <c r="J437" s="66"/>
      <c r="K437" s="66"/>
      <c r="L437" s="66"/>
      <c r="M437" s="66"/>
      <c r="N437" s="66"/>
      <c r="O437" s="66"/>
      <c r="P437" s="66"/>
      <c r="Q437" s="66"/>
      <c r="R437" s="66"/>
      <c r="S437" s="66"/>
      <c r="T437" s="66"/>
      <c r="U437" s="66"/>
      <c r="V437" s="66"/>
      <c r="W437" s="66"/>
      <c r="X437" s="66"/>
      <c r="Y437" s="66"/>
      <c r="Z437" s="66"/>
      <c r="AA437" s="66"/>
      <c r="AB437" s="66"/>
      <c r="AC437" s="66"/>
      <c r="AD437" s="66"/>
      <c r="AE437" s="66"/>
      <c r="AF437" s="66"/>
      <c r="AG437" s="66"/>
      <c r="CF437" s="68"/>
    </row>
    <row r="438" spans="1:84" ht="17.399999999999999" x14ac:dyDescent="0.35">
      <c r="A438" s="67"/>
      <c r="B438" s="67"/>
      <c r="C438" s="66"/>
      <c r="D438" s="66"/>
      <c r="E438" s="66"/>
      <c r="F438" s="66"/>
      <c r="G438" s="66"/>
      <c r="H438" s="66"/>
      <c r="I438" s="66"/>
      <c r="J438" s="66"/>
      <c r="K438" s="66"/>
      <c r="L438" s="66"/>
      <c r="M438" s="66"/>
      <c r="N438" s="66"/>
      <c r="O438" s="66"/>
      <c r="P438" s="66"/>
      <c r="Q438" s="66"/>
      <c r="R438" s="66"/>
      <c r="S438" s="66"/>
      <c r="T438" s="66"/>
      <c r="U438" s="66"/>
      <c r="V438" s="66"/>
      <c r="W438" s="66"/>
      <c r="X438" s="66"/>
      <c r="Y438" s="66"/>
      <c r="Z438" s="66"/>
      <c r="AA438" s="66"/>
      <c r="AB438" s="66"/>
      <c r="AC438" s="66"/>
      <c r="AD438" s="66"/>
      <c r="AE438" s="66"/>
      <c r="AF438" s="66"/>
      <c r="AG438" s="66"/>
      <c r="CF438" s="68"/>
    </row>
    <row r="439" spans="1:84" ht="17.399999999999999" x14ac:dyDescent="0.35">
      <c r="A439" s="67"/>
      <c r="B439" s="67"/>
      <c r="C439" s="66"/>
      <c r="D439" s="66"/>
      <c r="E439" s="66"/>
      <c r="F439" s="66"/>
      <c r="G439" s="66"/>
      <c r="H439" s="66"/>
      <c r="I439" s="66"/>
      <c r="J439" s="66"/>
      <c r="K439" s="66"/>
      <c r="L439" s="66"/>
      <c r="M439" s="66"/>
      <c r="N439" s="66"/>
      <c r="O439" s="66"/>
      <c r="P439" s="66"/>
      <c r="Q439" s="66"/>
      <c r="R439" s="66"/>
      <c r="S439" s="66"/>
      <c r="T439" s="66"/>
      <c r="U439" s="66"/>
      <c r="V439" s="66"/>
      <c r="W439" s="66"/>
      <c r="X439" s="66"/>
      <c r="Y439" s="66"/>
      <c r="Z439" s="66"/>
      <c r="AA439" s="66"/>
      <c r="AB439" s="66"/>
      <c r="AC439" s="66"/>
      <c r="AD439" s="66"/>
      <c r="AE439" s="66"/>
      <c r="AF439" s="66"/>
      <c r="AG439" s="66"/>
      <c r="CF439" s="68"/>
    </row>
    <row r="440" spans="1:84" ht="17.399999999999999" x14ac:dyDescent="0.35">
      <c r="A440" s="67"/>
      <c r="B440" s="67"/>
      <c r="C440" s="66"/>
      <c r="D440" s="66"/>
      <c r="E440" s="66"/>
      <c r="F440" s="66"/>
      <c r="G440" s="66"/>
      <c r="H440" s="66"/>
      <c r="I440" s="66"/>
      <c r="J440" s="66"/>
      <c r="K440" s="66"/>
      <c r="L440" s="66"/>
      <c r="M440" s="66"/>
      <c r="N440" s="66"/>
      <c r="O440" s="66"/>
      <c r="P440" s="66"/>
      <c r="Q440" s="66"/>
      <c r="R440" s="66"/>
      <c r="S440" s="66"/>
      <c r="T440" s="66"/>
      <c r="U440" s="66"/>
      <c r="V440" s="66"/>
      <c r="W440" s="66"/>
      <c r="X440" s="66"/>
      <c r="Y440" s="66"/>
      <c r="Z440" s="66"/>
      <c r="AA440" s="66"/>
      <c r="AB440" s="66"/>
      <c r="AC440" s="66"/>
      <c r="AD440" s="66"/>
      <c r="AE440" s="66"/>
      <c r="AF440" s="66"/>
      <c r="AG440" s="66"/>
      <c r="CF440" s="68"/>
    </row>
    <row r="441" spans="1:84" ht="17.399999999999999" x14ac:dyDescent="0.35">
      <c r="A441" s="67"/>
      <c r="B441" s="67"/>
      <c r="C441" s="66"/>
      <c r="D441" s="66"/>
      <c r="E441" s="66"/>
      <c r="F441" s="66"/>
      <c r="G441" s="66"/>
      <c r="H441" s="66"/>
      <c r="I441" s="66"/>
      <c r="J441" s="66"/>
      <c r="K441" s="66"/>
      <c r="L441" s="66"/>
      <c r="M441" s="66"/>
      <c r="N441" s="66"/>
      <c r="O441" s="66"/>
      <c r="P441" s="66"/>
      <c r="Q441" s="66"/>
      <c r="R441" s="66"/>
      <c r="S441" s="66"/>
      <c r="T441" s="66"/>
      <c r="U441" s="66"/>
      <c r="V441" s="66"/>
      <c r="W441" s="66"/>
      <c r="X441" s="66"/>
      <c r="Y441" s="66"/>
      <c r="Z441" s="66"/>
      <c r="AA441" s="66"/>
      <c r="AB441" s="66"/>
      <c r="AC441" s="66"/>
      <c r="AD441" s="66"/>
      <c r="AE441" s="66"/>
      <c r="AF441" s="66"/>
      <c r="AG441" s="66"/>
      <c r="CF441" s="68"/>
    </row>
    <row r="442" spans="1:84" ht="17.399999999999999" x14ac:dyDescent="0.35">
      <c r="A442" s="67"/>
      <c r="B442" s="67"/>
      <c r="C442" s="66"/>
      <c r="D442" s="66"/>
      <c r="E442" s="66"/>
      <c r="F442" s="66"/>
      <c r="G442" s="66"/>
      <c r="H442" s="66"/>
      <c r="I442" s="66"/>
      <c r="J442" s="66"/>
      <c r="K442" s="66"/>
      <c r="L442" s="66"/>
      <c r="M442" s="66"/>
      <c r="N442" s="66"/>
      <c r="O442" s="66"/>
      <c r="P442" s="66"/>
      <c r="Q442" s="66"/>
      <c r="R442" s="66"/>
      <c r="S442" s="66"/>
      <c r="T442" s="66"/>
      <c r="U442" s="66"/>
      <c r="V442" s="66"/>
      <c r="W442" s="66"/>
      <c r="X442" s="66"/>
      <c r="Y442" s="66"/>
      <c r="Z442" s="66"/>
      <c r="AA442" s="66"/>
      <c r="AB442" s="66"/>
      <c r="AC442" s="66"/>
      <c r="AD442" s="66"/>
      <c r="AE442" s="66"/>
      <c r="AF442" s="66"/>
      <c r="AG442" s="66"/>
      <c r="CF442" s="68"/>
    </row>
    <row r="443" spans="1:84" ht="17.399999999999999" x14ac:dyDescent="0.35">
      <c r="A443" s="67"/>
      <c r="B443" s="67"/>
      <c r="C443" s="66"/>
      <c r="D443" s="66"/>
      <c r="E443" s="66"/>
      <c r="F443" s="66"/>
      <c r="G443" s="66"/>
      <c r="H443" s="66"/>
      <c r="I443" s="66"/>
      <c r="J443" s="66"/>
      <c r="K443" s="66"/>
      <c r="L443" s="66"/>
      <c r="M443" s="66"/>
      <c r="N443" s="66"/>
      <c r="O443" s="66"/>
      <c r="P443" s="66"/>
      <c r="Q443" s="66"/>
      <c r="R443" s="66"/>
      <c r="S443" s="66"/>
      <c r="T443" s="66"/>
      <c r="U443" s="66"/>
      <c r="V443" s="66"/>
      <c r="W443" s="66"/>
      <c r="X443" s="66"/>
      <c r="Y443" s="66"/>
      <c r="Z443" s="66"/>
      <c r="AA443" s="66"/>
      <c r="AB443" s="66"/>
      <c r="AC443" s="66"/>
      <c r="AD443" s="66"/>
      <c r="AE443" s="66"/>
      <c r="AF443" s="66"/>
      <c r="AG443" s="66"/>
      <c r="CF443" s="68"/>
    </row>
    <row r="444" spans="1:84" ht="17.399999999999999" x14ac:dyDescent="0.35">
      <c r="A444" s="67"/>
      <c r="B444" s="67"/>
      <c r="C444" s="66"/>
      <c r="D444" s="66"/>
      <c r="E444" s="66"/>
      <c r="F444" s="66"/>
      <c r="G444" s="66"/>
      <c r="H444" s="66"/>
      <c r="I444" s="66"/>
      <c r="J444" s="66"/>
      <c r="K444" s="66"/>
      <c r="L444" s="66"/>
      <c r="M444" s="66"/>
      <c r="N444" s="66"/>
      <c r="O444" s="66"/>
      <c r="P444" s="66"/>
      <c r="Q444" s="66"/>
      <c r="R444" s="66"/>
      <c r="S444" s="66"/>
      <c r="T444" s="66"/>
      <c r="U444" s="66"/>
      <c r="V444" s="66"/>
      <c r="W444" s="66"/>
      <c r="X444" s="66"/>
      <c r="Y444" s="66"/>
      <c r="Z444" s="66"/>
      <c r="AA444" s="66"/>
      <c r="AB444" s="66"/>
      <c r="AC444" s="66"/>
      <c r="AD444" s="66"/>
      <c r="AE444" s="66"/>
      <c r="AF444" s="66"/>
      <c r="AG444" s="66"/>
      <c r="CF444" s="68"/>
    </row>
    <row r="445" spans="1:84" ht="17.399999999999999" x14ac:dyDescent="0.35">
      <c r="A445" s="67"/>
      <c r="B445" s="67"/>
      <c r="C445" s="66"/>
      <c r="D445" s="66"/>
      <c r="E445" s="66"/>
      <c r="F445" s="66"/>
      <c r="G445" s="66"/>
      <c r="H445" s="66"/>
      <c r="I445" s="66"/>
      <c r="J445" s="66"/>
      <c r="K445" s="66"/>
      <c r="L445" s="66"/>
      <c r="M445" s="66"/>
      <c r="N445" s="66"/>
      <c r="O445" s="66"/>
      <c r="P445" s="66"/>
      <c r="Q445" s="66"/>
      <c r="R445" s="66"/>
      <c r="S445" s="66"/>
      <c r="T445" s="66"/>
      <c r="U445" s="66"/>
      <c r="V445" s="66"/>
      <c r="W445" s="66"/>
      <c r="X445" s="66"/>
      <c r="Y445" s="66"/>
      <c r="Z445" s="66"/>
      <c r="AA445" s="66"/>
      <c r="AB445" s="66"/>
      <c r="AC445" s="66"/>
      <c r="AD445" s="66"/>
      <c r="AE445" s="66"/>
      <c r="AF445" s="66"/>
      <c r="AG445" s="66"/>
      <c r="CF445" s="68"/>
    </row>
    <row r="446" spans="1:84" ht="17.399999999999999" x14ac:dyDescent="0.35">
      <c r="A446" s="67"/>
      <c r="B446" s="67"/>
      <c r="C446" s="66"/>
      <c r="D446" s="66"/>
      <c r="E446" s="66"/>
      <c r="F446" s="66"/>
      <c r="G446" s="66"/>
      <c r="H446" s="66"/>
      <c r="I446" s="66"/>
      <c r="J446" s="66"/>
      <c r="K446" s="66"/>
      <c r="L446" s="66"/>
      <c r="M446" s="66"/>
      <c r="N446" s="66"/>
      <c r="O446" s="66"/>
      <c r="P446" s="66"/>
      <c r="Q446" s="66"/>
      <c r="R446" s="66"/>
      <c r="S446" s="66"/>
      <c r="T446" s="66"/>
      <c r="U446" s="66"/>
      <c r="V446" s="66"/>
      <c r="W446" s="66"/>
      <c r="X446" s="66"/>
      <c r="Y446" s="66"/>
      <c r="Z446" s="66"/>
      <c r="AA446" s="66"/>
      <c r="AB446" s="66"/>
      <c r="AC446" s="66"/>
      <c r="AD446" s="66"/>
      <c r="AE446" s="66"/>
      <c r="AF446" s="66"/>
      <c r="AG446" s="66"/>
      <c r="CF446" s="68"/>
    </row>
    <row r="447" spans="1:84" ht="17.399999999999999" x14ac:dyDescent="0.35">
      <c r="A447" s="67"/>
      <c r="B447" s="67"/>
      <c r="C447" s="66"/>
      <c r="D447" s="66"/>
      <c r="E447" s="66"/>
      <c r="F447" s="66"/>
      <c r="G447" s="66"/>
      <c r="H447" s="66"/>
      <c r="I447" s="66"/>
      <c r="J447" s="66"/>
      <c r="K447" s="66"/>
      <c r="L447" s="66"/>
      <c r="M447" s="66"/>
      <c r="N447" s="66"/>
      <c r="O447" s="66"/>
      <c r="P447" s="66"/>
      <c r="Q447" s="66"/>
      <c r="R447" s="66"/>
      <c r="S447" s="66"/>
      <c r="T447" s="66"/>
      <c r="U447" s="66"/>
      <c r="V447" s="66"/>
      <c r="W447" s="66"/>
      <c r="X447" s="66"/>
      <c r="Y447" s="66"/>
      <c r="Z447" s="66"/>
      <c r="AA447" s="66"/>
      <c r="AB447" s="66"/>
      <c r="AC447" s="66"/>
      <c r="AD447" s="66"/>
      <c r="AE447" s="66"/>
      <c r="AF447" s="66"/>
      <c r="AG447" s="66"/>
      <c r="CF447" s="68"/>
    </row>
    <row r="448" spans="1:84" ht="17.399999999999999" x14ac:dyDescent="0.35">
      <c r="A448" s="67"/>
      <c r="B448" s="67"/>
      <c r="C448" s="66"/>
      <c r="D448" s="66"/>
      <c r="E448" s="66"/>
      <c r="F448" s="66"/>
      <c r="G448" s="66"/>
      <c r="H448" s="66"/>
      <c r="I448" s="66"/>
      <c r="J448" s="66"/>
      <c r="K448" s="66"/>
      <c r="L448" s="66"/>
      <c r="M448" s="66"/>
      <c r="N448" s="66"/>
      <c r="O448" s="66"/>
      <c r="P448" s="66"/>
      <c r="Q448" s="66"/>
      <c r="R448" s="66"/>
      <c r="S448" s="66"/>
      <c r="T448" s="66"/>
      <c r="U448" s="66"/>
      <c r="V448" s="66"/>
      <c r="W448" s="66"/>
      <c r="X448" s="66"/>
      <c r="Y448" s="66"/>
      <c r="Z448" s="66"/>
      <c r="AA448" s="66"/>
      <c r="AB448" s="66"/>
      <c r="AC448" s="66"/>
      <c r="AD448" s="66"/>
      <c r="AE448" s="66"/>
      <c r="AF448" s="66"/>
      <c r="AG448" s="66"/>
      <c r="CF448" s="68"/>
    </row>
    <row r="449" spans="1:84" ht="17.399999999999999" x14ac:dyDescent="0.35">
      <c r="A449" s="67"/>
      <c r="B449" s="67"/>
      <c r="C449" s="66"/>
      <c r="D449" s="66"/>
      <c r="E449" s="66"/>
      <c r="F449" s="66"/>
      <c r="G449" s="66"/>
      <c r="H449" s="66"/>
      <c r="I449" s="66"/>
      <c r="J449" s="66"/>
      <c r="K449" s="66"/>
      <c r="L449" s="66"/>
      <c r="M449" s="66"/>
      <c r="N449" s="66"/>
      <c r="O449" s="66"/>
      <c r="P449" s="66"/>
      <c r="Q449" s="66"/>
      <c r="R449" s="66"/>
      <c r="S449" s="66"/>
      <c r="T449" s="66"/>
      <c r="U449" s="66"/>
      <c r="V449" s="66"/>
      <c r="W449" s="66"/>
      <c r="X449" s="66"/>
      <c r="Y449" s="66"/>
      <c r="Z449" s="66"/>
      <c r="AA449" s="66"/>
      <c r="AB449" s="66"/>
      <c r="AC449" s="66"/>
      <c r="AD449" s="66"/>
      <c r="AE449" s="66"/>
      <c r="AF449" s="66"/>
      <c r="AG449" s="66"/>
      <c r="CF449" s="68"/>
    </row>
    <row r="450" spans="1:84" ht="17.399999999999999" x14ac:dyDescent="0.35">
      <c r="A450" s="67"/>
      <c r="B450" s="67"/>
      <c r="C450" s="66"/>
      <c r="D450" s="66"/>
      <c r="E450" s="66"/>
      <c r="F450" s="66"/>
      <c r="G450" s="66"/>
      <c r="H450" s="66"/>
      <c r="I450" s="66"/>
      <c r="J450" s="66"/>
      <c r="K450" s="66"/>
      <c r="L450" s="66"/>
      <c r="M450" s="66"/>
      <c r="N450" s="66"/>
      <c r="O450" s="66"/>
      <c r="P450" s="66"/>
      <c r="Q450" s="66"/>
      <c r="R450" s="66"/>
      <c r="S450" s="66"/>
      <c r="T450" s="66"/>
      <c r="U450" s="66"/>
      <c r="V450" s="66"/>
      <c r="W450" s="66"/>
      <c r="X450" s="66"/>
      <c r="Y450" s="66"/>
      <c r="Z450" s="66"/>
      <c r="AA450" s="66"/>
      <c r="AB450" s="66"/>
      <c r="AC450" s="66"/>
      <c r="AD450" s="66"/>
      <c r="AE450" s="66"/>
      <c r="AF450" s="66"/>
      <c r="AG450" s="66"/>
      <c r="CF450" s="68"/>
    </row>
    <row r="451" spans="1:84" ht="17.399999999999999" x14ac:dyDescent="0.35">
      <c r="A451" s="67"/>
      <c r="B451" s="67"/>
      <c r="C451" s="66"/>
      <c r="D451" s="66"/>
      <c r="E451" s="66"/>
      <c r="F451" s="66"/>
      <c r="G451" s="66"/>
      <c r="H451" s="66"/>
      <c r="I451" s="66"/>
      <c r="J451" s="66"/>
      <c r="K451" s="66"/>
      <c r="L451" s="66"/>
      <c r="M451" s="66"/>
      <c r="N451" s="66"/>
      <c r="O451" s="66"/>
      <c r="P451" s="66"/>
      <c r="Q451" s="66"/>
      <c r="R451" s="66"/>
      <c r="S451" s="66"/>
      <c r="T451" s="66"/>
      <c r="U451" s="66"/>
      <c r="V451" s="66"/>
      <c r="W451" s="66"/>
      <c r="X451" s="66"/>
      <c r="Y451" s="66"/>
      <c r="Z451" s="66"/>
      <c r="AA451" s="66"/>
      <c r="AB451" s="66"/>
      <c r="AC451" s="66"/>
      <c r="AD451" s="66"/>
      <c r="AE451" s="66"/>
      <c r="AF451" s="66"/>
      <c r="AG451" s="66"/>
      <c r="CF451" s="68"/>
    </row>
    <row r="452" spans="1:84" ht="17.399999999999999" x14ac:dyDescent="0.35">
      <c r="A452" s="67"/>
      <c r="B452" s="67"/>
      <c r="C452" s="66"/>
      <c r="D452" s="66"/>
      <c r="E452" s="66"/>
      <c r="F452" s="66"/>
      <c r="G452" s="66"/>
      <c r="H452" s="66"/>
      <c r="I452" s="66"/>
      <c r="J452" s="66"/>
      <c r="K452" s="66"/>
      <c r="L452" s="66"/>
      <c r="M452" s="66"/>
      <c r="N452" s="66"/>
      <c r="O452" s="66"/>
      <c r="P452" s="66"/>
      <c r="Q452" s="66"/>
      <c r="R452" s="66"/>
      <c r="S452" s="66"/>
      <c r="T452" s="66"/>
      <c r="U452" s="66"/>
      <c r="V452" s="66"/>
      <c r="W452" s="66"/>
      <c r="X452" s="66"/>
      <c r="Y452" s="66"/>
      <c r="Z452" s="66"/>
      <c r="AA452" s="66"/>
      <c r="AB452" s="66"/>
      <c r="AC452" s="66"/>
      <c r="AD452" s="66"/>
      <c r="AE452" s="66"/>
      <c r="AF452" s="66"/>
      <c r="AG452" s="66"/>
      <c r="CF452" s="68"/>
    </row>
    <row r="453" spans="1:84" ht="17.399999999999999" x14ac:dyDescent="0.35">
      <c r="A453" s="67"/>
      <c r="B453" s="67"/>
      <c r="C453" s="66"/>
      <c r="D453" s="66"/>
      <c r="E453" s="66"/>
      <c r="F453" s="66"/>
      <c r="G453" s="66"/>
      <c r="H453" s="66"/>
      <c r="I453" s="66"/>
      <c r="J453" s="66"/>
      <c r="K453" s="66"/>
      <c r="L453" s="66"/>
      <c r="M453" s="66"/>
      <c r="N453" s="66"/>
      <c r="O453" s="66"/>
      <c r="P453" s="66"/>
      <c r="Q453" s="66"/>
      <c r="R453" s="66"/>
      <c r="S453" s="66"/>
      <c r="T453" s="66"/>
      <c r="U453" s="66"/>
      <c r="V453" s="66"/>
      <c r="W453" s="66"/>
      <c r="X453" s="66"/>
      <c r="Y453" s="66"/>
      <c r="Z453" s="66"/>
      <c r="AA453" s="66"/>
      <c r="AB453" s="66"/>
      <c r="AC453" s="66"/>
      <c r="AD453" s="66"/>
      <c r="AE453" s="66"/>
      <c r="AF453" s="66"/>
      <c r="AG453" s="66"/>
      <c r="CF453" s="68"/>
    </row>
    <row r="454" spans="1:84" ht="17.399999999999999" x14ac:dyDescent="0.35">
      <c r="A454" s="67"/>
      <c r="B454" s="67"/>
      <c r="C454" s="66"/>
      <c r="D454" s="66"/>
      <c r="E454" s="66"/>
      <c r="F454" s="66"/>
      <c r="G454" s="66"/>
      <c r="H454" s="66"/>
      <c r="I454" s="66"/>
      <c r="J454" s="66"/>
      <c r="K454" s="66"/>
      <c r="L454" s="66"/>
      <c r="M454" s="66"/>
      <c r="N454" s="66"/>
      <c r="O454" s="66"/>
      <c r="P454" s="66"/>
      <c r="Q454" s="66"/>
      <c r="R454" s="66"/>
      <c r="S454" s="66"/>
      <c r="T454" s="66"/>
      <c r="U454" s="66"/>
      <c r="V454" s="66"/>
      <c r="W454" s="66"/>
      <c r="X454" s="66"/>
      <c r="Y454" s="66"/>
      <c r="Z454" s="66"/>
      <c r="AA454" s="66"/>
      <c r="AB454" s="66"/>
      <c r="AC454" s="66"/>
      <c r="AD454" s="66"/>
      <c r="AE454" s="66"/>
      <c r="AF454" s="66"/>
      <c r="AG454" s="66"/>
      <c r="CF454" s="68"/>
    </row>
    <row r="455" spans="1:84" ht="17.399999999999999" x14ac:dyDescent="0.35">
      <c r="A455" s="67"/>
      <c r="B455" s="67"/>
      <c r="C455" s="66"/>
      <c r="D455" s="66"/>
      <c r="E455" s="66"/>
      <c r="F455" s="66"/>
      <c r="G455" s="66"/>
      <c r="H455" s="66"/>
      <c r="I455" s="66"/>
      <c r="J455" s="66"/>
      <c r="K455" s="66"/>
      <c r="L455" s="66"/>
      <c r="M455" s="66"/>
      <c r="N455" s="66"/>
      <c r="O455" s="66"/>
      <c r="P455" s="66"/>
      <c r="Q455" s="66"/>
      <c r="R455" s="66"/>
      <c r="S455" s="66"/>
      <c r="T455" s="66"/>
      <c r="U455" s="66"/>
      <c r="V455" s="66"/>
      <c r="W455" s="66"/>
      <c r="X455" s="66"/>
      <c r="Y455" s="66"/>
      <c r="Z455" s="66"/>
      <c r="AA455" s="66"/>
      <c r="AB455" s="66"/>
      <c r="AC455" s="66"/>
      <c r="AD455" s="66"/>
      <c r="AE455" s="66"/>
      <c r="AF455" s="66"/>
      <c r="AG455" s="66"/>
      <c r="CF455" s="68"/>
    </row>
    <row r="456" spans="1:84" ht="17.399999999999999" x14ac:dyDescent="0.35">
      <c r="A456" s="67"/>
      <c r="B456" s="67"/>
      <c r="C456" s="66"/>
      <c r="D456" s="66"/>
      <c r="E456" s="66"/>
      <c r="F456" s="66"/>
      <c r="G456" s="66"/>
      <c r="H456" s="66"/>
      <c r="I456" s="66"/>
      <c r="J456" s="66"/>
      <c r="K456" s="66"/>
      <c r="L456" s="66"/>
      <c r="M456" s="66"/>
      <c r="N456" s="66"/>
      <c r="O456" s="66"/>
      <c r="P456" s="66"/>
      <c r="Q456" s="66"/>
      <c r="R456" s="66"/>
      <c r="S456" s="66"/>
      <c r="T456" s="66"/>
      <c r="U456" s="66"/>
      <c r="V456" s="66"/>
      <c r="W456" s="66"/>
      <c r="X456" s="66"/>
      <c r="Y456" s="66"/>
      <c r="Z456" s="66"/>
      <c r="AA456" s="66"/>
      <c r="AB456" s="66"/>
      <c r="AC456" s="66"/>
      <c r="AD456" s="66"/>
      <c r="AE456" s="66"/>
      <c r="AF456" s="66"/>
      <c r="AG456" s="66"/>
      <c r="CF456" s="68"/>
    </row>
    <row r="457" spans="1:84" ht="17.399999999999999" x14ac:dyDescent="0.35">
      <c r="A457" s="67"/>
      <c r="B457" s="67"/>
      <c r="C457" s="66"/>
      <c r="D457" s="66"/>
      <c r="E457" s="66"/>
      <c r="F457" s="66"/>
      <c r="G457" s="66"/>
      <c r="H457" s="66"/>
      <c r="I457" s="66"/>
      <c r="J457" s="66"/>
      <c r="K457" s="66"/>
      <c r="L457" s="66"/>
      <c r="M457" s="66"/>
      <c r="N457" s="66"/>
      <c r="O457" s="66"/>
      <c r="P457" s="66"/>
      <c r="Q457" s="66"/>
      <c r="R457" s="66"/>
      <c r="S457" s="66"/>
      <c r="T457" s="66"/>
      <c r="U457" s="66"/>
      <c r="V457" s="66"/>
      <c r="W457" s="66"/>
      <c r="X457" s="66"/>
      <c r="Y457" s="66"/>
      <c r="Z457" s="66"/>
      <c r="AA457" s="66"/>
      <c r="AB457" s="66"/>
      <c r="AC457" s="66"/>
      <c r="AD457" s="66"/>
      <c r="AE457" s="66"/>
      <c r="AF457" s="66"/>
      <c r="AG457" s="66"/>
      <c r="CF457" s="68"/>
    </row>
    <row r="458" spans="1:84" ht="17.399999999999999" x14ac:dyDescent="0.35">
      <c r="A458" s="67"/>
      <c r="B458" s="67"/>
      <c r="C458" s="66"/>
      <c r="D458" s="66"/>
      <c r="E458" s="66"/>
      <c r="F458" s="66"/>
      <c r="G458" s="66"/>
      <c r="H458" s="66"/>
      <c r="I458" s="66"/>
      <c r="J458" s="66"/>
      <c r="K458" s="66"/>
      <c r="L458" s="66"/>
      <c r="M458" s="66"/>
      <c r="N458" s="66"/>
      <c r="O458" s="66"/>
      <c r="P458" s="66"/>
      <c r="Q458" s="66"/>
      <c r="R458" s="66"/>
      <c r="S458" s="66"/>
      <c r="T458" s="66"/>
      <c r="U458" s="66"/>
      <c r="V458" s="66"/>
      <c r="W458" s="66"/>
      <c r="X458" s="66"/>
      <c r="Y458" s="66"/>
      <c r="Z458" s="66"/>
      <c r="AA458" s="66"/>
      <c r="AB458" s="66"/>
      <c r="AC458" s="66"/>
      <c r="AD458" s="66"/>
      <c r="AE458" s="66"/>
      <c r="AF458" s="66"/>
      <c r="AG458" s="66"/>
      <c r="CF458" s="68"/>
    </row>
    <row r="459" spans="1:84" ht="17.399999999999999" x14ac:dyDescent="0.35">
      <c r="A459" s="67"/>
      <c r="B459" s="67"/>
      <c r="C459" s="66"/>
      <c r="D459" s="66"/>
      <c r="E459" s="66"/>
      <c r="F459" s="66"/>
      <c r="G459" s="66"/>
      <c r="H459" s="66"/>
      <c r="I459" s="66"/>
      <c r="J459" s="66"/>
      <c r="K459" s="66"/>
      <c r="L459" s="66"/>
      <c r="M459" s="66"/>
      <c r="N459" s="66"/>
      <c r="O459" s="66"/>
      <c r="P459" s="66"/>
      <c r="Q459" s="66"/>
      <c r="R459" s="66"/>
      <c r="S459" s="66"/>
      <c r="T459" s="66"/>
      <c r="U459" s="66"/>
      <c r="V459" s="66"/>
      <c r="W459" s="66"/>
      <c r="X459" s="66"/>
      <c r="Y459" s="66"/>
      <c r="Z459" s="66"/>
      <c r="AA459" s="66"/>
      <c r="AB459" s="66"/>
      <c r="AC459" s="66"/>
      <c r="AD459" s="66"/>
      <c r="AE459" s="66"/>
      <c r="AF459" s="66"/>
      <c r="AG459" s="66"/>
      <c r="CF459" s="68"/>
    </row>
    <row r="460" spans="1:84" ht="17.399999999999999" x14ac:dyDescent="0.35">
      <c r="A460" s="67"/>
      <c r="B460" s="67"/>
      <c r="C460" s="66"/>
      <c r="D460" s="66"/>
      <c r="E460" s="66"/>
      <c r="F460" s="66"/>
      <c r="G460" s="66"/>
      <c r="H460" s="66"/>
      <c r="I460" s="66"/>
      <c r="J460" s="66"/>
      <c r="K460" s="66"/>
      <c r="L460" s="66"/>
      <c r="M460" s="66"/>
      <c r="N460" s="66"/>
      <c r="O460" s="66"/>
      <c r="P460" s="66"/>
      <c r="Q460" s="66"/>
      <c r="R460" s="66"/>
      <c r="S460" s="66"/>
      <c r="T460" s="66"/>
      <c r="U460" s="66"/>
      <c r="V460" s="66"/>
      <c r="W460" s="66"/>
      <c r="X460" s="66"/>
      <c r="Y460" s="66"/>
      <c r="Z460" s="66"/>
      <c r="AA460" s="66"/>
      <c r="AB460" s="66"/>
      <c r="AC460" s="66"/>
      <c r="AD460" s="66"/>
      <c r="AE460" s="66"/>
      <c r="AF460" s="66"/>
      <c r="AG460" s="66"/>
      <c r="CF460" s="68"/>
    </row>
    <row r="461" spans="1:84" ht="17.399999999999999" x14ac:dyDescent="0.35">
      <c r="A461" s="67"/>
      <c r="B461" s="67"/>
      <c r="C461" s="66"/>
      <c r="D461" s="66"/>
      <c r="E461" s="66"/>
      <c r="F461" s="66"/>
      <c r="G461" s="66"/>
      <c r="H461" s="66"/>
      <c r="I461" s="66"/>
      <c r="J461" s="66"/>
      <c r="K461" s="66"/>
      <c r="L461" s="66"/>
      <c r="M461" s="66"/>
      <c r="N461" s="66"/>
      <c r="O461" s="66"/>
      <c r="P461" s="66"/>
      <c r="Q461" s="66"/>
      <c r="R461" s="66"/>
      <c r="S461" s="66"/>
      <c r="T461" s="66"/>
      <c r="U461" s="66"/>
      <c r="V461" s="66"/>
      <c r="W461" s="66"/>
      <c r="X461" s="66"/>
      <c r="Y461" s="66"/>
      <c r="Z461" s="66"/>
      <c r="AA461" s="66"/>
      <c r="AB461" s="66"/>
      <c r="AC461" s="66"/>
      <c r="AD461" s="66"/>
      <c r="AE461" s="66"/>
      <c r="AF461" s="66"/>
      <c r="AG461" s="66"/>
      <c r="CF461" s="68"/>
    </row>
    <row r="462" spans="1:84" ht="17.399999999999999" x14ac:dyDescent="0.35">
      <c r="A462" s="67"/>
      <c r="B462" s="67"/>
      <c r="C462" s="66"/>
      <c r="D462" s="66"/>
      <c r="E462" s="66"/>
      <c r="F462" s="66"/>
      <c r="G462" s="66"/>
      <c r="H462" s="66"/>
      <c r="I462" s="66"/>
      <c r="J462" s="66"/>
      <c r="K462" s="66"/>
      <c r="L462" s="66"/>
      <c r="M462" s="66"/>
      <c r="N462" s="66"/>
      <c r="O462" s="66"/>
      <c r="P462" s="66"/>
      <c r="Q462" s="66"/>
      <c r="R462" s="66"/>
      <c r="S462" s="66"/>
      <c r="T462" s="66"/>
      <c r="U462" s="66"/>
      <c r="V462" s="66"/>
      <c r="W462" s="66"/>
      <c r="X462" s="66"/>
      <c r="Y462" s="66"/>
      <c r="Z462" s="66"/>
      <c r="AA462" s="66"/>
      <c r="AB462" s="66"/>
      <c r="AC462" s="66"/>
      <c r="AD462" s="66"/>
      <c r="AE462" s="66"/>
      <c r="AF462" s="66"/>
      <c r="AG462" s="66"/>
      <c r="CF462" s="68"/>
    </row>
    <row r="463" spans="1:84" ht="17.399999999999999" x14ac:dyDescent="0.35">
      <c r="A463" s="67"/>
      <c r="B463" s="67"/>
      <c r="C463" s="66"/>
      <c r="D463" s="66"/>
      <c r="E463" s="66"/>
      <c r="F463" s="66"/>
      <c r="G463" s="66"/>
      <c r="H463" s="66"/>
      <c r="I463" s="66"/>
      <c r="J463" s="66"/>
      <c r="K463" s="66"/>
      <c r="L463" s="66"/>
      <c r="M463" s="66"/>
      <c r="N463" s="66"/>
      <c r="O463" s="66"/>
      <c r="P463" s="66"/>
      <c r="Q463" s="66"/>
      <c r="R463" s="66"/>
      <c r="S463" s="66"/>
      <c r="T463" s="66"/>
      <c r="U463" s="66"/>
      <c r="V463" s="66"/>
      <c r="W463" s="66"/>
      <c r="X463" s="66"/>
      <c r="Y463" s="66"/>
      <c r="Z463" s="66"/>
      <c r="AA463" s="66"/>
      <c r="AB463" s="66"/>
      <c r="AC463" s="66"/>
      <c r="AD463" s="66"/>
      <c r="AE463" s="66"/>
      <c r="AF463" s="66"/>
      <c r="AG463" s="66"/>
      <c r="CF463" s="68"/>
    </row>
    <row r="464" spans="1:84" ht="17.399999999999999" x14ac:dyDescent="0.35">
      <c r="A464" s="67"/>
      <c r="B464" s="67"/>
      <c r="C464" s="66"/>
      <c r="D464" s="66"/>
      <c r="E464" s="66"/>
      <c r="F464" s="66"/>
      <c r="G464" s="66"/>
      <c r="H464" s="66"/>
      <c r="I464" s="66"/>
      <c r="J464" s="66"/>
      <c r="K464" s="66"/>
      <c r="L464" s="66"/>
      <c r="M464" s="66"/>
      <c r="N464" s="66"/>
      <c r="O464" s="66"/>
      <c r="P464" s="66"/>
      <c r="Q464" s="66"/>
      <c r="R464" s="66"/>
      <c r="S464" s="66"/>
      <c r="T464" s="66"/>
      <c r="U464" s="66"/>
      <c r="V464" s="66"/>
      <c r="W464" s="66"/>
      <c r="X464" s="66"/>
      <c r="Y464" s="66"/>
      <c r="Z464" s="66"/>
      <c r="AA464" s="66"/>
      <c r="AB464" s="66"/>
      <c r="AC464" s="66"/>
      <c r="AD464" s="66"/>
      <c r="AE464" s="66"/>
      <c r="AF464" s="66"/>
      <c r="AG464" s="66"/>
      <c r="CF464" s="68"/>
    </row>
    <row r="465" spans="1:84" ht="17.399999999999999" x14ac:dyDescent="0.35">
      <c r="A465" s="67"/>
      <c r="B465" s="67"/>
      <c r="C465" s="66"/>
      <c r="D465" s="66"/>
      <c r="E465" s="66"/>
      <c r="F465" s="66"/>
      <c r="G465" s="66"/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AA465" s="66"/>
      <c r="AB465" s="66"/>
      <c r="AC465" s="66"/>
      <c r="AD465" s="66"/>
      <c r="AE465" s="66"/>
      <c r="AF465" s="66"/>
      <c r="AG465" s="66"/>
      <c r="CF465" s="68"/>
    </row>
    <row r="466" spans="1:84" ht="17.399999999999999" x14ac:dyDescent="0.35">
      <c r="A466" s="67"/>
      <c r="B466" s="67"/>
      <c r="C466" s="66"/>
      <c r="D466" s="66"/>
      <c r="E466" s="66"/>
      <c r="F466" s="66"/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AA466" s="66"/>
      <c r="AB466" s="66"/>
      <c r="AC466" s="66"/>
      <c r="AD466" s="66"/>
      <c r="AE466" s="66"/>
      <c r="AF466" s="66"/>
      <c r="AG466" s="66"/>
      <c r="CF466" s="68"/>
    </row>
    <row r="467" spans="1:84" ht="17.399999999999999" x14ac:dyDescent="0.35">
      <c r="A467" s="67"/>
      <c r="B467" s="67"/>
      <c r="C467" s="66"/>
      <c r="D467" s="66"/>
      <c r="E467" s="66"/>
      <c r="F467" s="66"/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AA467" s="66"/>
      <c r="AB467" s="66"/>
      <c r="AC467" s="66"/>
      <c r="AD467" s="66"/>
      <c r="AE467" s="66"/>
      <c r="AF467" s="66"/>
      <c r="AG467" s="66"/>
      <c r="CF467" s="68"/>
    </row>
    <row r="468" spans="1:84" ht="17.399999999999999" x14ac:dyDescent="0.35">
      <c r="A468" s="67"/>
      <c r="B468" s="67"/>
      <c r="C468" s="66"/>
      <c r="D468" s="66"/>
      <c r="E468" s="66"/>
      <c r="F468" s="66"/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AA468" s="66"/>
      <c r="AB468" s="66"/>
      <c r="AC468" s="66"/>
      <c r="AD468" s="66"/>
      <c r="AE468" s="66"/>
      <c r="AF468" s="66"/>
      <c r="AG468" s="66"/>
      <c r="CF468" s="68"/>
    </row>
    <row r="469" spans="1:84" ht="17.399999999999999" x14ac:dyDescent="0.35">
      <c r="A469" s="67"/>
      <c r="B469" s="67"/>
      <c r="C469" s="66"/>
      <c r="D469" s="66"/>
      <c r="E469" s="66"/>
      <c r="F469" s="66"/>
      <c r="G469" s="66"/>
      <c r="H469" s="66"/>
      <c r="I469" s="66"/>
      <c r="J469" s="66"/>
      <c r="K469" s="66"/>
      <c r="L469" s="66"/>
      <c r="M469" s="66"/>
      <c r="N469" s="66"/>
      <c r="O469" s="66"/>
      <c r="P469" s="66"/>
      <c r="Q469" s="66"/>
      <c r="R469" s="66"/>
      <c r="S469" s="66"/>
      <c r="T469" s="66"/>
      <c r="U469" s="66"/>
      <c r="V469" s="66"/>
      <c r="W469" s="66"/>
      <c r="X469" s="66"/>
      <c r="Y469" s="66"/>
      <c r="Z469" s="66"/>
      <c r="AA469" s="66"/>
      <c r="AB469" s="66"/>
      <c r="AC469" s="66"/>
      <c r="AD469" s="66"/>
      <c r="AE469" s="66"/>
      <c r="AF469" s="66"/>
      <c r="AG469" s="66"/>
      <c r="CF469" s="68"/>
    </row>
    <row r="470" spans="1:84" ht="17.399999999999999" x14ac:dyDescent="0.35">
      <c r="A470" s="67"/>
      <c r="B470" s="67"/>
      <c r="C470" s="66"/>
      <c r="D470" s="66"/>
      <c r="E470" s="66"/>
      <c r="F470" s="66"/>
      <c r="G470" s="66"/>
      <c r="H470" s="66"/>
      <c r="I470" s="66"/>
      <c r="J470" s="66"/>
      <c r="K470" s="66"/>
      <c r="L470" s="66"/>
      <c r="M470" s="66"/>
      <c r="N470" s="66"/>
      <c r="O470" s="66"/>
      <c r="P470" s="66"/>
      <c r="Q470" s="66"/>
      <c r="R470" s="66"/>
      <c r="S470" s="66"/>
      <c r="T470" s="66"/>
      <c r="U470" s="66"/>
      <c r="V470" s="66"/>
      <c r="W470" s="66"/>
      <c r="X470" s="66"/>
      <c r="Y470" s="66"/>
      <c r="Z470" s="66"/>
      <c r="AA470" s="66"/>
      <c r="AB470" s="66"/>
      <c r="AC470" s="66"/>
      <c r="AD470" s="66"/>
      <c r="AE470" s="66"/>
      <c r="AF470" s="66"/>
      <c r="AG470" s="66"/>
      <c r="CF470" s="68"/>
    </row>
    <row r="471" spans="1:84" ht="17.399999999999999" x14ac:dyDescent="0.35">
      <c r="A471" s="67"/>
      <c r="B471" s="67"/>
      <c r="C471" s="66"/>
      <c r="D471" s="66"/>
      <c r="E471" s="66"/>
      <c r="F471" s="66"/>
      <c r="G471" s="66"/>
      <c r="H471" s="66"/>
      <c r="I471" s="66"/>
      <c r="J471" s="66"/>
      <c r="K471" s="66"/>
      <c r="L471" s="66"/>
      <c r="M471" s="66"/>
      <c r="N471" s="66"/>
      <c r="O471" s="66"/>
      <c r="P471" s="66"/>
      <c r="Q471" s="66"/>
      <c r="R471" s="66"/>
      <c r="S471" s="66"/>
      <c r="T471" s="66"/>
      <c r="U471" s="66"/>
      <c r="V471" s="66"/>
      <c r="W471" s="66"/>
      <c r="X471" s="66"/>
      <c r="Y471" s="66"/>
      <c r="Z471" s="66"/>
      <c r="AA471" s="66"/>
      <c r="AB471" s="66"/>
      <c r="AC471" s="66"/>
      <c r="AD471" s="66"/>
      <c r="AE471" s="66"/>
      <c r="AF471" s="66"/>
      <c r="AG471" s="66"/>
      <c r="CF471" s="68"/>
    </row>
    <row r="472" spans="1:84" ht="17.399999999999999" x14ac:dyDescent="0.35">
      <c r="A472" s="67"/>
      <c r="B472" s="67"/>
      <c r="C472" s="66"/>
      <c r="D472" s="66"/>
      <c r="E472" s="66"/>
      <c r="F472" s="66"/>
      <c r="G472" s="66"/>
      <c r="H472" s="66"/>
      <c r="I472" s="66"/>
      <c r="J472" s="66"/>
      <c r="K472" s="66"/>
      <c r="L472" s="66"/>
      <c r="M472" s="66"/>
      <c r="N472" s="66"/>
      <c r="O472" s="66"/>
      <c r="P472" s="66"/>
      <c r="Q472" s="66"/>
      <c r="R472" s="66"/>
      <c r="S472" s="66"/>
      <c r="T472" s="66"/>
      <c r="U472" s="66"/>
      <c r="V472" s="66"/>
      <c r="W472" s="66"/>
      <c r="X472" s="66"/>
      <c r="Y472" s="66"/>
      <c r="Z472" s="66"/>
      <c r="AA472" s="66"/>
      <c r="AB472" s="66"/>
      <c r="AC472" s="66"/>
      <c r="AD472" s="66"/>
      <c r="AE472" s="66"/>
      <c r="AF472" s="66"/>
      <c r="AG472" s="66"/>
      <c r="CF472" s="68"/>
    </row>
    <row r="473" spans="1:84" ht="17.399999999999999" x14ac:dyDescent="0.35">
      <c r="A473" s="67"/>
      <c r="B473" s="67"/>
      <c r="C473" s="66"/>
      <c r="D473" s="66"/>
      <c r="E473" s="66"/>
      <c r="F473" s="66"/>
      <c r="G473" s="66"/>
      <c r="H473" s="66"/>
      <c r="I473" s="66"/>
      <c r="J473" s="66"/>
      <c r="K473" s="66"/>
      <c r="L473" s="66"/>
      <c r="M473" s="66"/>
      <c r="N473" s="66"/>
      <c r="O473" s="66"/>
      <c r="P473" s="66"/>
      <c r="Q473" s="66"/>
      <c r="R473" s="66"/>
      <c r="S473" s="66"/>
      <c r="T473" s="66"/>
      <c r="U473" s="66"/>
      <c r="V473" s="66"/>
      <c r="W473" s="66"/>
      <c r="X473" s="66"/>
      <c r="Y473" s="66"/>
      <c r="Z473" s="66"/>
      <c r="AA473" s="66"/>
      <c r="AB473" s="66"/>
      <c r="AC473" s="66"/>
      <c r="AD473" s="66"/>
      <c r="AE473" s="66"/>
      <c r="AF473" s="66"/>
      <c r="AG473" s="66"/>
      <c r="CF473" s="68"/>
    </row>
    <row r="474" spans="1:84" ht="17.399999999999999" x14ac:dyDescent="0.35">
      <c r="A474" s="67"/>
      <c r="B474" s="67"/>
      <c r="C474" s="66"/>
      <c r="D474" s="66"/>
      <c r="E474" s="66"/>
      <c r="F474" s="66"/>
      <c r="G474" s="66"/>
      <c r="H474" s="66"/>
      <c r="I474" s="66"/>
      <c r="J474" s="66"/>
      <c r="K474" s="66"/>
      <c r="L474" s="66"/>
      <c r="M474" s="66"/>
      <c r="N474" s="66"/>
      <c r="O474" s="66"/>
      <c r="P474" s="66"/>
      <c r="Q474" s="66"/>
      <c r="R474" s="66"/>
      <c r="S474" s="66"/>
      <c r="T474" s="66"/>
      <c r="U474" s="66"/>
      <c r="V474" s="66"/>
      <c r="W474" s="66"/>
      <c r="X474" s="66"/>
      <c r="Y474" s="66"/>
      <c r="Z474" s="66"/>
      <c r="AA474" s="66"/>
      <c r="AB474" s="66"/>
      <c r="AC474" s="66"/>
      <c r="AD474" s="66"/>
      <c r="AE474" s="66"/>
      <c r="AF474" s="66"/>
      <c r="AG474" s="66"/>
      <c r="CF474" s="68"/>
    </row>
    <row r="475" spans="1:84" ht="17.399999999999999" x14ac:dyDescent="0.35">
      <c r="A475" s="67"/>
      <c r="B475" s="67"/>
      <c r="C475" s="66"/>
      <c r="D475" s="66"/>
      <c r="E475" s="66"/>
      <c r="F475" s="66"/>
      <c r="G475" s="66"/>
      <c r="H475" s="66"/>
      <c r="I475" s="66"/>
      <c r="J475" s="66"/>
      <c r="K475" s="66"/>
      <c r="L475" s="66"/>
      <c r="M475" s="66"/>
      <c r="N475" s="66"/>
      <c r="O475" s="66"/>
      <c r="P475" s="66"/>
      <c r="Q475" s="66"/>
      <c r="R475" s="66"/>
      <c r="S475" s="66"/>
      <c r="T475" s="66"/>
      <c r="U475" s="66"/>
      <c r="V475" s="66"/>
      <c r="W475" s="66"/>
      <c r="X475" s="66"/>
      <c r="Y475" s="66"/>
      <c r="Z475" s="66"/>
      <c r="AA475" s="66"/>
      <c r="AB475" s="66"/>
      <c r="AC475" s="66"/>
      <c r="AD475" s="66"/>
      <c r="AE475" s="66"/>
      <c r="AF475" s="66"/>
      <c r="AG475" s="66"/>
      <c r="CF475" s="68"/>
    </row>
    <row r="476" spans="1:84" ht="17.399999999999999" x14ac:dyDescent="0.35">
      <c r="A476" s="67"/>
      <c r="B476" s="67"/>
      <c r="C476" s="66"/>
      <c r="D476" s="66"/>
      <c r="E476" s="66"/>
      <c r="F476" s="66"/>
      <c r="G476" s="66"/>
      <c r="H476" s="66"/>
      <c r="I476" s="66"/>
      <c r="J476" s="66"/>
      <c r="K476" s="66"/>
      <c r="L476" s="66"/>
      <c r="M476" s="66"/>
      <c r="N476" s="66"/>
      <c r="O476" s="66"/>
      <c r="P476" s="66"/>
      <c r="Q476" s="66"/>
      <c r="R476" s="66"/>
      <c r="S476" s="66"/>
      <c r="T476" s="66"/>
      <c r="U476" s="66"/>
      <c r="V476" s="66"/>
      <c r="W476" s="66"/>
      <c r="X476" s="66"/>
      <c r="Y476" s="66"/>
      <c r="Z476" s="66"/>
      <c r="AA476" s="66"/>
      <c r="AB476" s="66"/>
      <c r="AC476" s="66"/>
      <c r="AD476" s="66"/>
      <c r="AE476" s="66"/>
      <c r="AF476" s="66"/>
      <c r="AG476" s="66"/>
      <c r="CF476" s="68"/>
    </row>
    <row r="477" spans="1:84" ht="17.399999999999999" x14ac:dyDescent="0.35">
      <c r="A477" s="67"/>
      <c r="B477" s="67"/>
      <c r="C477" s="66"/>
      <c r="D477" s="66"/>
      <c r="E477" s="66"/>
      <c r="F477" s="66"/>
      <c r="G477" s="66"/>
      <c r="H477" s="66"/>
      <c r="I477" s="66"/>
      <c r="J477" s="66"/>
      <c r="K477" s="66"/>
      <c r="L477" s="66"/>
      <c r="M477" s="66"/>
      <c r="N477" s="66"/>
      <c r="O477" s="66"/>
      <c r="P477" s="66"/>
      <c r="Q477" s="66"/>
      <c r="R477" s="66"/>
      <c r="S477" s="66"/>
      <c r="T477" s="66"/>
      <c r="U477" s="66"/>
      <c r="V477" s="66"/>
      <c r="W477" s="66"/>
      <c r="X477" s="66"/>
      <c r="Y477" s="66"/>
      <c r="Z477" s="66"/>
      <c r="AA477" s="66"/>
      <c r="AB477" s="66"/>
      <c r="AC477" s="66"/>
      <c r="AD477" s="66"/>
      <c r="AE477" s="66"/>
      <c r="AF477" s="66"/>
      <c r="AG477" s="66"/>
      <c r="CF477" s="68"/>
    </row>
    <row r="478" spans="1:84" ht="17.399999999999999" x14ac:dyDescent="0.35">
      <c r="A478" s="67"/>
      <c r="B478" s="67"/>
      <c r="C478" s="66"/>
      <c r="D478" s="66"/>
      <c r="E478" s="66"/>
      <c r="F478" s="66"/>
      <c r="G478" s="66"/>
      <c r="H478" s="66"/>
      <c r="I478" s="66"/>
      <c r="J478" s="66"/>
      <c r="K478" s="66"/>
      <c r="L478" s="66"/>
      <c r="M478" s="66"/>
      <c r="N478" s="66"/>
      <c r="O478" s="66"/>
      <c r="P478" s="66"/>
      <c r="Q478" s="66"/>
      <c r="R478" s="66"/>
      <c r="S478" s="66"/>
      <c r="T478" s="66"/>
      <c r="U478" s="66"/>
      <c r="V478" s="66"/>
      <c r="W478" s="66"/>
      <c r="X478" s="66"/>
      <c r="Y478" s="66"/>
      <c r="Z478" s="66"/>
      <c r="AA478" s="66"/>
      <c r="AB478" s="66"/>
      <c r="AC478" s="66"/>
      <c r="AD478" s="66"/>
      <c r="AE478" s="66"/>
      <c r="AF478" s="66"/>
      <c r="AG478" s="66"/>
      <c r="CF478" s="68"/>
    </row>
    <row r="479" spans="1:84" ht="17.399999999999999" x14ac:dyDescent="0.35">
      <c r="A479" s="67"/>
      <c r="B479" s="67"/>
      <c r="C479" s="66"/>
      <c r="D479" s="66"/>
      <c r="E479" s="66"/>
      <c r="F479" s="66"/>
      <c r="G479" s="66"/>
      <c r="H479" s="66"/>
      <c r="I479" s="66"/>
      <c r="J479" s="66"/>
      <c r="K479" s="66"/>
      <c r="L479" s="66"/>
      <c r="M479" s="66"/>
      <c r="N479" s="66"/>
      <c r="O479" s="66"/>
      <c r="P479" s="66"/>
      <c r="Q479" s="66"/>
      <c r="R479" s="66"/>
      <c r="S479" s="66"/>
      <c r="T479" s="66"/>
      <c r="U479" s="66"/>
      <c r="V479" s="66"/>
      <c r="W479" s="66"/>
      <c r="X479" s="66"/>
      <c r="Y479" s="66"/>
      <c r="Z479" s="66"/>
      <c r="AA479" s="66"/>
      <c r="AB479" s="66"/>
      <c r="AC479" s="66"/>
      <c r="AD479" s="66"/>
      <c r="AE479" s="66"/>
      <c r="AF479" s="66"/>
      <c r="AG479" s="66"/>
      <c r="CF479" s="68"/>
    </row>
    <row r="480" spans="1:84" ht="17.399999999999999" x14ac:dyDescent="0.35">
      <c r="A480" s="67"/>
      <c r="B480" s="67"/>
      <c r="C480" s="66"/>
      <c r="D480" s="66"/>
      <c r="E480" s="66"/>
      <c r="F480" s="66"/>
      <c r="G480" s="66"/>
      <c r="H480" s="66"/>
      <c r="I480" s="66"/>
      <c r="J480" s="66"/>
      <c r="K480" s="66"/>
      <c r="L480" s="66"/>
      <c r="M480" s="66"/>
      <c r="N480" s="66"/>
      <c r="O480" s="66"/>
      <c r="P480" s="66"/>
      <c r="Q480" s="66"/>
      <c r="R480" s="66"/>
      <c r="S480" s="66"/>
      <c r="T480" s="66"/>
      <c r="U480" s="66"/>
      <c r="V480" s="66"/>
      <c r="W480" s="66"/>
      <c r="X480" s="66"/>
      <c r="Y480" s="66"/>
      <c r="Z480" s="66"/>
      <c r="AA480" s="66"/>
      <c r="AB480" s="66"/>
      <c r="AC480" s="66"/>
      <c r="AD480" s="66"/>
      <c r="AE480" s="66"/>
      <c r="AF480" s="66"/>
      <c r="AG480" s="66"/>
      <c r="CF480" s="68"/>
    </row>
    <row r="481" spans="1:84" ht="17.399999999999999" x14ac:dyDescent="0.35">
      <c r="A481" s="67"/>
      <c r="B481" s="67"/>
      <c r="C481" s="66"/>
      <c r="D481" s="66"/>
      <c r="E481" s="66"/>
      <c r="F481" s="66"/>
      <c r="G481" s="66"/>
      <c r="H481" s="66"/>
      <c r="I481" s="66"/>
      <c r="J481" s="66"/>
      <c r="K481" s="66"/>
      <c r="L481" s="66"/>
      <c r="M481" s="66"/>
      <c r="N481" s="66"/>
      <c r="O481" s="66"/>
      <c r="P481" s="66"/>
      <c r="Q481" s="66"/>
      <c r="R481" s="66"/>
      <c r="S481" s="66"/>
      <c r="T481" s="66"/>
      <c r="U481" s="66"/>
      <c r="V481" s="66"/>
      <c r="W481" s="66"/>
      <c r="X481" s="66"/>
      <c r="Y481" s="66"/>
      <c r="Z481" s="66"/>
      <c r="AA481" s="66"/>
      <c r="AB481" s="66"/>
      <c r="AC481" s="66"/>
      <c r="AD481" s="66"/>
      <c r="AE481" s="66"/>
      <c r="AF481" s="66"/>
      <c r="AG481" s="66"/>
      <c r="CF481" s="68"/>
    </row>
    <row r="482" spans="1:84" ht="17.399999999999999" x14ac:dyDescent="0.35">
      <c r="A482" s="67"/>
      <c r="B482" s="67"/>
      <c r="C482" s="66"/>
      <c r="D482" s="66"/>
      <c r="E482" s="66"/>
      <c r="F482" s="66"/>
      <c r="G482" s="66"/>
      <c r="H482" s="66"/>
      <c r="I482" s="66"/>
      <c r="J482" s="66"/>
      <c r="K482" s="66"/>
      <c r="L482" s="66"/>
      <c r="M482" s="66"/>
      <c r="N482" s="66"/>
      <c r="O482" s="66"/>
      <c r="P482" s="66"/>
      <c r="Q482" s="66"/>
      <c r="R482" s="66"/>
      <c r="S482" s="66"/>
      <c r="T482" s="66"/>
      <c r="U482" s="66"/>
      <c r="V482" s="66"/>
      <c r="W482" s="66"/>
      <c r="X482" s="66"/>
      <c r="Y482" s="66"/>
      <c r="Z482" s="66"/>
      <c r="AA482" s="66"/>
      <c r="AB482" s="66"/>
      <c r="AC482" s="66"/>
      <c r="AD482" s="66"/>
      <c r="AE482" s="66"/>
      <c r="AF482" s="66"/>
      <c r="AG482" s="66"/>
      <c r="CF482" s="68"/>
    </row>
    <row r="483" spans="1:84" ht="17.399999999999999" x14ac:dyDescent="0.35">
      <c r="A483" s="67"/>
      <c r="B483" s="67"/>
      <c r="C483" s="66"/>
      <c r="D483" s="66"/>
      <c r="E483" s="66"/>
      <c r="F483" s="66"/>
      <c r="G483" s="66"/>
      <c r="H483" s="66"/>
      <c r="I483" s="66"/>
      <c r="J483" s="66"/>
      <c r="K483" s="66"/>
      <c r="L483" s="66"/>
      <c r="M483" s="66"/>
      <c r="N483" s="66"/>
      <c r="O483" s="66"/>
      <c r="P483" s="66"/>
      <c r="Q483" s="66"/>
      <c r="R483" s="66"/>
      <c r="S483" s="66"/>
      <c r="T483" s="66"/>
      <c r="U483" s="66"/>
      <c r="V483" s="66"/>
      <c r="W483" s="66"/>
      <c r="X483" s="66"/>
      <c r="Y483" s="66"/>
      <c r="Z483" s="66"/>
      <c r="AA483" s="66"/>
      <c r="AB483" s="66"/>
      <c r="AC483" s="66"/>
      <c r="AD483" s="66"/>
      <c r="AE483" s="66"/>
      <c r="AF483" s="66"/>
      <c r="AG483" s="66"/>
      <c r="CF483" s="68"/>
    </row>
    <row r="484" spans="1:84" ht="17.399999999999999" x14ac:dyDescent="0.35">
      <c r="A484" s="67"/>
      <c r="B484" s="67"/>
      <c r="C484" s="66"/>
      <c r="D484" s="66"/>
      <c r="E484" s="66"/>
      <c r="F484" s="66"/>
      <c r="G484" s="66"/>
      <c r="H484" s="66"/>
      <c r="I484" s="66"/>
      <c r="J484" s="66"/>
      <c r="K484" s="66"/>
      <c r="L484" s="66"/>
      <c r="M484" s="66"/>
      <c r="N484" s="66"/>
      <c r="O484" s="66"/>
      <c r="P484" s="66"/>
      <c r="Q484" s="66"/>
      <c r="R484" s="66"/>
      <c r="S484" s="66"/>
      <c r="T484" s="66"/>
      <c r="U484" s="66"/>
      <c r="V484" s="66"/>
      <c r="W484" s="66"/>
      <c r="X484" s="66"/>
      <c r="Y484" s="66"/>
      <c r="Z484" s="66"/>
      <c r="AA484" s="66"/>
      <c r="AB484" s="66"/>
      <c r="AC484" s="66"/>
      <c r="AD484" s="66"/>
      <c r="AE484" s="66"/>
      <c r="AF484" s="66"/>
      <c r="AG484" s="66"/>
      <c r="CF484" s="68"/>
    </row>
    <row r="485" spans="1:84" ht="17.399999999999999" x14ac:dyDescent="0.35">
      <c r="A485" s="67"/>
      <c r="B485" s="67"/>
      <c r="C485" s="66"/>
      <c r="D485" s="66"/>
      <c r="E485" s="66"/>
      <c r="F485" s="66"/>
      <c r="G485" s="66"/>
      <c r="H485" s="66"/>
      <c r="I485" s="66"/>
      <c r="J485" s="66"/>
      <c r="K485" s="66"/>
      <c r="L485" s="66"/>
      <c r="M485" s="66"/>
      <c r="N485" s="66"/>
      <c r="O485" s="66"/>
      <c r="P485" s="66"/>
      <c r="Q485" s="66"/>
      <c r="R485" s="66"/>
      <c r="S485" s="66"/>
      <c r="T485" s="66"/>
      <c r="U485" s="66"/>
      <c r="V485" s="66"/>
      <c r="W485" s="66"/>
      <c r="X485" s="66"/>
      <c r="Y485" s="66"/>
      <c r="Z485" s="66"/>
      <c r="AA485" s="66"/>
      <c r="AB485" s="66"/>
      <c r="AC485" s="66"/>
      <c r="AD485" s="66"/>
      <c r="AE485" s="66"/>
      <c r="AF485" s="66"/>
      <c r="AG485" s="66"/>
      <c r="CF485" s="68"/>
    </row>
    <row r="486" spans="1:84" ht="17.399999999999999" x14ac:dyDescent="0.35">
      <c r="A486" s="67"/>
      <c r="B486" s="67"/>
      <c r="C486" s="66"/>
      <c r="D486" s="66"/>
      <c r="E486" s="66"/>
      <c r="F486" s="66"/>
      <c r="G486" s="66"/>
      <c r="H486" s="66"/>
      <c r="I486" s="66"/>
      <c r="J486" s="66"/>
      <c r="K486" s="66"/>
      <c r="L486" s="66"/>
      <c r="M486" s="66"/>
      <c r="N486" s="66"/>
      <c r="O486" s="66"/>
      <c r="P486" s="66"/>
      <c r="Q486" s="66"/>
      <c r="R486" s="66"/>
      <c r="S486" s="66"/>
      <c r="T486" s="66"/>
      <c r="U486" s="66"/>
      <c r="V486" s="66"/>
      <c r="W486" s="66"/>
      <c r="X486" s="66"/>
      <c r="Y486" s="66"/>
      <c r="Z486" s="66"/>
      <c r="AA486" s="66"/>
      <c r="AB486" s="66"/>
      <c r="AC486" s="66"/>
      <c r="AD486" s="66"/>
      <c r="AE486" s="66"/>
      <c r="AF486" s="66"/>
      <c r="AG486" s="66"/>
      <c r="CF486" s="68"/>
    </row>
    <row r="487" spans="1:84" ht="17.399999999999999" x14ac:dyDescent="0.35">
      <c r="A487" s="67"/>
      <c r="B487" s="67"/>
      <c r="C487" s="66"/>
      <c r="D487" s="66"/>
      <c r="E487" s="66"/>
      <c r="F487" s="66"/>
      <c r="G487" s="66"/>
      <c r="H487" s="66"/>
      <c r="I487" s="66"/>
      <c r="J487" s="66"/>
      <c r="K487" s="66"/>
      <c r="L487" s="66"/>
      <c r="M487" s="66"/>
      <c r="N487" s="66"/>
      <c r="O487" s="66"/>
      <c r="P487" s="66"/>
      <c r="Q487" s="66"/>
      <c r="R487" s="66"/>
      <c r="S487" s="66"/>
      <c r="T487" s="66"/>
      <c r="U487" s="66"/>
      <c r="V487" s="66"/>
      <c r="W487" s="66"/>
      <c r="X487" s="66"/>
      <c r="Y487" s="66"/>
      <c r="Z487" s="66"/>
      <c r="AA487" s="66"/>
      <c r="AB487" s="66"/>
      <c r="AC487" s="66"/>
      <c r="AD487" s="66"/>
      <c r="AE487" s="66"/>
      <c r="AF487" s="66"/>
      <c r="AG487" s="66"/>
      <c r="CF487" s="68"/>
    </row>
    <row r="488" spans="1:84" ht="17.399999999999999" x14ac:dyDescent="0.35">
      <c r="A488" s="67"/>
      <c r="B488" s="67"/>
      <c r="C488" s="66"/>
      <c r="D488" s="66"/>
      <c r="E488" s="66"/>
      <c r="F488" s="66"/>
      <c r="G488" s="66"/>
      <c r="H488" s="66"/>
      <c r="I488" s="66"/>
      <c r="J488" s="66"/>
      <c r="K488" s="66"/>
      <c r="L488" s="66"/>
      <c r="M488" s="66"/>
      <c r="N488" s="66"/>
      <c r="O488" s="66"/>
      <c r="P488" s="66"/>
      <c r="Q488" s="66"/>
      <c r="R488" s="66"/>
      <c r="S488" s="66"/>
      <c r="T488" s="66"/>
      <c r="U488" s="66"/>
      <c r="V488" s="66"/>
      <c r="W488" s="66"/>
      <c r="X488" s="66"/>
      <c r="Y488" s="66"/>
      <c r="Z488" s="66"/>
      <c r="AA488" s="66"/>
      <c r="AB488" s="66"/>
      <c r="AC488" s="66"/>
      <c r="AD488" s="66"/>
      <c r="AE488" s="66"/>
      <c r="AF488" s="66"/>
      <c r="AG488" s="66"/>
      <c r="CF488" s="68"/>
    </row>
    <row r="489" spans="1:84" ht="17.399999999999999" x14ac:dyDescent="0.35">
      <c r="A489" s="67"/>
      <c r="B489" s="67"/>
      <c r="C489" s="66"/>
      <c r="D489" s="66"/>
      <c r="E489" s="66"/>
      <c r="F489" s="66"/>
      <c r="G489" s="66"/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AA489" s="66"/>
      <c r="AB489" s="66"/>
      <c r="AC489" s="66"/>
      <c r="AD489" s="66"/>
      <c r="AE489" s="66"/>
      <c r="AF489" s="66"/>
      <c r="AG489" s="66"/>
      <c r="CF489" s="68"/>
    </row>
    <row r="490" spans="1:84" ht="17.399999999999999" x14ac:dyDescent="0.35">
      <c r="A490" s="67"/>
      <c r="B490" s="67"/>
      <c r="C490" s="66"/>
      <c r="D490" s="66"/>
      <c r="E490" s="66"/>
      <c r="F490" s="66"/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AA490" s="66"/>
      <c r="AB490" s="66"/>
      <c r="AC490" s="66"/>
      <c r="AD490" s="66"/>
      <c r="AE490" s="66"/>
      <c r="AF490" s="66"/>
      <c r="AG490" s="66"/>
      <c r="CF490" s="68"/>
    </row>
    <row r="491" spans="1:84" ht="17.399999999999999" x14ac:dyDescent="0.35">
      <c r="A491" s="67"/>
      <c r="B491" s="67"/>
      <c r="C491" s="66"/>
      <c r="D491" s="66"/>
      <c r="E491" s="66"/>
      <c r="F491" s="66"/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AA491" s="66"/>
      <c r="AB491" s="66"/>
      <c r="AC491" s="66"/>
      <c r="AD491" s="66"/>
      <c r="AE491" s="66"/>
      <c r="AF491" s="66"/>
      <c r="AG491" s="66"/>
      <c r="CF491" s="68"/>
    </row>
    <row r="492" spans="1:84" ht="17.399999999999999" x14ac:dyDescent="0.35">
      <c r="A492" s="67"/>
      <c r="B492" s="67"/>
      <c r="C492" s="66"/>
      <c r="D492" s="66"/>
      <c r="E492" s="66"/>
      <c r="F492" s="66"/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AA492" s="66"/>
      <c r="AB492" s="66"/>
      <c r="AC492" s="66"/>
      <c r="AD492" s="66"/>
      <c r="AE492" s="66"/>
      <c r="AF492" s="66"/>
      <c r="AG492" s="66"/>
      <c r="CF492" s="68"/>
    </row>
    <row r="493" spans="1:84" ht="17.399999999999999" x14ac:dyDescent="0.35">
      <c r="A493" s="67"/>
      <c r="B493" s="67"/>
      <c r="C493" s="66"/>
      <c r="D493" s="66"/>
      <c r="E493" s="66"/>
      <c r="F493" s="66"/>
      <c r="G493" s="66"/>
      <c r="H493" s="66"/>
      <c r="I493" s="66"/>
      <c r="J493" s="66"/>
      <c r="K493" s="66"/>
      <c r="L493" s="66"/>
      <c r="M493" s="66"/>
      <c r="N493" s="66"/>
      <c r="O493" s="66"/>
      <c r="P493" s="66"/>
      <c r="Q493" s="66"/>
      <c r="R493" s="66"/>
      <c r="S493" s="66"/>
      <c r="T493" s="66"/>
      <c r="U493" s="66"/>
      <c r="V493" s="66"/>
      <c r="W493" s="66"/>
      <c r="X493" s="66"/>
      <c r="Y493" s="66"/>
      <c r="Z493" s="66"/>
      <c r="AA493" s="66"/>
      <c r="AB493" s="66"/>
      <c r="AC493" s="66"/>
      <c r="AD493" s="66"/>
      <c r="AE493" s="66"/>
      <c r="AF493" s="66"/>
      <c r="AG493" s="66"/>
      <c r="CF493" s="68"/>
    </row>
    <row r="494" spans="1:84" ht="17.399999999999999" x14ac:dyDescent="0.35">
      <c r="A494" s="67"/>
      <c r="B494" s="67"/>
      <c r="C494" s="66"/>
      <c r="D494" s="66"/>
      <c r="E494" s="66"/>
      <c r="F494" s="66"/>
      <c r="G494" s="66"/>
      <c r="H494" s="66"/>
      <c r="I494" s="66"/>
      <c r="J494" s="66"/>
      <c r="K494" s="66"/>
      <c r="L494" s="66"/>
      <c r="M494" s="66"/>
      <c r="N494" s="66"/>
      <c r="O494" s="66"/>
      <c r="P494" s="66"/>
      <c r="Q494" s="66"/>
      <c r="R494" s="66"/>
      <c r="S494" s="66"/>
      <c r="T494" s="66"/>
      <c r="U494" s="66"/>
      <c r="V494" s="66"/>
      <c r="W494" s="66"/>
      <c r="X494" s="66"/>
      <c r="Y494" s="66"/>
      <c r="Z494" s="66"/>
      <c r="AA494" s="66"/>
      <c r="AB494" s="66"/>
      <c r="AC494" s="66"/>
      <c r="AD494" s="66"/>
      <c r="AE494" s="66"/>
      <c r="AF494" s="66"/>
      <c r="AG494" s="66"/>
      <c r="CF494" s="68"/>
    </row>
    <row r="495" spans="1:84" ht="17.399999999999999" x14ac:dyDescent="0.35">
      <c r="A495" s="67"/>
      <c r="B495" s="67"/>
      <c r="C495" s="66"/>
      <c r="D495" s="66"/>
      <c r="E495" s="66"/>
      <c r="F495" s="66"/>
      <c r="G495" s="66"/>
      <c r="H495" s="66"/>
      <c r="I495" s="66"/>
      <c r="J495" s="66"/>
      <c r="K495" s="66"/>
      <c r="L495" s="66"/>
      <c r="M495" s="66"/>
      <c r="N495" s="66"/>
      <c r="O495" s="66"/>
      <c r="P495" s="66"/>
      <c r="Q495" s="66"/>
      <c r="R495" s="66"/>
      <c r="S495" s="66"/>
      <c r="T495" s="66"/>
      <c r="U495" s="66"/>
      <c r="V495" s="66"/>
      <c r="W495" s="66"/>
      <c r="X495" s="66"/>
      <c r="Y495" s="66"/>
      <c r="Z495" s="66"/>
      <c r="AA495" s="66"/>
      <c r="AB495" s="66"/>
      <c r="AC495" s="66"/>
      <c r="AD495" s="66"/>
      <c r="AE495" s="66"/>
      <c r="AF495" s="66"/>
      <c r="AG495" s="66"/>
      <c r="CF495" s="68"/>
    </row>
    <row r="496" spans="1:84" ht="17.399999999999999" x14ac:dyDescent="0.35">
      <c r="A496" s="67"/>
      <c r="B496" s="67"/>
      <c r="C496" s="66"/>
      <c r="D496" s="66"/>
      <c r="E496" s="66"/>
      <c r="F496" s="66"/>
      <c r="G496" s="66"/>
      <c r="H496" s="66"/>
      <c r="I496" s="66"/>
      <c r="J496" s="66"/>
      <c r="K496" s="66"/>
      <c r="L496" s="66"/>
      <c r="M496" s="66"/>
      <c r="N496" s="66"/>
      <c r="O496" s="66"/>
      <c r="P496" s="66"/>
      <c r="Q496" s="66"/>
      <c r="R496" s="66"/>
      <c r="S496" s="66"/>
      <c r="T496" s="66"/>
      <c r="U496" s="66"/>
      <c r="V496" s="66"/>
      <c r="W496" s="66"/>
      <c r="X496" s="66"/>
      <c r="Y496" s="66"/>
      <c r="Z496" s="66"/>
      <c r="AA496" s="66"/>
      <c r="AB496" s="66"/>
      <c r="AC496" s="66"/>
      <c r="AD496" s="66"/>
      <c r="AE496" s="66"/>
      <c r="AF496" s="66"/>
      <c r="AG496" s="66"/>
      <c r="CF496" s="68"/>
    </row>
    <row r="497" spans="1:84" ht="17.399999999999999" x14ac:dyDescent="0.35">
      <c r="A497" s="67"/>
      <c r="B497" s="67"/>
      <c r="C497" s="66"/>
      <c r="D497" s="66"/>
      <c r="E497" s="66"/>
      <c r="F497" s="66"/>
      <c r="G497" s="66"/>
      <c r="H497" s="66"/>
      <c r="I497" s="66"/>
      <c r="J497" s="66"/>
      <c r="K497" s="66"/>
      <c r="L497" s="66"/>
      <c r="M497" s="66"/>
      <c r="N497" s="66"/>
      <c r="O497" s="66"/>
      <c r="P497" s="66"/>
      <c r="Q497" s="66"/>
      <c r="R497" s="66"/>
      <c r="S497" s="66"/>
      <c r="T497" s="66"/>
      <c r="U497" s="66"/>
      <c r="V497" s="66"/>
      <c r="W497" s="66"/>
      <c r="X497" s="66"/>
      <c r="Y497" s="66"/>
      <c r="Z497" s="66"/>
      <c r="AA497" s="66"/>
      <c r="AB497" s="66"/>
      <c r="AC497" s="66"/>
      <c r="AD497" s="66"/>
      <c r="AE497" s="66"/>
      <c r="AF497" s="66"/>
      <c r="AG497" s="66"/>
      <c r="CF497" s="68"/>
    </row>
    <row r="498" spans="1:84" ht="17.399999999999999" x14ac:dyDescent="0.35">
      <c r="A498" s="67"/>
      <c r="B498" s="67"/>
      <c r="C498" s="66"/>
      <c r="D498" s="66"/>
      <c r="E498" s="66"/>
      <c r="F498" s="66"/>
      <c r="G498" s="66"/>
      <c r="H498" s="66"/>
      <c r="I498" s="66"/>
      <c r="J498" s="66"/>
      <c r="K498" s="66"/>
      <c r="L498" s="66"/>
      <c r="M498" s="66"/>
      <c r="N498" s="66"/>
      <c r="O498" s="66"/>
      <c r="P498" s="66"/>
      <c r="Q498" s="66"/>
      <c r="R498" s="66"/>
      <c r="S498" s="66"/>
      <c r="T498" s="66"/>
      <c r="U498" s="66"/>
      <c r="V498" s="66"/>
      <c r="W498" s="66"/>
      <c r="X498" s="66"/>
      <c r="Y498" s="66"/>
      <c r="Z498" s="66"/>
      <c r="AA498" s="66"/>
      <c r="AB498" s="66"/>
      <c r="AC498" s="66"/>
      <c r="AD498" s="66"/>
      <c r="AE498" s="66"/>
      <c r="AF498" s="66"/>
      <c r="AG498" s="66"/>
      <c r="CF498" s="68"/>
    </row>
    <row r="499" spans="1:84" ht="17.399999999999999" x14ac:dyDescent="0.35">
      <c r="A499" s="67"/>
      <c r="B499" s="67"/>
      <c r="C499" s="66"/>
      <c r="D499" s="66"/>
      <c r="E499" s="66"/>
      <c r="F499" s="66"/>
      <c r="G499" s="66"/>
      <c r="H499" s="66"/>
      <c r="I499" s="66"/>
      <c r="J499" s="66"/>
      <c r="K499" s="66"/>
      <c r="L499" s="66"/>
      <c r="M499" s="66"/>
      <c r="N499" s="66"/>
      <c r="O499" s="66"/>
      <c r="P499" s="66"/>
      <c r="Q499" s="66"/>
      <c r="R499" s="66"/>
      <c r="S499" s="66"/>
      <c r="T499" s="66"/>
      <c r="U499" s="66"/>
      <c r="V499" s="66"/>
      <c r="W499" s="66"/>
      <c r="X499" s="66"/>
      <c r="Y499" s="66"/>
      <c r="Z499" s="66"/>
      <c r="AA499" s="66"/>
      <c r="AB499" s="66"/>
      <c r="AC499" s="66"/>
      <c r="AD499" s="66"/>
      <c r="AE499" s="66"/>
      <c r="AF499" s="66"/>
      <c r="AG499" s="66"/>
      <c r="CF499" s="68"/>
    </row>
    <row r="500" spans="1:84" ht="17.399999999999999" x14ac:dyDescent="0.35">
      <c r="A500" s="67"/>
      <c r="B500" s="67"/>
      <c r="C500" s="66"/>
      <c r="D500" s="66"/>
      <c r="E500" s="66"/>
      <c r="F500" s="66"/>
      <c r="G500" s="66"/>
      <c r="H500" s="66"/>
      <c r="I500" s="66"/>
      <c r="J500" s="66"/>
      <c r="K500" s="66"/>
      <c r="L500" s="66"/>
      <c r="M500" s="66"/>
      <c r="N500" s="66"/>
      <c r="O500" s="66"/>
      <c r="P500" s="66"/>
      <c r="Q500" s="66"/>
      <c r="R500" s="66"/>
      <c r="S500" s="66"/>
      <c r="T500" s="66"/>
      <c r="U500" s="66"/>
      <c r="V500" s="66"/>
      <c r="W500" s="66"/>
      <c r="X500" s="66"/>
      <c r="Y500" s="66"/>
      <c r="Z500" s="66"/>
      <c r="AA500" s="66"/>
      <c r="AB500" s="66"/>
      <c r="AC500" s="66"/>
      <c r="AD500" s="66"/>
      <c r="AE500" s="66"/>
      <c r="AF500" s="66"/>
      <c r="AG500" s="66"/>
      <c r="CF500" s="68"/>
    </row>
    <row r="501" spans="1:84" ht="17.399999999999999" x14ac:dyDescent="0.35">
      <c r="A501" s="67"/>
      <c r="B501" s="67"/>
      <c r="C501" s="66"/>
      <c r="D501" s="66"/>
      <c r="E501" s="66"/>
      <c r="F501" s="66"/>
      <c r="G501" s="66"/>
      <c r="H501" s="66"/>
      <c r="I501" s="66"/>
      <c r="J501" s="66"/>
      <c r="K501" s="66"/>
      <c r="L501" s="66"/>
      <c r="M501" s="66"/>
      <c r="N501" s="66"/>
      <c r="O501" s="66"/>
      <c r="P501" s="66"/>
      <c r="Q501" s="66"/>
      <c r="R501" s="66"/>
      <c r="S501" s="66"/>
      <c r="T501" s="66"/>
      <c r="U501" s="66"/>
      <c r="V501" s="66"/>
      <c r="W501" s="66"/>
      <c r="X501" s="66"/>
      <c r="Y501" s="66"/>
      <c r="Z501" s="66"/>
      <c r="AA501" s="66"/>
      <c r="AB501" s="66"/>
      <c r="AC501" s="66"/>
      <c r="AD501" s="66"/>
      <c r="AE501" s="66"/>
      <c r="AF501" s="66"/>
      <c r="AG501" s="66"/>
      <c r="CF501" s="68"/>
    </row>
    <row r="502" spans="1:84" ht="17.399999999999999" x14ac:dyDescent="0.35">
      <c r="A502" s="67"/>
      <c r="B502" s="67"/>
      <c r="C502" s="66"/>
      <c r="D502" s="66"/>
      <c r="E502" s="66"/>
      <c r="F502" s="66"/>
      <c r="G502" s="66"/>
      <c r="H502" s="66"/>
      <c r="I502" s="66"/>
      <c r="J502" s="66"/>
      <c r="K502" s="66"/>
      <c r="L502" s="66"/>
      <c r="M502" s="66"/>
      <c r="N502" s="66"/>
      <c r="O502" s="66"/>
      <c r="P502" s="66"/>
      <c r="Q502" s="66"/>
      <c r="R502" s="66"/>
      <c r="S502" s="66"/>
      <c r="T502" s="66"/>
      <c r="U502" s="66"/>
      <c r="V502" s="66"/>
      <c r="W502" s="66"/>
      <c r="X502" s="66"/>
      <c r="Y502" s="66"/>
      <c r="Z502" s="66"/>
      <c r="AA502" s="66"/>
      <c r="AB502" s="66"/>
      <c r="AC502" s="66"/>
      <c r="AD502" s="66"/>
      <c r="AE502" s="66"/>
      <c r="AF502" s="66"/>
      <c r="AG502" s="66"/>
      <c r="CF502" s="68"/>
    </row>
    <row r="503" spans="1:84" ht="17.399999999999999" x14ac:dyDescent="0.35">
      <c r="A503" s="67"/>
      <c r="B503" s="67"/>
      <c r="C503" s="66"/>
      <c r="D503" s="66"/>
      <c r="E503" s="66"/>
      <c r="F503" s="66"/>
      <c r="G503" s="66"/>
      <c r="H503" s="66"/>
      <c r="I503" s="66"/>
      <c r="J503" s="66"/>
      <c r="K503" s="66"/>
      <c r="L503" s="66"/>
      <c r="M503" s="66"/>
      <c r="N503" s="66"/>
      <c r="O503" s="66"/>
      <c r="P503" s="66"/>
      <c r="Q503" s="66"/>
      <c r="R503" s="66"/>
      <c r="S503" s="66"/>
      <c r="T503" s="66"/>
      <c r="U503" s="66"/>
      <c r="V503" s="66"/>
      <c r="W503" s="66"/>
      <c r="X503" s="66"/>
      <c r="Y503" s="66"/>
      <c r="Z503" s="66"/>
      <c r="AA503" s="66"/>
      <c r="AB503" s="66"/>
      <c r="AC503" s="66"/>
      <c r="AD503" s="66"/>
      <c r="AE503" s="66"/>
      <c r="AF503" s="66"/>
      <c r="AG503" s="66"/>
      <c r="CF503" s="68"/>
    </row>
    <row r="504" spans="1:84" ht="17.399999999999999" x14ac:dyDescent="0.35">
      <c r="A504" s="67"/>
      <c r="B504" s="67"/>
      <c r="C504" s="66"/>
      <c r="D504" s="66"/>
      <c r="E504" s="66"/>
      <c r="F504" s="66"/>
      <c r="G504" s="66"/>
      <c r="H504" s="66"/>
      <c r="I504" s="66"/>
      <c r="J504" s="66"/>
      <c r="K504" s="66"/>
      <c r="L504" s="66"/>
      <c r="M504" s="66"/>
      <c r="N504" s="66"/>
      <c r="O504" s="66"/>
      <c r="P504" s="66"/>
      <c r="Q504" s="66"/>
      <c r="R504" s="66"/>
      <c r="S504" s="66"/>
      <c r="T504" s="66"/>
      <c r="U504" s="66"/>
      <c r="V504" s="66"/>
      <c r="W504" s="66"/>
      <c r="X504" s="66"/>
      <c r="Y504" s="66"/>
      <c r="Z504" s="66"/>
      <c r="AA504" s="66"/>
      <c r="AB504" s="66"/>
      <c r="AC504" s="66"/>
      <c r="AD504" s="66"/>
      <c r="AE504" s="66"/>
      <c r="AF504" s="66"/>
      <c r="AG504" s="66"/>
      <c r="CF504" s="68"/>
    </row>
    <row r="505" spans="1:84" ht="17.399999999999999" x14ac:dyDescent="0.35">
      <c r="A505" s="67"/>
      <c r="B505" s="67"/>
      <c r="C505" s="66"/>
      <c r="D505" s="66"/>
      <c r="E505" s="66"/>
      <c r="F505" s="66"/>
      <c r="G505" s="66"/>
      <c r="H505" s="66"/>
      <c r="I505" s="66"/>
      <c r="J505" s="66"/>
      <c r="K505" s="66"/>
      <c r="L505" s="66"/>
      <c r="M505" s="66"/>
      <c r="N505" s="66"/>
      <c r="O505" s="66"/>
      <c r="P505" s="66"/>
      <c r="Q505" s="66"/>
      <c r="R505" s="66"/>
      <c r="S505" s="66"/>
      <c r="T505" s="66"/>
      <c r="U505" s="66"/>
      <c r="V505" s="66"/>
      <c r="W505" s="66"/>
      <c r="X505" s="66"/>
      <c r="Y505" s="66"/>
      <c r="Z505" s="66"/>
      <c r="AA505" s="66"/>
      <c r="AB505" s="66"/>
      <c r="AC505" s="66"/>
      <c r="AD505" s="66"/>
      <c r="AE505" s="66"/>
      <c r="AF505" s="66"/>
      <c r="AG505" s="66"/>
      <c r="CF505" s="68"/>
    </row>
    <row r="506" spans="1:84" ht="17.399999999999999" x14ac:dyDescent="0.35">
      <c r="A506" s="67"/>
      <c r="B506" s="67"/>
      <c r="C506" s="66"/>
      <c r="D506" s="66"/>
      <c r="E506" s="66"/>
      <c r="F506" s="66"/>
      <c r="G506" s="66"/>
      <c r="H506" s="66"/>
      <c r="I506" s="66"/>
      <c r="J506" s="66"/>
      <c r="K506" s="66"/>
      <c r="L506" s="66"/>
      <c r="M506" s="66"/>
      <c r="N506" s="66"/>
      <c r="O506" s="66"/>
      <c r="P506" s="66"/>
      <c r="Q506" s="66"/>
      <c r="R506" s="66"/>
      <c r="S506" s="66"/>
      <c r="T506" s="66"/>
      <c r="U506" s="66"/>
      <c r="V506" s="66"/>
      <c r="W506" s="66"/>
      <c r="X506" s="66"/>
      <c r="Y506" s="66"/>
      <c r="Z506" s="66"/>
      <c r="AA506" s="66"/>
      <c r="AB506" s="66"/>
      <c r="AC506" s="66"/>
      <c r="AD506" s="66"/>
      <c r="AE506" s="66"/>
      <c r="AF506" s="66"/>
      <c r="AG506" s="66"/>
      <c r="CF506" s="68"/>
    </row>
    <row r="507" spans="1:84" ht="17.399999999999999" x14ac:dyDescent="0.35">
      <c r="A507" s="67"/>
      <c r="B507" s="67"/>
      <c r="C507" s="66"/>
      <c r="D507" s="66"/>
      <c r="E507" s="66"/>
      <c r="F507" s="66"/>
      <c r="G507" s="66"/>
      <c r="H507" s="66"/>
      <c r="I507" s="66"/>
      <c r="J507" s="66"/>
      <c r="K507" s="66"/>
      <c r="L507" s="66"/>
      <c r="M507" s="66"/>
      <c r="N507" s="66"/>
      <c r="O507" s="66"/>
      <c r="P507" s="66"/>
      <c r="Q507" s="66"/>
      <c r="R507" s="66"/>
      <c r="S507" s="66"/>
      <c r="T507" s="66"/>
      <c r="U507" s="66"/>
      <c r="V507" s="66"/>
      <c r="W507" s="66"/>
      <c r="X507" s="66"/>
      <c r="Y507" s="66"/>
      <c r="Z507" s="66"/>
      <c r="AA507" s="66"/>
      <c r="AB507" s="66"/>
      <c r="AC507" s="66"/>
      <c r="AD507" s="66"/>
      <c r="AE507" s="66"/>
      <c r="AF507" s="66"/>
      <c r="AG507" s="66"/>
      <c r="CF507" s="68"/>
    </row>
    <row r="508" spans="1:84" ht="17.399999999999999" x14ac:dyDescent="0.35">
      <c r="A508" s="67"/>
      <c r="B508" s="67"/>
      <c r="C508" s="66"/>
      <c r="D508" s="66"/>
      <c r="E508" s="66"/>
      <c r="F508" s="66"/>
      <c r="G508" s="66"/>
      <c r="H508" s="66"/>
      <c r="I508" s="66"/>
      <c r="J508" s="66"/>
      <c r="K508" s="66"/>
      <c r="L508" s="66"/>
      <c r="M508" s="66"/>
      <c r="N508" s="66"/>
      <c r="O508" s="66"/>
      <c r="P508" s="66"/>
      <c r="Q508" s="66"/>
      <c r="R508" s="66"/>
      <c r="S508" s="66"/>
      <c r="T508" s="66"/>
      <c r="U508" s="66"/>
      <c r="V508" s="66"/>
      <c r="W508" s="66"/>
      <c r="X508" s="66"/>
      <c r="Y508" s="66"/>
      <c r="Z508" s="66"/>
      <c r="AA508" s="66"/>
      <c r="AB508" s="66"/>
      <c r="AC508" s="66"/>
      <c r="AD508" s="66"/>
      <c r="AE508" s="66"/>
      <c r="AF508" s="66"/>
      <c r="AG508" s="66"/>
      <c r="CF508" s="68"/>
    </row>
    <row r="509" spans="1:84" ht="17.399999999999999" x14ac:dyDescent="0.35">
      <c r="A509" s="67"/>
      <c r="B509" s="67"/>
      <c r="C509" s="66"/>
      <c r="D509" s="66"/>
      <c r="E509" s="66"/>
      <c r="F509" s="66"/>
      <c r="G509" s="66"/>
      <c r="H509" s="66"/>
      <c r="I509" s="66"/>
      <c r="J509" s="66"/>
      <c r="K509" s="66"/>
      <c r="L509" s="66"/>
      <c r="M509" s="66"/>
      <c r="N509" s="66"/>
      <c r="O509" s="66"/>
      <c r="P509" s="66"/>
      <c r="Q509" s="66"/>
      <c r="R509" s="66"/>
      <c r="S509" s="66"/>
      <c r="T509" s="66"/>
      <c r="U509" s="66"/>
      <c r="V509" s="66"/>
      <c r="W509" s="66"/>
      <c r="X509" s="66"/>
      <c r="Y509" s="66"/>
      <c r="Z509" s="66"/>
      <c r="AA509" s="66"/>
      <c r="AB509" s="66"/>
      <c r="AC509" s="66"/>
      <c r="AD509" s="66"/>
      <c r="AE509" s="66"/>
      <c r="AF509" s="66"/>
      <c r="AG509" s="66"/>
      <c r="CF509" s="68"/>
    </row>
    <row r="510" spans="1:84" ht="17.399999999999999" x14ac:dyDescent="0.35">
      <c r="A510" s="67"/>
      <c r="B510" s="67"/>
      <c r="C510" s="66"/>
      <c r="D510" s="66"/>
      <c r="E510" s="66"/>
      <c r="F510" s="66"/>
      <c r="G510" s="66"/>
      <c r="H510" s="66"/>
      <c r="I510" s="66"/>
      <c r="J510" s="66"/>
      <c r="K510" s="66"/>
      <c r="L510" s="66"/>
      <c r="M510" s="66"/>
      <c r="N510" s="66"/>
      <c r="O510" s="66"/>
      <c r="P510" s="66"/>
      <c r="Q510" s="66"/>
      <c r="R510" s="66"/>
      <c r="S510" s="66"/>
      <c r="T510" s="66"/>
      <c r="U510" s="66"/>
      <c r="V510" s="66"/>
      <c r="W510" s="66"/>
      <c r="X510" s="66"/>
      <c r="Y510" s="66"/>
      <c r="Z510" s="66"/>
      <c r="AA510" s="66"/>
      <c r="AB510" s="66"/>
      <c r="AC510" s="66"/>
      <c r="AD510" s="66"/>
      <c r="AE510" s="66"/>
      <c r="AF510" s="66"/>
      <c r="AG510" s="66"/>
      <c r="CF510" s="68"/>
    </row>
    <row r="511" spans="1:84" ht="17.399999999999999" x14ac:dyDescent="0.35">
      <c r="A511" s="67"/>
      <c r="B511" s="67"/>
      <c r="C511" s="66"/>
      <c r="D511" s="66"/>
      <c r="E511" s="66"/>
      <c r="F511" s="66"/>
      <c r="G511" s="66"/>
      <c r="H511" s="66"/>
      <c r="I511" s="66"/>
      <c r="J511" s="66"/>
      <c r="K511" s="66"/>
      <c r="L511" s="66"/>
      <c r="M511" s="66"/>
      <c r="N511" s="66"/>
      <c r="O511" s="66"/>
      <c r="P511" s="66"/>
      <c r="Q511" s="66"/>
      <c r="R511" s="66"/>
      <c r="S511" s="66"/>
      <c r="T511" s="66"/>
      <c r="U511" s="66"/>
      <c r="V511" s="66"/>
      <c r="W511" s="66"/>
      <c r="X511" s="66"/>
      <c r="Y511" s="66"/>
      <c r="Z511" s="66"/>
      <c r="AA511" s="66"/>
      <c r="AB511" s="66"/>
      <c r="AC511" s="66"/>
      <c r="AD511" s="66"/>
      <c r="AE511" s="66"/>
      <c r="AF511" s="66"/>
      <c r="AG511" s="66"/>
      <c r="CF511" s="68"/>
    </row>
    <row r="512" spans="1:84" ht="17.399999999999999" x14ac:dyDescent="0.35">
      <c r="A512" s="67"/>
      <c r="B512" s="67"/>
      <c r="C512" s="66"/>
      <c r="D512" s="66"/>
      <c r="E512" s="66"/>
      <c r="F512" s="66"/>
      <c r="G512" s="66"/>
      <c r="H512" s="66"/>
      <c r="I512" s="66"/>
      <c r="J512" s="66"/>
      <c r="K512" s="66"/>
      <c r="L512" s="66"/>
      <c r="M512" s="66"/>
      <c r="N512" s="66"/>
      <c r="O512" s="66"/>
      <c r="P512" s="66"/>
      <c r="Q512" s="66"/>
      <c r="R512" s="66"/>
      <c r="S512" s="66"/>
      <c r="T512" s="66"/>
      <c r="U512" s="66"/>
      <c r="V512" s="66"/>
      <c r="W512" s="66"/>
      <c r="X512" s="66"/>
      <c r="Y512" s="66"/>
      <c r="Z512" s="66"/>
      <c r="AA512" s="66"/>
      <c r="AB512" s="66"/>
      <c r="AC512" s="66"/>
      <c r="AD512" s="66"/>
      <c r="AE512" s="66"/>
      <c r="AF512" s="66"/>
      <c r="AG512" s="66"/>
      <c r="CF512" s="68"/>
    </row>
    <row r="513" spans="1:84" ht="17.399999999999999" x14ac:dyDescent="0.35">
      <c r="A513" s="67"/>
      <c r="B513" s="67"/>
      <c r="C513" s="66"/>
      <c r="D513" s="66"/>
      <c r="E513" s="66"/>
      <c r="F513" s="66"/>
      <c r="G513" s="66"/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AA513" s="66"/>
      <c r="AB513" s="66"/>
      <c r="AC513" s="66"/>
      <c r="AD513" s="66"/>
      <c r="AE513" s="66"/>
      <c r="AF513" s="66"/>
      <c r="AG513" s="66"/>
      <c r="CF513" s="68"/>
    </row>
    <row r="514" spans="1:84" ht="17.399999999999999" x14ac:dyDescent="0.35">
      <c r="A514" s="67"/>
      <c r="B514" s="67"/>
      <c r="C514" s="66"/>
      <c r="D514" s="66"/>
      <c r="E514" s="66"/>
      <c r="F514" s="66"/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AA514" s="66"/>
      <c r="AB514" s="66"/>
      <c r="AC514" s="66"/>
      <c r="AD514" s="66"/>
      <c r="AE514" s="66"/>
      <c r="AF514" s="66"/>
      <c r="AG514" s="66"/>
      <c r="CF514" s="68"/>
    </row>
    <row r="515" spans="1:84" ht="17.399999999999999" x14ac:dyDescent="0.35">
      <c r="A515" s="67"/>
      <c r="B515" s="67"/>
      <c r="C515" s="66"/>
      <c r="D515" s="66"/>
      <c r="E515" s="66"/>
      <c r="F515" s="66"/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AA515" s="66"/>
      <c r="AB515" s="66"/>
      <c r="AC515" s="66"/>
      <c r="AD515" s="66"/>
      <c r="AE515" s="66"/>
      <c r="AF515" s="66"/>
      <c r="AG515" s="66"/>
      <c r="CF515" s="68"/>
    </row>
    <row r="516" spans="1:84" ht="17.399999999999999" x14ac:dyDescent="0.35">
      <c r="A516" s="67"/>
      <c r="B516" s="67"/>
      <c r="C516" s="66"/>
      <c r="D516" s="66"/>
      <c r="E516" s="66"/>
      <c r="F516" s="66"/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AA516" s="66"/>
      <c r="AB516" s="66"/>
      <c r="AC516" s="66"/>
      <c r="AD516" s="66"/>
      <c r="AE516" s="66"/>
      <c r="AF516" s="66"/>
      <c r="AG516" s="66"/>
      <c r="CF516" s="68"/>
    </row>
    <row r="517" spans="1:84" ht="17.399999999999999" x14ac:dyDescent="0.35">
      <c r="A517" s="67"/>
      <c r="B517" s="67"/>
      <c r="C517" s="66"/>
      <c r="D517" s="66"/>
      <c r="E517" s="66"/>
      <c r="F517" s="66"/>
      <c r="G517" s="66"/>
      <c r="H517" s="66"/>
      <c r="I517" s="66"/>
      <c r="J517" s="66"/>
      <c r="K517" s="66"/>
      <c r="L517" s="66"/>
      <c r="M517" s="66"/>
      <c r="N517" s="66"/>
      <c r="O517" s="66"/>
      <c r="P517" s="66"/>
      <c r="Q517" s="66"/>
      <c r="R517" s="66"/>
      <c r="S517" s="66"/>
      <c r="T517" s="66"/>
      <c r="U517" s="66"/>
      <c r="V517" s="66"/>
      <c r="W517" s="66"/>
      <c r="X517" s="66"/>
      <c r="Y517" s="66"/>
      <c r="Z517" s="66"/>
      <c r="AA517" s="66"/>
      <c r="AB517" s="66"/>
      <c r="AC517" s="66"/>
      <c r="AD517" s="66"/>
      <c r="AE517" s="66"/>
      <c r="AF517" s="66"/>
      <c r="AG517" s="66"/>
      <c r="CF517" s="68"/>
    </row>
    <row r="518" spans="1:84" ht="17.399999999999999" x14ac:dyDescent="0.35">
      <c r="A518" s="67"/>
      <c r="B518" s="67"/>
      <c r="C518" s="66"/>
      <c r="D518" s="66"/>
      <c r="E518" s="66"/>
      <c r="F518" s="66"/>
      <c r="G518" s="66"/>
      <c r="H518" s="66"/>
      <c r="I518" s="66"/>
      <c r="J518" s="66"/>
      <c r="K518" s="66"/>
      <c r="L518" s="66"/>
      <c r="M518" s="66"/>
      <c r="N518" s="66"/>
      <c r="O518" s="66"/>
      <c r="P518" s="66"/>
      <c r="Q518" s="66"/>
      <c r="R518" s="66"/>
      <c r="S518" s="66"/>
      <c r="T518" s="66"/>
      <c r="U518" s="66"/>
      <c r="V518" s="66"/>
      <c r="W518" s="66"/>
      <c r="X518" s="66"/>
      <c r="Y518" s="66"/>
      <c r="Z518" s="66"/>
      <c r="AA518" s="66"/>
      <c r="AB518" s="66"/>
      <c r="AC518" s="66"/>
      <c r="AD518" s="66"/>
      <c r="AE518" s="66"/>
      <c r="AF518" s="66"/>
      <c r="AG518" s="66"/>
      <c r="CF518" s="68"/>
    </row>
    <row r="519" spans="1:84" ht="17.399999999999999" x14ac:dyDescent="0.35">
      <c r="A519" s="67"/>
      <c r="B519" s="67"/>
      <c r="C519" s="66"/>
      <c r="D519" s="66"/>
      <c r="E519" s="66"/>
      <c r="F519" s="66"/>
      <c r="G519" s="66"/>
      <c r="H519" s="66"/>
      <c r="I519" s="66"/>
      <c r="J519" s="66"/>
      <c r="K519" s="66"/>
      <c r="L519" s="66"/>
      <c r="M519" s="66"/>
      <c r="N519" s="66"/>
      <c r="O519" s="66"/>
      <c r="P519" s="66"/>
      <c r="Q519" s="66"/>
      <c r="R519" s="66"/>
      <c r="S519" s="66"/>
      <c r="T519" s="66"/>
      <c r="U519" s="66"/>
      <c r="V519" s="66"/>
      <c r="W519" s="66"/>
      <c r="X519" s="66"/>
      <c r="Y519" s="66"/>
      <c r="Z519" s="66"/>
      <c r="AA519" s="66"/>
      <c r="AB519" s="66"/>
      <c r="AC519" s="66"/>
      <c r="AD519" s="66"/>
      <c r="AE519" s="66"/>
      <c r="AF519" s="66"/>
      <c r="AG519" s="66"/>
      <c r="CF519" s="68"/>
    </row>
    <row r="520" spans="1:84" ht="17.399999999999999" x14ac:dyDescent="0.35">
      <c r="A520" s="67"/>
      <c r="B520" s="67"/>
      <c r="C520" s="66"/>
      <c r="D520" s="66"/>
      <c r="E520" s="66"/>
      <c r="F520" s="66"/>
      <c r="G520" s="66"/>
      <c r="H520" s="66"/>
      <c r="I520" s="66"/>
      <c r="J520" s="66"/>
      <c r="K520" s="66"/>
      <c r="L520" s="66"/>
      <c r="M520" s="66"/>
      <c r="N520" s="66"/>
      <c r="O520" s="66"/>
      <c r="P520" s="66"/>
      <c r="Q520" s="66"/>
      <c r="R520" s="66"/>
      <c r="S520" s="66"/>
      <c r="T520" s="66"/>
      <c r="U520" s="66"/>
      <c r="V520" s="66"/>
      <c r="W520" s="66"/>
      <c r="X520" s="66"/>
      <c r="Y520" s="66"/>
      <c r="Z520" s="66"/>
      <c r="AA520" s="66"/>
      <c r="AB520" s="66"/>
      <c r="AC520" s="66"/>
      <c r="AD520" s="66"/>
      <c r="AE520" s="66"/>
      <c r="AF520" s="66"/>
      <c r="AG520" s="66"/>
      <c r="CF520" s="68"/>
    </row>
    <row r="521" spans="1:84" ht="17.399999999999999" x14ac:dyDescent="0.35">
      <c r="A521" s="67"/>
      <c r="B521" s="67"/>
      <c r="C521" s="66"/>
      <c r="D521" s="66"/>
      <c r="E521" s="66"/>
      <c r="F521" s="66"/>
      <c r="G521" s="66"/>
      <c r="H521" s="66"/>
      <c r="I521" s="66"/>
      <c r="J521" s="66"/>
      <c r="K521" s="66"/>
      <c r="L521" s="66"/>
      <c r="M521" s="66"/>
      <c r="N521" s="66"/>
      <c r="O521" s="66"/>
      <c r="P521" s="66"/>
      <c r="Q521" s="66"/>
      <c r="R521" s="66"/>
      <c r="S521" s="66"/>
      <c r="T521" s="66"/>
      <c r="U521" s="66"/>
      <c r="V521" s="66"/>
      <c r="W521" s="66"/>
      <c r="X521" s="66"/>
      <c r="Y521" s="66"/>
      <c r="Z521" s="66"/>
      <c r="AA521" s="66"/>
      <c r="AB521" s="66"/>
      <c r="AC521" s="66"/>
      <c r="AD521" s="66"/>
      <c r="AE521" s="66"/>
      <c r="AF521" s="66"/>
      <c r="AG521" s="66"/>
      <c r="CF521" s="68"/>
    </row>
    <row r="522" spans="1:84" ht="17.399999999999999" x14ac:dyDescent="0.35">
      <c r="A522" s="67"/>
      <c r="B522" s="67"/>
      <c r="C522" s="66"/>
      <c r="D522" s="66"/>
      <c r="E522" s="66"/>
      <c r="F522" s="66"/>
      <c r="G522" s="66"/>
      <c r="H522" s="66"/>
      <c r="I522" s="66"/>
      <c r="J522" s="66"/>
      <c r="K522" s="66"/>
      <c r="L522" s="66"/>
      <c r="M522" s="66"/>
      <c r="N522" s="66"/>
      <c r="O522" s="66"/>
      <c r="P522" s="66"/>
      <c r="Q522" s="66"/>
      <c r="R522" s="66"/>
      <c r="S522" s="66"/>
      <c r="T522" s="66"/>
      <c r="U522" s="66"/>
      <c r="V522" s="66"/>
      <c r="W522" s="66"/>
      <c r="X522" s="66"/>
      <c r="Y522" s="66"/>
      <c r="Z522" s="66"/>
      <c r="AA522" s="66"/>
      <c r="AB522" s="66"/>
      <c r="AC522" s="66"/>
      <c r="AD522" s="66"/>
      <c r="AE522" s="66"/>
      <c r="AF522" s="66"/>
      <c r="AG522" s="66"/>
      <c r="CF522" s="68"/>
    </row>
    <row r="523" spans="1:84" ht="17.399999999999999" x14ac:dyDescent="0.35">
      <c r="A523" s="67"/>
      <c r="B523" s="67"/>
      <c r="C523" s="66"/>
      <c r="D523" s="66"/>
      <c r="E523" s="66"/>
      <c r="F523" s="66"/>
      <c r="G523" s="66"/>
      <c r="H523" s="66"/>
      <c r="I523" s="66"/>
      <c r="J523" s="66"/>
      <c r="K523" s="66"/>
      <c r="L523" s="66"/>
      <c r="M523" s="66"/>
      <c r="N523" s="66"/>
      <c r="O523" s="66"/>
      <c r="P523" s="66"/>
      <c r="Q523" s="66"/>
      <c r="R523" s="66"/>
      <c r="S523" s="66"/>
      <c r="T523" s="66"/>
      <c r="U523" s="66"/>
      <c r="V523" s="66"/>
      <c r="W523" s="66"/>
      <c r="X523" s="66"/>
      <c r="Y523" s="66"/>
      <c r="Z523" s="66"/>
      <c r="AA523" s="66"/>
      <c r="AB523" s="66"/>
      <c r="AC523" s="66"/>
      <c r="AD523" s="66"/>
      <c r="AE523" s="66"/>
      <c r="AF523" s="66"/>
      <c r="AG523" s="66"/>
      <c r="CF523" s="68"/>
    </row>
    <row r="524" spans="1:84" ht="17.399999999999999" x14ac:dyDescent="0.35">
      <c r="A524" s="67"/>
      <c r="B524" s="67"/>
      <c r="C524" s="66"/>
      <c r="D524" s="66"/>
      <c r="E524" s="66"/>
      <c r="F524" s="66"/>
      <c r="G524" s="66"/>
      <c r="H524" s="66"/>
      <c r="I524" s="66"/>
      <c r="J524" s="66"/>
      <c r="K524" s="66"/>
      <c r="L524" s="66"/>
      <c r="M524" s="66"/>
      <c r="N524" s="66"/>
      <c r="O524" s="66"/>
      <c r="P524" s="66"/>
      <c r="Q524" s="66"/>
      <c r="R524" s="66"/>
      <c r="S524" s="66"/>
      <c r="T524" s="66"/>
      <c r="U524" s="66"/>
      <c r="V524" s="66"/>
      <c r="W524" s="66"/>
      <c r="X524" s="66"/>
      <c r="Y524" s="66"/>
      <c r="Z524" s="66"/>
      <c r="AA524" s="66"/>
      <c r="AB524" s="66"/>
      <c r="AC524" s="66"/>
      <c r="AD524" s="66"/>
      <c r="AE524" s="66"/>
      <c r="AF524" s="66"/>
      <c r="AG524" s="66"/>
      <c r="CF524" s="68"/>
    </row>
    <row r="525" spans="1:84" ht="17.399999999999999" x14ac:dyDescent="0.35">
      <c r="A525" s="67"/>
      <c r="B525" s="67"/>
      <c r="C525" s="66"/>
      <c r="D525" s="66"/>
      <c r="E525" s="66"/>
      <c r="F525" s="66"/>
      <c r="G525" s="66"/>
      <c r="H525" s="66"/>
      <c r="I525" s="66"/>
      <c r="J525" s="66"/>
      <c r="K525" s="66"/>
      <c r="L525" s="66"/>
      <c r="M525" s="66"/>
      <c r="N525" s="66"/>
      <c r="O525" s="66"/>
      <c r="P525" s="66"/>
      <c r="Q525" s="66"/>
      <c r="R525" s="66"/>
      <c r="S525" s="66"/>
      <c r="T525" s="66"/>
      <c r="U525" s="66"/>
      <c r="V525" s="66"/>
      <c r="W525" s="66"/>
      <c r="X525" s="66"/>
      <c r="Y525" s="66"/>
      <c r="Z525" s="66"/>
      <c r="AA525" s="66"/>
      <c r="AB525" s="66"/>
      <c r="AC525" s="66"/>
      <c r="AD525" s="66"/>
      <c r="AE525" s="66"/>
      <c r="AF525" s="66"/>
      <c r="AG525" s="66"/>
      <c r="CF525" s="68"/>
    </row>
    <row r="526" spans="1:84" ht="17.399999999999999" x14ac:dyDescent="0.35">
      <c r="A526" s="67"/>
      <c r="B526" s="67"/>
      <c r="C526" s="66"/>
      <c r="D526" s="66"/>
      <c r="E526" s="66"/>
      <c r="F526" s="66"/>
      <c r="G526" s="66"/>
      <c r="H526" s="66"/>
      <c r="I526" s="66"/>
      <c r="J526" s="66"/>
      <c r="K526" s="66"/>
      <c r="L526" s="66"/>
      <c r="M526" s="66"/>
      <c r="N526" s="66"/>
      <c r="O526" s="66"/>
      <c r="P526" s="66"/>
      <c r="Q526" s="66"/>
      <c r="R526" s="66"/>
      <c r="S526" s="66"/>
      <c r="T526" s="66"/>
      <c r="U526" s="66"/>
      <c r="V526" s="66"/>
      <c r="W526" s="66"/>
      <c r="X526" s="66"/>
      <c r="Y526" s="66"/>
      <c r="Z526" s="66"/>
      <c r="AA526" s="66"/>
      <c r="AB526" s="66"/>
      <c r="AC526" s="66"/>
      <c r="AD526" s="66"/>
      <c r="AE526" s="66"/>
      <c r="AF526" s="66"/>
      <c r="AG526" s="66"/>
      <c r="CF526" s="68"/>
    </row>
    <row r="527" spans="1:84" ht="17.399999999999999" x14ac:dyDescent="0.35">
      <c r="A527" s="67"/>
      <c r="B527" s="67"/>
      <c r="C527" s="66"/>
      <c r="D527" s="66"/>
      <c r="E527" s="66"/>
      <c r="F527" s="66"/>
      <c r="G527" s="66"/>
      <c r="H527" s="66"/>
      <c r="I527" s="66"/>
      <c r="J527" s="66"/>
      <c r="K527" s="66"/>
      <c r="L527" s="66"/>
      <c r="M527" s="66"/>
      <c r="N527" s="66"/>
      <c r="O527" s="66"/>
      <c r="P527" s="66"/>
      <c r="Q527" s="66"/>
      <c r="R527" s="66"/>
      <c r="S527" s="66"/>
      <c r="T527" s="66"/>
      <c r="U527" s="66"/>
      <c r="V527" s="66"/>
      <c r="W527" s="66"/>
      <c r="X527" s="66"/>
      <c r="Y527" s="66"/>
      <c r="Z527" s="66"/>
      <c r="AA527" s="66"/>
      <c r="AB527" s="66"/>
      <c r="AC527" s="66"/>
      <c r="AD527" s="66"/>
      <c r="AE527" s="66"/>
      <c r="AF527" s="66"/>
      <c r="AG527" s="66"/>
      <c r="CF527" s="68"/>
    </row>
    <row r="528" spans="1:84" ht="17.399999999999999" x14ac:dyDescent="0.35">
      <c r="A528" s="67"/>
      <c r="B528" s="67"/>
      <c r="C528" s="66"/>
      <c r="D528" s="66"/>
      <c r="E528" s="66"/>
      <c r="F528" s="66"/>
      <c r="G528" s="66"/>
      <c r="H528" s="66"/>
      <c r="I528" s="66"/>
      <c r="J528" s="66"/>
      <c r="K528" s="66"/>
      <c r="L528" s="66"/>
      <c r="M528" s="66"/>
      <c r="N528" s="66"/>
      <c r="O528" s="66"/>
      <c r="P528" s="66"/>
      <c r="Q528" s="66"/>
      <c r="R528" s="66"/>
      <c r="S528" s="66"/>
      <c r="T528" s="66"/>
      <c r="U528" s="66"/>
      <c r="V528" s="66"/>
      <c r="W528" s="66"/>
      <c r="X528" s="66"/>
      <c r="Y528" s="66"/>
      <c r="Z528" s="66"/>
      <c r="AA528" s="66"/>
      <c r="AB528" s="66"/>
      <c r="AC528" s="66"/>
      <c r="AD528" s="66"/>
      <c r="AE528" s="66"/>
      <c r="AF528" s="66"/>
      <c r="AG528" s="66"/>
      <c r="CF528" s="68"/>
    </row>
    <row r="529" spans="1:84" ht="17.399999999999999" x14ac:dyDescent="0.35">
      <c r="A529" s="67"/>
      <c r="B529" s="67"/>
      <c r="C529" s="66"/>
      <c r="D529" s="66"/>
      <c r="E529" s="66"/>
      <c r="F529" s="66"/>
      <c r="G529" s="66"/>
      <c r="H529" s="66"/>
      <c r="I529" s="66"/>
      <c r="J529" s="66"/>
      <c r="K529" s="66"/>
      <c r="L529" s="66"/>
      <c r="M529" s="66"/>
      <c r="N529" s="66"/>
      <c r="O529" s="66"/>
      <c r="P529" s="66"/>
      <c r="Q529" s="66"/>
      <c r="R529" s="66"/>
      <c r="S529" s="66"/>
      <c r="T529" s="66"/>
      <c r="U529" s="66"/>
      <c r="V529" s="66"/>
      <c r="W529" s="66"/>
      <c r="X529" s="66"/>
      <c r="Y529" s="66"/>
      <c r="Z529" s="66"/>
      <c r="AA529" s="66"/>
      <c r="AB529" s="66"/>
      <c r="AC529" s="66"/>
      <c r="AD529" s="66"/>
      <c r="AE529" s="66"/>
      <c r="AF529" s="66"/>
      <c r="AG529" s="66"/>
      <c r="CF529" s="68"/>
    </row>
    <row r="530" spans="1:84" ht="17.399999999999999" x14ac:dyDescent="0.35">
      <c r="A530" s="67"/>
      <c r="B530" s="67"/>
      <c r="C530" s="66"/>
      <c r="D530" s="66"/>
      <c r="E530" s="66"/>
      <c r="F530" s="66"/>
      <c r="G530" s="66"/>
      <c r="H530" s="66"/>
      <c r="I530" s="66"/>
      <c r="J530" s="66"/>
      <c r="K530" s="66"/>
      <c r="L530" s="66"/>
      <c r="M530" s="66"/>
      <c r="N530" s="66"/>
      <c r="O530" s="66"/>
      <c r="P530" s="66"/>
      <c r="Q530" s="66"/>
      <c r="R530" s="66"/>
      <c r="S530" s="66"/>
      <c r="T530" s="66"/>
      <c r="U530" s="66"/>
      <c r="V530" s="66"/>
      <c r="W530" s="66"/>
      <c r="X530" s="66"/>
      <c r="Y530" s="66"/>
      <c r="Z530" s="66"/>
      <c r="AA530" s="66"/>
      <c r="AB530" s="66"/>
      <c r="AC530" s="66"/>
      <c r="AD530" s="66"/>
      <c r="AE530" s="66"/>
      <c r="AF530" s="66"/>
      <c r="AG530" s="66"/>
      <c r="CF530" s="68"/>
    </row>
    <row r="531" spans="1:84" ht="17.399999999999999" x14ac:dyDescent="0.35">
      <c r="A531" s="67"/>
      <c r="B531" s="67"/>
      <c r="C531" s="66"/>
      <c r="D531" s="66"/>
      <c r="E531" s="66"/>
      <c r="F531" s="66"/>
      <c r="G531" s="66"/>
      <c r="H531" s="66"/>
      <c r="I531" s="66"/>
      <c r="J531" s="66"/>
      <c r="K531" s="66"/>
      <c r="L531" s="66"/>
      <c r="M531" s="66"/>
      <c r="N531" s="66"/>
      <c r="O531" s="66"/>
      <c r="P531" s="66"/>
      <c r="Q531" s="66"/>
      <c r="R531" s="66"/>
      <c r="S531" s="66"/>
      <c r="T531" s="66"/>
      <c r="U531" s="66"/>
      <c r="V531" s="66"/>
      <c r="W531" s="66"/>
      <c r="X531" s="66"/>
      <c r="Y531" s="66"/>
      <c r="Z531" s="66"/>
      <c r="AA531" s="66"/>
      <c r="AB531" s="66"/>
      <c r="AC531" s="66"/>
      <c r="AD531" s="66"/>
      <c r="AE531" s="66"/>
      <c r="AF531" s="66"/>
      <c r="AG531" s="66"/>
      <c r="CF531" s="68"/>
    </row>
    <row r="532" spans="1:84" ht="17.399999999999999" x14ac:dyDescent="0.35">
      <c r="A532" s="67"/>
      <c r="B532" s="67"/>
      <c r="C532" s="66"/>
      <c r="D532" s="66"/>
      <c r="E532" s="66"/>
      <c r="F532" s="66"/>
      <c r="G532" s="66"/>
      <c r="H532" s="66"/>
      <c r="I532" s="66"/>
      <c r="J532" s="66"/>
      <c r="K532" s="66"/>
      <c r="L532" s="66"/>
      <c r="M532" s="66"/>
      <c r="N532" s="66"/>
      <c r="O532" s="66"/>
      <c r="P532" s="66"/>
      <c r="Q532" s="66"/>
      <c r="R532" s="66"/>
      <c r="S532" s="66"/>
      <c r="T532" s="66"/>
      <c r="U532" s="66"/>
      <c r="V532" s="66"/>
      <c r="W532" s="66"/>
      <c r="X532" s="66"/>
      <c r="Y532" s="66"/>
      <c r="Z532" s="66"/>
      <c r="AA532" s="66"/>
      <c r="AB532" s="66"/>
      <c r="AC532" s="66"/>
      <c r="AD532" s="66"/>
      <c r="AE532" s="66"/>
      <c r="AF532" s="66"/>
      <c r="AG532" s="66"/>
      <c r="CF532" s="68"/>
    </row>
    <row r="533" spans="1:84" ht="17.399999999999999" x14ac:dyDescent="0.35">
      <c r="A533" s="67"/>
      <c r="B533" s="67"/>
      <c r="C533" s="66"/>
      <c r="D533" s="66"/>
      <c r="E533" s="66"/>
      <c r="F533" s="66"/>
      <c r="G533" s="66"/>
      <c r="H533" s="66"/>
      <c r="I533" s="66"/>
      <c r="J533" s="66"/>
      <c r="K533" s="66"/>
      <c r="L533" s="66"/>
      <c r="M533" s="66"/>
      <c r="N533" s="66"/>
      <c r="O533" s="66"/>
      <c r="P533" s="66"/>
      <c r="Q533" s="66"/>
      <c r="R533" s="66"/>
      <c r="S533" s="66"/>
      <c r="T533" s="66"/>
      <c r="U533" s="66"/>
      <c r="V533" s="66"/>
      <c r="W533" s="66"/>
      <c r="X533" s="66"/>
      <c r="Y533" s="66"/>
      <c r="Z533" s="66"/>
      <c r="AA533" s="66"/>
      <c r="AB533" s="66"/>
      <c r="AC533" s="66"/>
      <c r="AD533" s="66"/>
      <c r="AE533" s="66"/>
      <c r="AF533" s="66"/>
      <c r="AG533" s="66"/>
      <c r="CF533" s="68"/>
    </row>
    <row r="534" spans="1:84" ht="17.399999999999999" x14ac:dyDescent="0.35">
      <c r="A534" s="67"/>
      <c r="B534" s="67"/>
      <c r="C534" s="66"/>
      <c r="D534" s="66"/>
      <c r="E534" s="66"/>
      <c r="F534" s="66"/>
      <c r="G534" s="66"/>
      <c r="H534" s="66"/>
      <c r="I534" s="66"/>
      <c r="J534" s="66"/>
      <c r="K534" s="66"/>
      <c r="L534" s="66"/>
      <c r="M534" s="66"/>
      <c r="N534" s="66"/>
      <c r="O534" s="66"/>
      <c r="P534" s="66"/>
      <c r="Q534" s="66"/>
      <c r="R534" s="66"/>
      <c r="S534" s="66"/>
      <c r="T534" s="66"/>
      <c r="U534" s="66"/>
      <c r="V534" s="66"/>
      <c r="W534" s="66"/>
      <c r="X534" s="66"/>
      <c r="Y534" s="66"/>
      <c r="Z534" s="66"/>
      <c r="AA534" s="66"/>
      <c r="AB534" s="66"/>
      <c r="AC534" s="66"/>
      <c r="AD534" s="66"/>
      <c r="AE534" s="66"/>
      <c r="AF534" s="66"/>
      <c r="AG534" s="66"/>
      <c r="CF534" s="68"/>
    </row>
    <row r="535" spans="1:84" ht="17.399999999999999" x14ac:dyDescent="0.35">
      <c r="A535" s="67"/>
      <c r="B535" s="67"/>
      <c r="C535" s="66"/>
      <c r="D535" s="66"/>
      <c r="E535" s="66"/>
      <c r="F535" s="66"/>
      <c r="G535" s="66"/>
      <c r="H535" s="66"/>
      <c r="I535" s="66"/>
      <c r="J535" s="66"/>
      <c r="K535" s="66"/>
      <c r="L535" s="66"/>
      <c r="M535" s="66"/>
      <c r="N535" s="66"/>
      <c r="O535" s="66"/>
      <c r="P535" s="66"/>
      <c r="Q535" s="66"/>
      <c r="R535" s="66"/>
      <c r="S535" s="66"/>
      <c r="T535" s="66"/>
      <c r="U535" s="66"/>
      <c r="V535" s="66"/>
      <c r="W535" s="66"/>
      <c r="X535" s="66"/>
      <c r="Y535" s="66"/>
      <c r="Z535" s="66"/>
      <c r="AA535" s="66"/>
      <c r="AB535" s="66"/>
      <c r="AC535" s="66"/>
      <c r="AD535" s="66"/>
      <c r="AE535" s="66"/>
      <c r="AF535" s="66"/>
      <c r="AG535" s="66"/>
      <c r="CF535" s="68"/>
    </row>
    <row r="536" spans="1:84" ht="17.399999999999999" x14ac:dyDescent="0.35">
      <c r="A536" s="67"/>
      <c r="B536" s="67"/>
      <c r="C536" s="66"/>
      <c r="D536" s="66"/>
      <c r="E536" s="66"/>
      <c r="F536" s="66"/>
      <c r="G536" s="66"/>
      <c r="H536" s="66"/>
      <c r="I536" s="66"/>
      <c r="J536" s="66"/>
      <c r="K536" s="66"/>
      <c r="L536" s="66"/>
      <c r="M536" s="66"/>
      <c r="N536" s="66"/>
      <c r="O536" s="66"/>
      <c r="P536" s="66"/>
      <c r="Q536" s="66"/>
      <c r="R536" s="66"/>
      <c r="S536" s="66"/>
      <c r="T536" s="66"/>
      <c r="U536" s="66"/>
      <c r="V536" s="66"/>
      <c r="W536" s="66"/>
      <c r="X536" s="66"/>
      <c r="Y536" s="66"/>
      <c r="Z536" s="66"/>
      <c r="AA536" s="66"/>
      <c r="AB536" s="66"/>
      <c r="AC536" s="66"/>
      <c r="AD536" s="66"/>
      <c r="AE536" s="66"/>
      <c r="AF536" s="66"/>
      <c r="AG536" s="66"/>
      <c r="CF536" s="68"/>
    </row>
    <row r="537" spans="1:84" ht="17.399999999999999" x14ac:dyDescent="0.35">
      <c r="A537" s="67"/>
      <c r="B537" s="67"/>
      <c r="C537" s="66"/>
      <c r="D537" s="66"/>
      <c r="E537" s="66"/>
      <c r="F537" s="66"/>
      <c r="G537" s="66"/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AA537" s="66"/>
      <c r="AB537" s="66"/>
      <c r="AC537" s="66"/>
      <c r="AD537" s="66"/>
      <c r="AE537" s="66"/>
      <c r="AF537" s="66"/>
      <c r="AG537" s="66"/>
      <c r="CF537" s="68"/>
    </row>
    <row r="538" spans="1:84" ht="17.399999999999999" x14ac:dyDescent="0.35">
      <c r="A538" s="67"/>
      <c r="B538" s="67"/>
      <c r="C538" s="66"/>
      <c r="D538" s="66"/>
      <c r="E538" s="66"/>
      <c r="F538" s="66"/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AA538" s="66"/>
      <c r="AB538" s="66"/>
      <c r="AC538" s="66"/>
      <c r="AD538" s="66"/>
      <c r="AE538" s="66"/>
      <c r="AF538" s="66"/>
      <c r="AG538" s="66"/>
      <c r="CF538" s="68"/>
    </row>
    <row r="539" spans="1:84" ht="17.399999999999999" x14ac:dyDescent="0.35">
      <c r="A539" s="67"/>
      <c r="B539" s="67"/>
      <c r="C539" s="66"/>
      <c r="D539" s="66"/>
      <c r="E539" s="66"/>
      <c r="F539" s="66"/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AA539" s="66"/>
      <c r="AB539" s="66"/>
      <c r="AC539" s="66"/>
      <c r="AD539" s="66"/>
      <c r="AE539" s="66"/>
      <c r="AF539" s="66"/>
      <c r="AG539" s="66"/>
      <c r="CF539" s="68"/>
    </row>
    <row r="540" spans="1:84" ht="17.399999999999999" x14ac:dyDescent="0.35">
      <c r="A540" s="67"/>
      <c r="B540" s="67"/>
      <c r="C540" s="66"/>
      <c r="D540" s="66"/>
      <c r="E540" s="66"/>
      <c r="F540" s="66"/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AA540" s="66"/>
      <c r="AB540" s="66"/>
      <c r="AC540" s="66"/>
      <c r="AD540" s="66"/>
      <c r="AE540" s="66"/>
      <c r="AF540" s="66"/>
      <c r="AG540" s="66"/>
      <c r="CF540" s="68"/>
    </row>
    <row r="541" spans="1:84" ht="17.399999999999999" x14ac:dyDescent="0.35">
      <c r="A541" s="67"/>
      <c r="B541" s="67"/>
      <c r="C541" s="66"/>
      <c r="D541" s="66"/>
      <c r="E541" s="66"/>
      <c r="F541" s="66"/>
      <c r="G541" s="66"/>
      <c r="H541" s="66"/>
      <c r="I541" s="66"/>
      <c r="J541" s="66"/>
      <c r="K541" s="66"/>
      <c r="L541" s="66"/>
      <c r="M541" s="66"/>
      <c r="N541" s="66"/>
      <c r="O541" s="66"/>
      <c r="P541" s="66"/>
      <c r="Q541" s="66"/>
      <c r="R541" s="66"/>
      <c r="S541" s="66"/>
      <c r="T541" s="66"/>
      <c r="U541" s="66"/>
      <c r="V541" s="66"/>
      <c r="W541" s="66"/>
      <c r="X541" s="66"/>
      <c r="Y541" s="66"/>
      <c r="Z541" s="66"/>
      <c r="AA541" s="66"/>
      <c r="AB541" s="66"/>
      <c r="AC541" s="66"/>
      <c r="AD541" s="66"/>
      <c r="AE541" s="66"/>
      <c r="AF541" s="66"/>
      <c r="AG541" s="66"/>
      <c r="CF541" s="68"/>
    </row>
    <row r="542" spans="1:84" ht="17.399999999999999" x14ac:dyDescent="0.35">
      <c r="A542" s="67"/>
      <c r="B542" s="67"/>
      <c r="C542" s="66"/>
      <c r="D542" s="66"/>
      <c r="E542" s="66"/>
      <c r="F542" s="66"/>
      <c r="G542" s="66"/>
      <c r="H542" s="66"/>
      <c r="I542" s="66"/>
      <c r="J542" s="66"/>
      <c r="K542" s="66"/>
      <c r="L542" s="66"/>
      <c r="M542" s="66"/>
      <c r="N542" s="66"/>
      <c r="O542" s="66"/>
      <c r="P542" s="66"/>
      <c r="Q542" s="66"/>
      <c r="R542" s="66"/>
      <c r="S542" s="66"/>
      <c r="T542" s="66"/>
      <c r="U542" s="66"/>
      <c r="V542" s="66"/>
      <c r="W542" s="66"/>
      <c r="X542" s="66"/>
      <c r="Y542" s="66"/>
      <c r="Z542" s="66"/>
      <c r="AA542" s="66"/>
      <c r="AB542" s="66"/>
      <c r="AC542" s="66"/>
      <c r="AD542" s="66"/>
      <c r="AE542" s="66"/>
      <c r="AF542" s="66"/>
      <c r="AG542" s="66"/>
      <c r="CF542" s="68"/>
    </row>
    <row r="543" spans="1:84" ht="17.399999999999999" x14ac:dyDescent="0.35">
      <c r="A543" s="67"/>
      <c r="B543" s="67"/>
      <c r="C543" s="66"/>
      <c r="D543" s="66"/>
      <c r="E543" s="66"/>
      <c r="F543" s="66"/>
      <c r="G543" s="66"/>
      <c r="H543" s="66"/>
      <c r="I543" s="66"/>
      <c r="J543" s="66"/>
      <c r="K543" s="66"/>
      <c r="L543" s="66"/>
      <c r="M543" s="66"/>
      <c r="N543" s="66"/>
      <c r="O543" s="66"/>
      <c r="P543" s="66"/>
      <c r="Q543" s="66"/>
      <c r="R543" s="66"/>
      <c r="S543" s="66"/>
      <c r="T543" s="66"/>
      <c r="U543" s="66"/>
      <c r="V543" s="66"/>
      <c r="W543" s="66"/>
      <c r="X543" s="66"/>
      <c r="Y543" s="66"/>
      <c r="Z543" s="66"/>
      <c r="AA543" s="66"/>
      <c r="AB543" s="66"/>
      <c r="AC543" s="66"/>
      <c r="AD543" s="66"/>
      <c r="AE543" s="66"/>
      <c r="AF543" s="66"/>
      <c r="AG543" s="66"/>
      <c r="CF543" s="68"/>
    </row>
    <row r="544" spans="1:84" ht="17.399999999999999" x14ac:dyDescent="0.35">
      <c r="A544" s="67"/>
      <c r="B544" s="67"/>
      <c r="C544" s="66"/>
      <c r="D544" s="66"/>
      <c r="E544" s="66"/>
      <c r="F544" s="66"/>
      <c r="G544" s="66"/>
      <c r="H544" s="66"/>
      <c r="I544" s="66"/>
      <c r="J544" s="66"/>
      <c r="K544" s="66"/>
      <c r="L544" s="66"/>
      <c r="M544" s="66"/>
      <c r="N544" s="66"/>
      <c r="O544" s="66"/>
      <c r="P544" s="66"/>
      <c r="Q544" s="66"/>
      <c r="R544" s="66"/>
      <c r="S544" s="66"/>
      <c r="T544" s="66"/>
      <c r="U544" s="66"/>
      <c r="V544" s="66"/>
      <c r="W544" s="66"/>
      <c r="X544" s="66"/>
      <c r="Y544" s="66"/>
      <c r="Z544" s="66"/>
      <c r="AA544" s="66"/>
      <c r="AB544" s="66"/>
      <c r="AC544" s="66"/>
      <c r="AD544" s="66"/>
      <c r="AE544" s="66"/>
      <c r="AF544" s="66"/>
      <c r="AG544" s="66"/>
      <c r="CF544" s="68"/>
    </row>
    <row r="545" spans="1:84" ht="17.399999999999999" x14ac:dyDescent="0.35">
      <c r="A545" s="67"/>
      <c r="B545" s="67"/>
      <c r="C545" s="66"/>
      <c r="D545" s="66"/>
      <c r="E545" s="66"/>
      <c r="F545" s="66"/>
      <c r="G545" s="66"/>
      <c r="H545" s="66"/>
      <c r="I545" s="66"/>
      <c r="J545" s="66"/>
      <c r="K545" s="66"/>
      <c r="L545" s="66"/>
      <c r="M545" s="66"/>
      <c r="N545" s="66"/>
      <c r="O545" s="66"/>
      <c r="P545" s="66"/>
      <c r="Q545" s="66"/>
      <c r="R545" s="66"/>
      <c r="S545" s="66"/>
      <c r="T545" s="66"/>
      <c r="U545" s="66"/>
      <c r="V545" s="66"/>
      <c r="W545" s="66"/>
      <c r="X545" s="66"/>
      <c r="Y545" s="66"/>
      <c r="Z545" s="66"/>
      <c r="AA545" s="66"/>
      <c r="AB545" s="66"/>
      <c r="AC545" s="66"/>
      <c r="AD545" s="66"/>
      <c r="AE545" s="66"/>
      <c r="AF545" s="66"/>
      <c r="AG545" s="66"/>
      <c r="CF545" s="68"/>
    </row>
    <row r="546" spans="1:84" ht="17.399999999999999" x14ac:dyDescent="0.35">
      <c r="A546" s="67"/>
      <c r="B546" s="67"/>
      <c r="C546" s="66"/>
      <c r="D546" s="66"/>
      <c r="E546" s="66"/>
      <c r="F546" s="66"/>
      <c r="G546" s="66"/>
      <c r="H546" s="66"/>
      <c r="I546" s="66"/>
      <c r="J546" s="66"/>
      <c r="K546" s="66"/>
      <c r="L546" s="66"/>
      <c r="M546" s="66"/>
      <c r="N546" s="66"/>
      <c r="O546" s="66"/>
      <c r="P546" s="66"/>
      <c r="Q546" s="66"/>
      <c r="R546" s="66"/>
      <c r="S546" s="66"/>
      <c r="T546" s="66"/>
      <c r="U546" s="66"/>
      <c r="V546" s="66"/>
      <c r="W546" s="66"/>
      <c r="X546" s="66"/>
      <c r="Y546" s="66"/>
      <c r="Z546" s="66"/>
      <c r="AA546" s="66"/>
      <c r="AB546" s="66"/>
      <c r="AC546" s="66"/>
      <c r="AD546" s="66"/>
      <c r="AE546" s="66"/>
      <c r="AF546" s="66"/>
      <c r="AG546" s="66"/>
      <c r="CF546" s="68"/>
    </row>
    <row r="547" spans="1:84" ht="17.399999999999999" x14ac:dyDescent="0.35">
      <c r="A547" s="67"/>
      <c r="B547" s="67"/>
      <c r="C547" s="66"/>
      <c r="D547" s="66"/>
      <c r="E547" s="66"/>
      <c r="F547" s="66"/>
      <c r="G547" s="66"/>
      <c r="H547" s="66"/>
      <c r="I547" s="66"/>
      <c r="J547" s="66"/>
      <c r="K547" s="66"/>
      <c r="L547" s="66"/>
      <c r="M547" s="66"/>
      <c r="N547" s="66"/>
      <c r="O547" s="66"/>
      <c r="P547" s="66"/>
      <c r="Q547" s="66"/>
      <c r="R547" s="66"/>
      <c r="S547" s="66"/>
      <c r="T547" s="66"/>
      <c r="U547" s="66"/>
      <c r="V547" s="66"/>
      <c r="W547" s="66"/>
      <c r="X547" s="66"/>
      <c r="Y547" s="66"/>
      <c r="Z547" s="66"/>
      <c r="AA547" s="66"/>
      <c r="AB547" s="66"/>
      <c r="AC547" s="66"/>
      <c r="AD547" s="66"/>
      <c r="AE547" s="66"/>
      <c r="AF547" s="66"/>
      <c r="AG547" s="66"/>
      <c r="CF547" s="68"/>
    </row>
    <row r="548" spans="1:84" ht="17.399999999999999" x14ac:dyDescent="0.35">
      <c r="A548" s="67"/>
      <c r="B548" s="67"/>
      <c r="C548" s="66"/>
      <c r="D548" s="66"/>
      <c r="E548" s="66"/>
      <c r="F548" s="66"/>
      <c r="G548" s="66"/>
      <c r="H548" s="66"/>
      <c r="I548" s="66"/>
      <c r="J548" s="66"/>
      <c r="K548" s="66"/>
      <c r="L548" s="66"/>
      <c r="M548" s="66"/>
      <c r="N548" s="66"/>
      <c r="O548" s="66"/>
      <c r="P548" s="66"/>
      <c r="Q548" s="66"/>
      <c r="R548" s="66"/>
      <c r="S548" s="66"/>
      <c r="T548" s="66"/>
      <c r="U548" s="66"/>
      <c r="V548" s="66"/>
      <c r="W548" s="66"/>
      <c r="X548" s="66"/>
      <c r="Y548" s="66"/>
      <c r="Z548" s="66"/>
      <c r="AA548" s="66"/>
      <c r="AB548" s="66"/>
      <c r="AC548" s="66"/>
      <c r="AD548" s="66"/>
      <c r="AE548" s="66"/>
      <c r="AF548" s="66"/>
      <c r="AG548" s="66"/>
      <c r="CF548" s="68"/>
    </row>
    <row r="549" spans="1:84" ht="17.399999999999999" x14ac:dyDescent="0.35">
      <c r="A549" s="67"/>
      <c r="B549" s="67"/>
      <c r="C549" s="66"/>
      <c r="D549" s="66"/>
      <c r="E549" s="66"/>
      <c r="F549" s="66"/>
      <c r="G549" s="66"/>
      <c r="H549" s="66"/>
      <c r="I549" s="66"/>
      <c r="J549" s="66"/>
      <c r="K549" s="66"/>
      <c r="L549" s="66"/>
      <c r="M549" s="66"/>
      <c r="N549" s="66"/>
      <c r="O549" s="66"/>
      <c r="P549" s="66"/>
      <c r="Q549" s="66"/>
      <c r="R549" s="66"/>
      <c r="S549" s="66"/>
      <c r="T549" s="66"/>
      <c r="U549" s="66"/>
      <c r="V549" s="66"/>
      <c r="W549" s="66"/>
      <c r="X549" s="66"/>
      <c r="Y549" s="66"/>
      <c r="Z549" s="66"/>
      <c r="AA549" s="66"/>
      <c r="AB549" s="66"/>
      <c r="AC549" s="66"/>
      <c r="AD549" s="66"/>
      <c r="AE549" s="66"/>
      <c r="AF549" s="66"/>
      <c r="AG549" s="66"/>
      <c r="CF549" s="68"/>
    </row>
    <row r="550" spans="1:84" ht="17.399999999999999" x14ac:dyDescent="0.35">
      <c r="A550" s="67"/>
      <c r="B550" s="67"/>
      <c r="C550" s="66"/>
      <c r="D550" s="66"/>
      <c r="E550" s="66"/>
      <c r="F550" s="66"/>
      <c r="G550" s="66"/>
      <c r="H550" s="66"/>
      <c r="I550" s="66"/>
      <c r="J550" s="66"/>
      <c r="K550" s="66"/>
      <c r="L550" s="66"/>
      <c r="M550" s="66"/>
      <c r="N550" s="66"/>
      <c r="O550" s="66"/>
      <c r="P550" s="66"/>
      <c r="Q550" s="66"/>
      <c r="R550" s="66"/>
      <c r="S550" s="66"/>
      <c r="T550" s="66"/>
      <c r="U550" s="66"/>
      <c r="V550" s="66"/>
      <c r="W550" s="66"/>
      <c r="X550" s="66"/>
      <c r="Y550" s="66"/>
      <c r="Z550" s="66"/>
      <c r="AA550" s="66"/>
      <c r="AB550" s="66"/>
      <c r="AC550" s="66"/>
      <c r="AD550" s="66"/>
      <c r="AE550" s="66"/>
      <c r="AF550" s="66"/>
      <c r="AG550" s="66"/>
      <c r="CF550" s="68"/>
    </row>
    <row r="551" spans="1:84" ht="17.399999999999999" x14ac:dyDescent="0.35">
      <c r="A551" s="67"/>
      <c r="B551" s="67"/>
      <c r="C551" s="66"/>
      <c r="D551" s="66"/>
      <c r="E551" s="66"/>
      <c r="F551" s="66"/>
      <c r="G551" s="66"/>
      <c r="H551" s="66"/>
      <c r="I551" s="66"/>
      <c r="J551" s="66"/>
      <c r="K551" s="66"/>
      <c r="L551" s="66"/>
      <c r="M551" s="66"/>
      <c r="N551" s="66"/>
      <c r="O551" s="66"/>
      <c r="P551" s="66"/>
      <c r="Q551" s="66"/>
      <c r="R551" s="66"/>
      <c r="S551" s="66"/>
      <c r="T551" s="66"/>
      <c r="U551" s="66"/>
      <c r="V551" s="66"/>
      <c r="W551" s="66"/>
      <c r="X551" s="66"/>
      <c r="Y551" s="66"/>
      <c r="Z551" s="66"/>
      <c r="AA551" s="66"/>
      <c r="AB551" s="66"/>
      <c r="AC551" s="66"/>
      <c r="AD551" s="66"/>
      <c r="AE551" s="66"/>
      <c r="AF551" s="66"/>
      <c r="AG551" s="66"/>
      <c r="CF551" s="68"/>
    </row>
    <row r="552" spans="1:84" ht="17.399999999999999" x14ac:dyDescent="0.35">
      <c r="A552" s="67"/>
      <c r="B552" s="67"/>
      <c r="C552" s="66"/>
      <c r="D552" s="66"/>
      <c r="E552" s="66"/>
      <c r="F552" s="66"/>
      <c r="G552" s="66"/>
      <c r="H552" s="66"/>
      <c r="I552" s="66"/>
      <c r="J552" s="66"/>
      <c r="K552" s="66"/>
      <c r="L552" s="66"/>
      <c r="M552" s="66"/>
      <c r="N552" s="66"/>
      <c r="O552" s="66"/>
      <c r="P552" s="66"/>
      <c r="Q552" s="66"/>
      <c r="R552" s="66"/>
      <c r="S552" s="66"/>
      <c r="T552" s="66"/>
      <c r="U552" s="66"/>
      <c r="V552" s="66"/>
      <c r="W552" s="66"/>
      <c r="X552" s="66"/>
      <c r="Y552" s="66"/>
      <c r="Z552" s="66"/>
      <c r="AA552" s="66"/>
      <c r="AB552" s="66"/>
      <c r="AC552" s="66"/>
      <c r="AD552" s="66"/>
      <c r="AE552" s="66"/>
      <c r="AF552" s="66"/>
      <c r="AG552" s="66"/>
      <c r="CF552" s="68"/>
    </row>
    <row r="553" spans="1:84" ht="17.399999999999999" x14ac:dyDescent="0.35">
      <c r="A553" s="67"/>
      <c r="B553" s="67"/>
      <c r="C553" s="66"/>
      <c r="D553" s="66"/>
      <c r="E553" s="66"/>
      <c r="F553" s="66"/>
      <c r="G553" s="66"/>
      <c r="H553" s="66"/>
      <c r="I553" s="66"/>
      <c r="J553" s="66"/>
      <c r="K553" s="66"/>
      <c r="L553" s="66"/>
      <c r="M553" s="66"/>
      <c r="N553" s="66"/>
      <c r="O553" s="66"/>
      <c r="P553" s="66"/>
      <c r="Q553" s="66"/>
      <c r="R553" s="66"/>
      <c r="S553" s="66"/>
      <c r="T553" s="66"/>
      <c r="U553" s="66"/>
      <c r="V553" s="66"/>
      <c r="W553" s="66"/>
      <c r="X553" s="66"/>
      <c r="Y553" s="66"/>
      <c r="Z553" s="66"/>
      <c r="AA553" s="66"/>
      <c r="AB553" s="66"/>
      <c r="AC553" s="66"/>
      <c r="AD553" s="66"/>
      <c r="AE553" s="66"/>
      <c r="AF553" s="66"/>
      <c r="AG553" s="66"/>
      <c r="CF553" s="68"/>
    </row>
    <row r="554" spans="1:84" ht="17.399999999999999" x14ac:dyDescent="0.35">
      <c r="A554" s="67"/>
      <c r="B554" s="67"/>
      <c r="C554" s="66"/>
      <c r="D554" s="66"/>
      <c r="E554" s="66"/>
      <c r="F554" s="66"/>
      <c r="G554" s="66"/>
      <c r="H554" s="66"/>
      <c r="I554" s="66"/>
      <c r="J554" s="66"/>
      <c r="K554" s="66"/>
      <c r="L554" s="66"/>
      <c r="M554" s="66"/>
      <c r="N554" s="66"/>
      <c r="O554" s="66"/>
      <c r="P554" s="66"/>
      <c r="Q554" s="66"/>
      <c r="R554" s="66"/>
      <c r="S554" s="66"/>
      <c r="T554" s="66"/>
      <c r="U554" s="66"/>
      <c r="V554" s="66"/>
      <c r="W554" s="66"/>
      <c r="X554" s="66"/>
      <c r="Y554" s="66"/>
      <c r="Z554" s="66"/>
      <c r="AA554" s="66"/>
      <c r="AB554" s="66"/>
      <c r="AC554" s="66"/>
      <c r="AD554" s="66"/>
      <c r="AE554" s="66"/>
      <c r="AF554" s="66"/>
      <c r="AG554" s="66"/>
      <c r="CF554" s="68"/>
    </row>
    <row r="555" spans="1:84" ht="17.399999999999999" x14ac:dyDescent="0.35">
      <c r="A555" s="67"/>
      <c r="B555" s="67"/>
      <c r="C555" s="66"/>
      <c r="D555" s="66"/>
      <c r="E555" s="66"/>
      <c r="F555" s="66"/>
      <c r="G555" s="66"/>
      <c r="H555" s="66"/>
      <c r="I555" s="66"/>
      <c r="J555" s="66"/>
      <c r="K555" s="66"/>
      <c r="L555" s="66"/>
      <c r="M555" s="66"/>
      <c r="N555" s="66"/>
      <c r="O555" s="66"/>
      <c r="P555" s="66"/>
      <c r="Q555" s="66"/>
      <c r="R555" s="66"/>
      <c r="S555" s="66"/>
      <c r="T555" s="66"/>
      <c r="U555" s="66"/>
      <c r="V555" s="66"/>
      <c r="W555" s="66"/>
      <c r="X555" s="66"/>
      <c r="Y555" s="66"/>
      <c r="Z555" s="66"/>
      <c r="AA555" s="66"/>
      <c r="AB555" s="66"/>
      <c r="AC555" s="66"/>
      <c r="AD555" s="66"/>
      <c r="AE555" s="66"/>
      <c r="AF555" s="66"/>
      <c r="AG555" s="66"/>
      <c r="CF555" s="68"/>
    </row>
    <row r="556" spans="1:84" ht="17.399999999999999" x14ac:dyDescent="0.35">
      <c r="A556" s="67"/>
      <c r="B556" s="67"/>
      <c r="C556" s="66"/>
      <c r="D556" s="66"/>
      <c r="E556" s="66"/>
      <c r="F556" s="66"/>
      <c r="G556" s="66"/>
      <c r="H556" s="66"/>
      <c r="I556" s="66"/>
      <c r="J556" s="66"/>
      <c r="K556" s="66"/>
      <c r="L556" s="66"/>
      <c r="M556" s="66"/>
      <c r="N556" s="66"/>
      <c r="O556" s="66"/>
      <c r="P556" s="66"/>
      <c r="Q556" s="66"/>
      <c r="R556" s="66"/>
      <c r="S556" s="66"/>
      <c r="T556" s="66"/>
      <c r="U556" s="66"/>
      <c r="V556" s="66"/>
      <c r="W556" s="66"/>
      <c r="X556" s="66"/>
      <c r="Y556" s="66"/>
      <c r="Z556" s="66"/>
      <c r="AA556" s="66"/>
      <c r="AB556" s="66"/>
      <c r="AC556" s="66"/>
      <c r="AD556" s="66"/>
      <c r="AE556" s="66"/>
      <c r="AF556" s="66"/>
      <c r="AG556" s="66"/>
      <c r="CF556" s="68"/>
    </row>
    <row r="557" spans="1:84" ht="17.399999999999999" x14ac:dyDescent="0.35">
      <c r="A557" s="67"/>
      <c r="B557" s="67"/>
      <c r="C557" s="66"/>
      <c r="D557" s="66"/>
      <c r="E557" s="66"/>
      <c r="F557" s="66"/>
      <c r="G557" s="66"/>
      <c r="H557" s="66"/>
      <c r="I557" s="66"/>
      <c r="J557" s="66"/>
      <c r="K557" s="66"/>
      <c r="L557" s="66"/>
      <c r="M557" s="66"/>
      <c r="N557" s="66"/>
      <c r="O557" s="66"/>
      <c r="P557" s="66"/>
      <c r="Q557" s="66"/>
      <c r="R557" s="66"/>
      <c r="S557" s="66"/>
      <c r="T557" s="66"/>
      <c r="U557" s="66"/>
      <c r="V557" s="66"/>
      <c r="W557" s="66"/>
      <c r="X557" s="66"/>
      <c r="Y557" s="66"/>
      <c r="Z557" s="66"/>
      <c r="AA557" s="66"/>
      <c r="AB557" s="66"/>
      <c r="AC557" s="66"/>
      <c r="AD557" s="66"/>
      <c r="AE557" s="66"/>
      <c r="AF557" s="66"/>
      <c r="AG557" s="66"/>
      <c r="CF557" s="68"/>
    </row>
    <row r="558" spans="1:84" ht="17.399999999999999" x14ac:dyDescent="0.35">
      <c r="A558" s="67"/>
      <c r="B558" s="67"/>
      <c r="C558" s="66"/>
      <c r="D558" s="66"/>
      <c r="E558" s="66"/>
      <c r="F558" s="66"/>
      <c r="G558" s="66"/>
      <c r="H558" s="66"/>
      <c r="I558" s="66"/>
      <c r="J558" s="66"/>
      <c r="K558" s="66"/>
      <c r="L558" s="66"/>
      <c r="M558" s="66"/>
      <c r="N558" s="66"/>
      <c r="O558" s="66"/>
      <c r="P558" s="66"/>
      <c r="Q558" s="66"/>
      <c r="R558" s="66"/>
      <c r="S558" s="66"/>
      <c r="T558" s="66"/>
      <c r="U558" s="66"/>
      <c r="V558" s="66"/>
      <c r="W558" s="66"/>
      <c r="X558" s="66"/>
      <c r="Y558" s="66"/>
      <c r="Z558" s="66"/>
      <c r="AA558" s="66"/>
      <c r="AB558" s="66"/>
      <c r="AC558" s="66"/>
      <c r="AD558" s="66"/>
      <c r="AE558" s="66"/>
      <c r="AF558" s="66"/>
      <c r="AG558" s="66"/>
      <c r="CF558" s="68"/>
    </row>
    <row r="559" spans="1:84" ht="17.399999999999999" x14ac:dyDescent="0.35">
      <c r="A559" s="67"/>
      <c r="B559" s="67"/>
      <c r="C559" s="66"/>
      <c r="D559" s="66"/>
      <c r="E559" s="66"/>
      <c r="F559" s="66"/>
      <c r="G559" s="66"/>
      <c r="H559" s="66"/>
      <c r="I559" s="66"/>
      <c r="J559" s="66"/>
      <c r="K559" s="66"/>
      <c r="L559" s="66"/>
      <c r="M559" s="66"/>
      <c r="N559" s="66"/>
      <c r="O559" s="66"/>
      <c r="P559" s="66"/>
      <c r="Q559" s="66"/>
      <c r="R559" s="66"/>
      <c r="S559" s="66"/>
      <c r="T559" s="66"/>
      <c r="U559" s="66"/>
      <c r="V559" s="66"/>
      <c r="W559" s="66"/>
      <c r="X559" s="66"/>
      <c r="Y559" s="66"/>
      <c r="Z559" s="66"/>
      <c r="AA559" s="66"/>
      <c r="AB559" s="66"/>
      <c r="AC559" s="66"/>
      <c r="AD559" s="66"/>
      <c r="AE559" s="66"/>
      <c r="AF559" s="66"/>
      <c r="AG559" s="66"/>
      <c r="CF559" s="68"/>
    </row>
    <row r="560" spans="1:84" ht="17.399999999999999" x14ac:dyDescent="0.35">
      <c r="A560" s="67"/>
      <c r="B560" s="67"/>
      <c r="C560" s="66"/>
      <c r="D560" s="66"/>
      <c r="E560" s="66"/>
      <c r="F560" s="66"/>
      <c r="G560" s="66"/>
      <c r="H560" s="66"/>
      <c r="I560" s="66"/>
      <c r="J560" s="66"/>
      <c r="K560" s="66"/>
      <c r="L560" s="66"/>
      <c r="M560" s="66"/>
      <c r="N560" s="66"/>
      <c r="O560" s="66"/>
      <c r="P560" s="66"/>
      <c r="Q560" s="66"/>
      <c r="R560" s="66"/>
      <c r="S560" s="66"/>
      <c r="T560" s="66"/>
      <c r="U560" s="66"/>
      <c r="V560" s="66"/>
      <c r="W560" s="66"/>
      <c r="X560" s="66"/>
      <c r="Y560" s="66"/>
      <c r="Z560" s="66"/>
      <c r="AA560" s="66"/>
      <c r="AB560" s="66"/>
      <c r="AC560" s="66"/>
      <c r="AD560" s="66"/>
      <c r="AE560" s="66"/>
      <c r="AF560" s="66"/>
      <c r="AG560" s="66"/>
      <c r="CF560" s="68"/>
    </row>
    <row r="561" spans="1:84" ht="17.399999999999999" x14ac:dyDescent="0.35">
      <c r="A561" s="67"/>
      <c r="B561" s="67"/>
      <c r="C561" s="66"/>
      <c r="D561" s="66"/>
      <c r="E561" s="66"/>
      <c r="F561" s="66"/>
      <c r="G561" s="66"/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AA561" s="66"/>
      <c r="AB561" s="66"/>
      <c r="AC561" s="66"/>
      <c r="AD561" s="66"/>
      <c r="AE561" s="66"/>
      <c r="AF561" s="66"/>
      <c r="AG561" s="66"/>
      <c r="CF561" s="68"/>
    </row>
    <row r="562" spans="1:84" ht="17.399999999999999" x14ac:dyDescent="0.35">
      <c r="A562" s="67"/>
      <c r="B562" s="67"/>
      <c r="C562" s="66"/>
      <c r="D562" s="66"/>
      <c r="E562" s="66"/>
      <c r="F562" s="66"/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AA562" s="66"/>
      <c r="AB562" s="66"/>
      <c r="AC562" s="66"/>
      <c r="AD562" s="66"/>
      <c r="AE562" s="66"/>
      <c r="AF562" s="66"/>
      <c r="AG562" s="66"/>
      <c r="CF562" s="68"/>
    </row>
    <row r="563" spans="1:84" ht="17.399999999999999" x14ac:dyDescent="0.35">
      <c r="A563" s="67"/>
      <c r="B563" s="67"/>
      <c r="C563" s="66"/>
      <c r="D563" s="66"/>
      <c r="E563" s="66"/>
      <c r="F563" s="66"/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AA563" s="66"/>
      <c r="AB563" s="66"/>
      <c r="AC563" s="66"/>
      <c r="AD563" s="66"/>
      <c r="AE563" s="66"/>
      <c r="AF563" s="66"/>
      <c r="AG563" s="66"/>
      <c r="CF563" s="68"/>
    </row>
    <row r="564" spans="1:84" ht="17.399999999999999" x14ac:dyDescent="0.35">
      <c r="A564" s="67"/>
      <c r="B564" s="67"/>
      <c r="C564" s="66"/>
      <c r="D564" s="66"/>
      <c r="E564" s="66"/>
      <c r="F564" s="66"/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AA564" s="66"/>
      <c r="AB564" s="66"/>
      <c r="AC564" s="66"/>
      <c r="AD564" s="66"/>
      <c r="AE564" s="66"/>
      <c r="AF564" s="66"/>
      <c r="AG564" s="66"/>
      <c r="CF564" s="68"/>
    </row>
    <row r="565" spans="1:84" ht="17.399999999999999" x14ac:dyDescent="0.35">
      <c r="A565" s="67"/>
      <c r="B565" s="67"/>
      <c r="C565" s="66"/>
      <c r="D565" s="66"/>
      <c r="E565" s="66"/>
      <c r="F565" s="66"/>
      <c r="G565" s="66"/>
      <c r="H565" s="66"/>
      <c r="I565" s="66"/>
      <c r="J565" s="66"/>
      <c r="K565" s="66"/>
      <c r="L565" s="66"/>
      <c r="M565" s="66"/>
      <c r="N565" s="66"/>
      <c r="O565" s="66"/>
      <c r="P565" s="66"/>
      <c r="Q565" s="66"/>
      <c r="R565" s="66"/>
      <c r="S565" s="66"/>
      <c r="T565" s="66"/>
      <c r="U565" s="66"/>
      <c r="V565" s="66"/>
      <c r="W565" s="66"/>
      <c r="X565" s="66"/>
      <c r="Y565" s="66"/>
      <c r="Z565" s="66"/>
      <c r="AA565" s="66"/>
      <c r="AB565" s="66"/>
      <c r="AC565" s="66"/>
      <c r="AD565" s="66"/>
      <c r="AE565" s="66"/>
      <c r="AF565" s="66"/>
      <c r="AG565" s="66"/>
      <c r="CF565" s="68"/>
    </row>
    <row r="566" spans="1:84" ht="17.399999999999999" x14ac:dyDescent="0.35">
      <c r="A566" s="67"/>
      <c r="B566" s="67"/>
      <c r="C566" s="66"/>
      <c r="D566" s="66"/>
      <c r="E566" s="66"/>
      <c r="F566" s="66"/>
      <c r="G566" s="66"/>
      <c r="H566" s="66"/>
      <c r="I566" s="66"/>
      <c r="J566" s="66"/>
      <c r="K566" s="66"/>
      <c r="L566" s="66"/>
      <c r="M566" s="66"/>
      <c r="N566" s="66"/>
      <c r="O566" s="66"/>
      <c r="P566" s="66"/>
      <c r="Q566" s="66"/>
      <c r="R566" s="66"/>
      <c r="S566" s="66"/>
      <c r="T566" s="66"/>
      <c r="U566" s="66"/>
      <c r="V566" s="66"/>
      <c r="W566" s="66"/>
      <c r="X566" s="66"/>
      <c r="Y566" s="66"/>
      <c r="Z566" s="66"/>
      <c r="AA566" s="66"/>
      <c r="AB566" s="66"/>
      <c r="AC566" s="66"/>
      <c r="AD566" s="66"/>
      <c r="AE566" s="66"/>
      <c r="AF566" s="66"/>
      <c r="AG566" s="66"/>
      <c r="CF566" s="68"/>
    </row>
    <row r="567" spans="1:84" ht="17.399999999999999" x14ac:dyDescent="0.35">
      <c r="A567" s="67"/>
      <c r="B567" s="67"/>
      <c r="C567" s="66"/>
      <c r="D567" s="66"/>
      <c r="E567" s="66"/>
      <c r="F567" s="66"/>
      <c r="G567" s="66"/>
      <c r="H567" s="66"/>
      <c r="I567" s="66"/>
      <c r="J567" s="66"/>
      <c r="K567" s="66"/>
      <c r="L567" s="66"/>
      <c r="M567" s="66"/>
      <c r="N567" s="66"/>
      <c r="O567" s="66"/>
      <c r="P567" s="66"/>
      <c r="Q567" s="66"/>
      <c r="R567" s="66"/>
      <c r="S567" s="66"/>
      <c r="T567" s="66"/>
      <c r="U567" s="66"/>
      <c r="V567" s="66"/>
      <c r="W567" s="66"/>
      <c r="X567" s="66"/>
      <c r="Y567" s="66"/>
      <c r="Z567" s="66"/>
      <c r="AA567" s="66"/>
      <c r="AB567" s="66"/>
      <c r="AC567" s="66"/>
      <c r="AD567" s="66"/>
      <c r="AE567" s="66"/>
      <c r="AF567" s="66"/>
      <c r="AG567" s="66"/>
      <c r="CF567" s="68"/>
    </row>
    <row r="568" spans="1:84" ht="17.399999999999999" x14ac:dyDescent="0.35">
      <c r="A568" s="67"/>
      <c r="B568" s="67"/>
      <c r="C568" s="66"/>
      <c r="D568" s="66"/>
      <c r="E568" s="66"/>
      <c r="F568" s="66"/>
      <c r="G568" s="66"/>
      <c r="H568" s="66"/>
      <c r="I568" s="66"/>
      <c r="J568" s="66"/>
      <c r="K568" s="66"/>
      <c r="L568" s="66"/>
      <c r="M568" s="66"/>
      <c r="N568" s="66"/>
      <c r="O568" s="66"/>
      <c r="P568" s="66"/>
      <c r="Q568" s="66"/>
      <c r="R568" s="66"/>
      <c r="S568" s="66"/>
      <c r="T568" s="66"/>
      <c r="U568" s="66"/>
      <c r="V568" s="66"/>
      <c r="W568" s="66"/>
      <c r="X568" s="66"/>
      <c r="Y568" s="66"/>
      <c r="Z568" s="66"/>
      <c r="AA568" s="66"/>
      <c r="AB568" s="66"/>
      <c r="AC568" s="66"/>
      <c r="AD568" s="66"/>
      <c r="AE568" s="66"/>
      <c r="AF568" s="66"/>
      <c r="AG568" s="66"/>
      <c r="CF568" s="68"/>
    </row>
    <row r="569" spans="1:84" ht="17.399999999999999" x14ac:dyDescent="0.35">
      <c r="A569" s="67"/>
      <c r="B569" s="67"/>
      <c r="C569" s="66"/>
      <c r="D569" s="66"/>
      <c r="E569" s="66"/>
      <c r="F569" s="66"/>
      <c r="G569" s="66"/>
      <c r="H569" s="66"/>
      <c r="I569" s="66"/>
      <c r="J569" s="66"/>
      <c r="K569" s="66"/>
      <c r="L569" s="66"/>
      <c r="M569" s="66"/>
      <c r="N569" s="66"/>
      <c r="O569" s="66"/>
      <c r="P569" s="66"/>
      <c r="Q569" s="66"/>
      <c r="R569" s="66"/>
      <c r="S569" s="66"/>
      <c r="T569" s="66"/>
      <c r="U569" s="66"/>
      <c r="V569" s="66"/>
      <c r="W569" s="66"/>
      <c r="X569" s="66"/>
      <c r="Y569" s="66"/>
      <c r="Z569" s="66"/>
      <c r="AA569" s="66"/>
      <c r="AB569" s="66"/>
      <c r="AC569" s="66"/>
      <c r="AD569" s="66"/>
      <c r="AE569" s="66"/>
      <c r="AF569" s="66"/>
      <c r="AG569" s="66"/>
      <c r="CF569" s="68"/>
    </row>
    <row r="570" spans="1:84" ht="17.399999999999999" x14ac:dyDescent="0.35">
      <c r="A570" s="67"/>
      <c r="B570" s="67"/>
      <c r="C570" s="66"/>
      <c r="D570" s="66"/>
      <c r="E570" s="66"/>
      <c r="F570" s="66"/>
      <c r="G570" s="66"/>
      <c r="H570" s="66"/>
      <c r="I570" s="66"/>
      <c r="J570" s="66"/>
      <c r="K570" s="66"/>
      <c r="L570" s="66"/>
      <c r="M570" s="66"/>
      <c r="N570" s="66"/>
      <c r="O570" s="66"/>
      <c r="P570" s="66"/>
      <c r="Q570" s="66"/>
      <c r="R570" s="66"/>
      <c r="S570" s="66"/>
      <c r="T570" s="66"/>
      <c r="U570" s="66"/>
      <c r="V570" s="66"/>
      <c r="W570" s="66"/>
      <c r="X570" s="66"/>
      <c r="Y570" s="66"/>
      <c r="Z570" s="66"/>
      <c r="AA570" s="66"/>
      <c r="AB570" s="66"/>
      <c r="AC570" s="66"/>
      <c r="AD570" s="66"/>
      <c r="AE570" s="66"/>
      <c r="AF570" s="66"/>
      <c r="AG570" s="66"/>
      <c r="CF570" s="68"/>
    </row>
    <row r="571" spans="1:84" ht="17.399999999999999" x14ac:dyDescent="0.35">
      <c r="A571" s="67"/>
      <c r="B571" s="67"/>
      <c r="C571" s="66"/>
      <c r="D571" s="66"/>
      <c r="E571" s="66"/>
      <c r="F571" s="66"/>
      <c r="G571" s="66"/>
      <c r="H571" s="66"/>
      <c r="I571" s="66"/>
      <c r="J571" s="66"/>
      <c r="K571" s="66"/>
      <c r="L571" s="66"/>
      <c r="M571" s="66"/>
      <c r="N571" s="66"/>
      <c r="O571" s="66"/>
      <c r="P571" s="66"/>
      <c r="Q571" s="66"/>
      <c r="R571" s="66"/>
      <c r="S571" s="66"/>
      <c r="T571" s="66"/>
      <c r="U571" s="66"/>
      <c r="V571" s="66"/>
      <c r="W571" s="66"/>
      <c r="X571" s="66"/>
      <c r="Y571" s="66"/>
      <c r="Z571" s="66"/>
      <c r="AA571" s="66"/>
      <c r="AB571" s="66"/>
      <c r="AC571" s="66"/>
      <c r="AD571" s="66"/>
      <c r="AE571" s="66"/>
      <c r="AF571" s="66"/>
      <c r="AG571" s="66"/>
      <c r="CF571" s="68"/>
    </row>
    <row r="572" spans="1:84" ht="17.399999999999999" x14ac:dyDescent="0.35">
      <c r="A572" s="67"/>
      <c r="B572" s="67"/>
      <c r="C572" s="66"/>
      <c r="D572" s="66"/>
      <c r="E572" s="66"/>
      <c r="F572" s="66"/>
      <c r="G572" s="66"/>
      <c r="H572" s="66"/>
      <c r="I572" s="66"/>
      <c r="J572" s="66"/>
      <c r="K572" s="66"/>
      <c r="L572" s="66"/>
      <c r="M572" s="66"/>
      <c r="N572" s="66"/>
      <c r="O572" s="66"/>
      <c r="P572" s="66"/>
      <c r="Q572" s="66"/>
      <c r="R572" s="66"/>
      <c r="S572" s="66"/>
      <c r="T572" s="66"/>
      <c r="U572" s="66"/>
      <c r="V572" s="66"/>
      <c r="W572" s="66"/>
      <c r="X572" s="66"/>
      <c r="Y572" s="66"/>
      <c r="Z572" s="66"/>
      <c r="AA572" s="66"/>
      <c r="AB572" s="66"/>
      <c r="AC572" s="66"/>
      <c r="AD572" s="66"/>
      <c r="AE572" s="66"/>
      <c r="AF572" s="66"/>
      <c r="AG572" s="66"/>
      <c r="CF572" s="68"/>
    </row>
    <row r="573" spans="1:84" ht="17.399999999999999" x14ac:dyDescent="0.35">
      <c r="A573" s="67"/>
      <c r="B573" s="67"/>
      <c r="C573" s="66"/>
      <c r="D573" s="66"/>
      <c r="E573" s="66"/>
      <c r="F573" s="66"/>
      <c r="G573" s="66"/>
      <c r="H573" s="66"/>
      <c r="I573" s="66"/>
      <c r="J573" s="66"/>
      <c r="K573" s="66"/>
      <c r="L573" s="66"/>
      <c r="M573" s="66"/>
      <c r="N573" s="66"/>
      <c r="O573" s="66"/>
      <c r="P573" s="66"/>
      <c r="Q573" s="66"/>
      <c r="R573" s="66"/>
      <c r="S573" s="66"/>
      <c r="T573" s="66"/>
      <c r="U573" s="66"/>
      <c r="V573" s="66"/>
      <c r="W573" s="66"/>
      <c r="X573" s="66"/>
      <c r="Y573" s="66"/>
      <c r="Z573" s="66"/>
      <c r="AA573" s="66"/>
      <c r="AB573" s="66"/>
      <c r="AC573" s="66"/>
      <c r="AD573" s="66"/>
      <c r="AE573" s="66"/>
      <c r="AF573" s="66"/>
      <c r="AG573" s="66"/>
      <c r="CF573" s="68"/>
    </row>
    <row r="574" spans="1:84" ht="17.399999999999999" x14ac:dyDescent="0.35">
      <c r="A574" s="67"/>
      <c r="B574" s="67"/>
      <c r="C574" s="66"/>
      <c r="D574" s="66"/>
      <c r="E574" s="66"/>
      <c r="F574" s="66"/>
      <c r="G574" s="66"/>
      <c r="H574" s="66"/>
      <c r="I574" s="66"/>
      <c r="J574" s="66"/>
      <c r="K574" s="66"/>
      <c r="L574" s="66"/>
      <c r="M574" s="66"/>
      <c r="N574" s="66"/>
      <c r="O574" s="66"/>
      <c r="P574" s="66"/>
      <c r="Q574" s="66"/>
      <c r="R574" s="66"/>
      <c r="S574" s="66"/>
      <c r="T574" s="66"/>
      <c r="U574" s="66"/>
      <c r="V574" s="66"/>
      <c r="W574" s="66"/>
      <c r="X574" s="66"/>
      <c r="Y574" s="66"/>
      <c r="Z574" s="66"/>
      <c r="AA574" s="66"/>
      <c r="AB574" s="66"/>
      <c r="AC574" s="66"/>
      <c r="AD574" s="66"/>
      <c r="AE574" s="66"/>
      <c r="AF574" s="66"/>
      <c r="AG574" s="66"/>
      <c r="CF574" s="68"/>
    </row>
    <row r="575" spans="1:84" ht="17.399999999999999" x14ac:dyDescent="0.35">
      <c r="A575" s="67"/>
      <c r="B575" s="67"/>
      <c r="C575" s="66"/>
      <c r="D575" s="66"/>
      <c r="E575" s="66"/>
      <c r="F575" s="66"/>
      <c r="G575" s="66"/>
      <c r="H575" s="66"/>
      <c r="I575" s="66"/>
      <c r="J575" s="66"/>
      <c r="K575" s="66"/>
      <c r="L575" s="66"/>
      <c r="M575" s="66"/>
      <c r="N575" s="66"/>
      <c r="O575" s="66"/>
      <c r="P575" s="66"/>
      <c r="Q575" s="66"/>
      <c r="R575" s="66"/>
      <c r="S575" s="66"/>
      <c r="T575" s="66"/>
      <c r="U575" s="66"/>
      <c r="V575" s="66"/>
      <c r="W575" s="66"/>
      <c r="X575" s="66"/>
      <c r="Y575" s="66"/>
      <c r="Z575" s="66"/>
      <c r="AA575" s="66"/>
      <c r="AB575" s="66"/>
      <c r="AC575" s="66"/>
      <c r="AD575" s="66"/>
      <c r="AE575" s="66"/>
      <c r="AF575" s="66"/>
      <c r="AG575" s="66"/>
      <c r="CF575" s="68"/>
    </row>
    <row r="576" spans="1:84" ht="17.399999999999999" x14ac:dyDescent="0.35">
      <c r="A576" s="67"/>
      <c r="B576" s="67"/>
      <c r="C576" s="66"/>
      <c r="D576" s="66"/>
      <c r="E576" s="66"/>
      <c r="F576" s="66"/>
      <c r="G576" s="66"/>
      <c r="H576" s="66"/>
      <c r="I576" s="66"/>
      <c r="J576" s="66"/>
      <c r="K576" s="66"/>
      <c r="L576" s="66"/>
      <c r="M576" s="66"/>
      <c r="N576" s="66"/>
      <c r="O576" s="66"/>
      <c r="P576" s="66"/>
      <c r="Q576" s="66"/>
      <c r="R576" s="66"/>
      <c r="S576" s="66"/>
      <c r="T576" s="66"/>
      <c r="U576" s="66"/>
      <c r="V576" s="66"/>
      <c r="W576" s="66"/>
      <c r="X576" s="66"/>
      <c r="Y576" s="66"/>
      <c r="Z576" s="66"/>
      <c r="AA576" s="66"/>
      <c r="AB576" s="66"/>
      <c r="AC576" s="66"/>
      <c r="AD576" s="66"/>
      <c r="AE576" s="66"/>
      <c r="AF576" s="66"/>
      <c r="AG576" s="66"/>
      <c r="CF576" s="68"/>
    </row>
    <row r="577" spans="1:84" ht="17.399999999999999" x14ac:dyDescent="0.35">
      <c r="A577" s="67"/>
      <c r="B577" s="67"/>
      <c r="C577" s="66"/>
      <c r="D577" s="66"/>
      <c r="E577" s="66"/>
      <c r="F577" s="66"/>
      <c r="G577" s="66"/>
      <c r="H577" s="66"/>
      <c r="I577" s="66"/>
      <c r="J577" s="66"/>
      <c r="K577" s="66"/>
      <c r="L577" s="66"/>
      <c r="M577" s="66"/>
      <c r="N577" s="66"/>
      <c r="O577" s="66"/>
      <c r="P577" s="66"/>
      <c r="Q577" s="66"/>
      <c r="R577" s="66"/>
      <c r="S577" s="66"/>
      <c r="T577" s="66"/>
      <c r="U577" s="66"/>
      <c r="V577" s="66"/>
      <c r="W577" s="66"/>
      <c r="X577" s="66"/>
      <c r="Y577" s="66"/>
      <c r="Z577" s="66"/>
      <c r="AA577" s="66"/>
      <c r="AB577" s="66"/>
      <c r="AC577" s="66"/>
      <c r="AD577" s="66"/>
      <c r="AE577" s="66"/>
      <c r="AF577" s="66"/>
      <c r="AG577" s="66"/>
      <c r="CF577" s="68"/>
    </row>
    <row r="578" spans="1:84" ht="17.399999999999999" x14ac:dyDescent="0.35">
      <c r="A578" s="67"/>
      <c r="B578" s="67"/>
      <c r="C578" s="66"/>
      <c r="D578" s="66"/>
      <c r="E578" s="66"/>
      <c r="F578" s="66"/>
      <c r="G578" s="66"/>
      <c r="H578" s="66"/>
      <c r="I578" s="66"/>
      <c r="J578" s="66"/>
      <c r="K578" s="66"/>
      <c r="L578" s="66"/>
      <c r="M578" s="66"/>
      <c r="N578" s="66"/>
      <c r="O578" s="66"/>
      <c r="P578" s="66"/>
      <c r="Q578" s="66"/>
      <c r="R578" s="66"/>
      <c r="S578" s="66"/>
      <c r="T578" s="66"/>
      <c r="U578" s="66"/>
      <c r="V578" s="66"/>
      <c r="W578" s="66"/>
      <c r="X578" s="66"/>
      <c r="Y578" s="66"/>
      <c r="Z578" s="66"/>
      <c r="AA578" s="66"/>
      <c r="AB578" s="66"/>
      <c r="AC578" s="66"/>
      <c r="AD578" s="66"/>
      <c r="AE578" s="66"/>
      <c r="AF578" s="66"/>
      <c r="AG578" s="66"/>
      <c r="CF578" s="68"/>
    </row>
    <row r="579" spans="1:84" ht="17.399999999999999" x14ac:dyDescent="0.35">
      <c r="A579" s="67"/>
      <c r="B579" s="67"/>
      <c r="C579" s="66"/>
      <c r="D579" s="66"/>
      <c r="E579" s="66"/>
      <c r="F579" s="66"/>
      <c r="G579" s="66"/>
      <c r="H579" s="66"/>
      <c r="I579" s="66"/>
      <c r="J579" s="66"/>
      <c r="K579" s="66"/>
      <c r="L579" s="66"/>
      <c r="M579" s="66"/>
      <c r="N579" s="66"/>
      <c r="O579" s="66"/>
      <c r="P579" s="66"/>
      <c r="Q579" s="66"/>
      <c r="R579" s="66"/>
      <c r="S579" s="66"/>
      <c r="T579" s="66"/>
      <c r="U579" s="66"/>
      <c r="V579" s="66"/>
      <c r="W579" s="66"/>
      <c r="X579" s="66"/>
      <c r="Y579" s="66"/>
      <c r="Z579" s="66"/>
      <c r="AA579" s="66"/>
      <c r="AB579" s="66"/>
      <c r="AC579" s="66"/>
      <c r="AD579" s="66"/>
      <c r="AE579" s="66"/>
      <c r="AF579" s="66"/>
      <c r="AG579" s="66"/>
      <c r="CF579" s="68"/>
    </row>
    <row r="580" spans="1:84" ht="17.399999999999999" x14ac:dyDescent="0.35">
      <c r="A580" s="67"/>
      <c r="B580" s="67"/>
      <c r="C580" s="66"/>
      <c r="D580" s="66"/>
      <c r="E580" s="66"/>
      <c r="F580" s="66"/>
      <c r="G580" s="66"/>
      <c r="H580" s="66"/>
      <c r="I580" s="66"/>
      <c r="J580" s="66"/>
      <c r="K580" s="66"/>
      <c r="L580" s="66"/>
      <c r="M580" s="66"/>
      <c r="N580" s="66"/>
      <c r="O580" s="66"/>
      <c r="P580" s="66"/>
      <c r="Q580" s="66"/>
      <c r="R580" s="66"/>
      <c r="S580" s="66"/>
      <c r="T580" s="66"/>
      <c r="U580" s="66"/>
      <c r="V580" s="66"/>
      <c r="W580" s="66"/>
      <c r="X580" s="66"/>
      <c r="Y580" s="66"/>
      <c r="Z580" s="66"/>
      <c r="AA580" s="66"/>
      <c r="AB580" s="66"/>
      <c r="AC580" s="66"/>
      <c r="AD580" s="66"/>
      <c r="AE580" s="66"/>
      <c r="AF580" s="66"/>
      <c r="AG580" s="66"/>
      <c r="CF580" s="68"/>
    </row>
    <row r="581" spans="1:84" ht="17.399999999999999" x14ac:dyDescent="0.35">
      <c r="A581" s="67"/>
      <c r="B581" s="67"/>
      <c r="C581" s="66"/>
      <c r="D581" s="66"/>
      <c r="E581" s="66"/>
      <c r="F581" s="66"/>
      <c r="G581" s="66"/>
      <c r="H581" s="66"/>
      <c r="I581" s="66"/>
      <c r="J581" s="66"/>
      <c r="K581" s="66"/>
      <c r="L581" s="66"/>
      <c r="M581" s="66"/>
      <c r="N581" s="66"/>
      <c r="O581" s="66"/>
      <c r="P581" s="66"/>
      <c r="Q581" s="66"/>
      <c r="R581" s="66"/>
      <c r="S581" s="66"/>
      <c r="T581" s="66"/>
      <c r="U581" s="66"/>
      <c r="V581" s="66"/>
      <c r="W581" s="66"/>
      <c r="X581" s="66"/>
      <c r="Y581" s="66"/>
      <c r="Z581" s="66"/>
      <c r="AA581" s="66"/>
      <c r="AB581" s="66"/>
      <c r="AC581" s="66"/>
      <c r="AD581" s="66"/>
      <c r="AE581" s="66"/>
      <c r="AF581" s="66"/>
      <c r="AG581" s="66"/>
      <c r="CF581" s="68"/>
    </row>
    <row r="582" spans="1:84" ht="17.399999999999999" x14ac:dyDescent="0.35">
      <c r="A582" s="67"/>
      <c r="B582" s="67"/>
      <c r="C582" s="66"/>
      <c r="D582" s="66"/>
      <c r="E582" s="66"/>
      <c r="F582" s="66"/>
      <c r="G582" s="66"/>
      <c r="H582" s="66"/>
      <c r="I582" s="66"/>
      <c r="J582" s="66"/>
      <c r="K582" s="66"/>
      <c r="L582" s="66"/>
      <c r="M582" s="66"/>
      <c r="N582" s="66"/>
      <c r="O582" s="66"/>
      <c r="P582" s="66"/>
      <c r="Q582" s="66"/>
      <c r="R582" s="66"/>
      <c r="S582" s="66"/>
      <c r="T582" s="66"/>
      <c r="U582" s="66"/>
      <c r="V582" s="66"/>
      <c r="W582" s="66"/>
      <c r="X582" s="66"/>
      <c r="Y582" s="66"/>
      <c r="Z582" s="66"/>
      <c r="AA582" s="66"/>
      <c r="AB582" s="66"/>
      <c r="AC582" s="66"/>
      <c r="AD582" s="66"/>
      <c r="AE582" s="66"/>
      <c r="AF582" s="66"/>
      <c r="AG582" s="66"/>
      <c r="CF582" s="68"/>
    </row>
    <row r="583" spans="1:84" ht="17.399999999999999" x14ac:dyDescent="0.35">
      <c r="A583" s="67"/>
      <c r="B583" s="67"/>
      <c r="C583" s="66"/>
      <c r="D583" s="66"/>
      <c r="E583" s="66"/>
      <c r="F583" s="66"/>
      <c r="G583" s="66"/>
      <c r="H583" s="66"/>
      <c r="I583" s="66"/>
      <c r="J583" s="66"/>
      <c r="K583" s="66"/>
      <c r="L583" s="66"/>
      <c r="M583" s="66"/>
      <c r="N583" s="66"/>
      <c r="O583" s="66"/>
      <c r="P583" s="66"/>
      <c r="Q583" s="66"/>
      <c r="R583" s="66"/>
      <c r="S583" s="66"/>
      <c r="T583" s="66"/>
      <c r="U583" s="66"/>
      <c r="V583" s="66"/>
      <c r="W583" s="66"/>
      <c r="X583" s="66"/>
      <c r="Y583" s="66"/>
      <c r="Z583" s="66"/>
      <c r="AA583" s="66"/>
      <c r="AB583" s="66"/>
      <c r="AC583" s="66"/>
      <c r="AD583" s="66"/>
      <c r="AE583" s="66"/>
      <c r="AF583" s="66"/>
      <c r="AG583" s="66"/>
      <c r="CF583" s="68"/>
    </row>
    <row r="584" spans="1:84" ht="17.399999999999999" x14ac:dyDescent="0.35">
      <c r="A584" s="67"/>
      <c r="B584" s="67"/>
      <c r="C584" s="66"/>
      <c r="D584" s="66"/>
      <c r="E584" s="66"/>
      <c r="F584" s="66"/>
      <c r="G584" s="66"/>
      <c r="H584" s="66"/>
      <c r="I584" s="66"/>
      <c r="J584" s="66"/>
      <c r="K584" s="66"/>
      <c r="L584" s="66"/>
      <c r="M584" s="66"/>
      <c r="N584" s="66"/>
      <c r="O584" s="66"/>
      <c r="P584" s="66"/>
      <c r="Q584" s="66"/>
      <c r="R584" s="66"/>
      <c r="S584" s="66"/>
      <c r="T584" s="66"/>
      <c r="U584" s="66"/>
      <c r="V584" s="66"/>
      <c r="W584" s="66"/>
      <c r="X584" s="66"/>
      <c r="Y584" s="66"/>
      <c r="Z584" s="66"/>
      <c r="AA584" s="66"/>
      <c r="AB584" s="66"/>
      <c r="AC584" s="66"/>
      <c r="AD584" s="66"/>
      <c r="AE584" s="66"/>
      <c r="AF584" s="66"/>
      <c r="AG584" s="66"/>
      <c r="CF584" s="68"/>
    </row>
    <row r="585" spans="1:84" ht="17.399999999999999" x14ac:dyDescent="0.35">
      <c r="A585" s="67"/>
      <c r="B585" s="67"/>
      <c r="C585" s="66"/>
      <c r="D585" s="66"/>
      <c r="E585" s="66"/>
      <c r="F585" s="66"/>
      <c r="G585" s="66"/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AA585" s="66"/>
      <c r="AB585" s="66"/>
      <c r="AC585" s="66"/>
      <c r="AD585" s="66"/>
      <c r="AE585" s="66"/>
      <c r="AF585" s="66"/>
      <c r="AG585" s="66"/>
      <c r="CF585" s="68"/>
    </row>
    <row r="586" spans="1:84" ht="17.399999999999999" x14ac:dyDescent="0.35">
      <c r="A586" s="67"/>
      <c r="B586" s="67"/>
      <c r="C586" s="66"/>
      <c r="D586" s="66"/>
      <c r="E586" s="66"/>
      <c r="F586" s="66"/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AA586" s="66"/>
      <c r="AB586" s="66"/>
      <c r="AC586" s="66"/>
      <c r="AD586" s="66"/>
      <c r="AE586" s="66"/>
      <c r="AF586" s="66"/>
      <c r="AG586" s="66"/>
      <c r="CF586" s="68"/>
    </row>
    <row r="587" spans="1:84" ht="17.399999999999999" x14ac:dyDescent="0.35">
      <c r="A587" s="67"/>
      <c r="B587" s="67"/>
      <c r="C587" s="66"/>
      <c r="D587" s="66"/>
      <c r="E587" s="66"/>
      <c r="F587" s="66"/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AA587" s="66"/>
      <c r="AB587" s="66"/>
      <c r="AC587" s="66"/>
      <c r="AD587" s="66"/>
      <c r="AE587" s="66"/>
      <c r="AF587" s="66"/>
      <c r="AG587" s="66"/>
      <c r="CF587" s="68"/>
    </row>
    <row r="588" spans="1:84" ht="17.399999999999999" x14ac:dyDescent="0.35">
      <c r="A588" s="67"/>
      <c r="B588" s="67"/>
      <c r="C588" s="66"/>
      <c r="D588" s="66"/>
      <c r="E588" s="66"/>
      <c r="F588" s="66"/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AA588" s="66"/>
      <c r="AB588" s="66"/>
      <c r="AC588" s="66"/>
      <c r="AD588" s="66"/>
      <c r="AE588" s="66"/>
      <c r="AF588" s="66"/>
      <c r="AG588" s="66"/>
      <c r="CF588" s="68"/>
    </row>
    <row r="589" spans="1:84" ht="17.399999999999999" x14ac:dyDescent="0.35">
      <c r="A589" s="67"/>
      <c r="B589" s="67"/>
      <c r="C589" s="66"/>
      <c r="D589" s="66"/>
      <c r="E589" s="66"/>
      <c r="F589" s="66"/>
      <c r="G589" s="66"/>
      <c r="H589" s="66"/>
      <c r="I589" s="66"/>
      <c r="J589" s="66"/>
      <c r="K589" s="66"/>
      <c r="L589" s="66"/>
      <c r="M589" s="66"/>
      <c r="N589" s="66"/>
      <c r="O589" s="66"/>
      <c r="P589" s="66"/>
      <c r="Q589" s="66"/>
      <c r="R589" s="66"/>
      <c r="S589" s="66"/>
      <c r="T589" s="66"/>
      <c r="U589" s="66"/>
      <c r="V589" s="66"/>
      <c r="W589" s="66"/>
      <c r="X589" s="66"/>
      <c r="Y589" s="66"/>
      <c r="Z589" s="66"/>
      <c r="AA589" s="66"/>
      <c r="AB589" s="66"/>
      <c r="AC589" s="66"/>
      <c r="AD589" s="66"/>
      <c r="AE589" s="66"/>
      <c r="AF589" s="66"/>
      <c r="AG589" s="66"/>
      <c r="CF589" s="68"/>
    </row>
    <row r="590" spans="1:84" ht="17.399999999999999" x14ac:dyDescent="0.35">
      <c r="A590" s="67"/>
      <c r="B590" s="67"/>
      <c r="C590" s="66"/>
      <c r="D590" s="66"/>
      <c r="E590" s="66"/>
      <c r="F590" s="66"/>
      <c r="G590" s="66"/>
      <c r="H590" s="66"/>
      <c r="I590" s="66"/>
      <c r="J590" s="66"/>
      <c r="K590" s="66"/>
      <c r="L590" s="66"/>
      <c r="M590" s="66"/>
      <c r="N590" s="66"/>
      <c r="O590" s="66"/>
      <c r="P590" s="66"/>
      <c r="Q590" s="66"/>
      <c r="R590" s="66"/>
      <c r="S590" s="66"/>
      <c r="T590" s="66"/>
      <c r="U590" s="66"/>
      <c r="V590" s="66"/>
      <c r="W590" s="66"/>
      <c r="X590" s="66"/>
      <c r="Y590" s="66"/>
      <c r="Z590" s="66"/>
      <c r="AA590" s="66"/>
      <c r="AB590" s="66"/>
      <c r="AC590" s="66"/>
      <c r="AD590" s="66"/>
      <c r="AE590" s="66"/>
      <c r="AF590" s="66"/>
      <c r="AG590" s="66"/>
      <c r="CF590" s="68"/>
    </row>
    <row r="591" spans="1:84" ht="17.399999999999999" x14ac:dyDescent="0.35">
      <c r="A591" s="67"/>
      <c r="B591" s="67"/>
      <c r="C591" s="66"/>
      <c r="D591" s="66"/>
      <c r="E591" s="66"/>
      <c r="F591" s="66"/>
      <c r="G591" s="66"/>
      <c r="H591" s="66"/>
      <c r="I591" s="66"/>
      <c r="J591" s="66"/>
      <c r="K591" s="66"/>
      <c r="L591" s="66"/>
      <c r="M591" s="66"/>
      <c r="N591" s="66"/>
      <c r="O591" s="66"/>
      <c r="P591" s="66"/>
      <c r="Q591" s="66"/>
      <c r="R591" s="66"/>
      <c r="S591" s="66"/>
      <c r="T591" s="66"/>
      <c r="U591" s="66"/>
      <c r="V591" s="66"/>
      <c r="W591" s="66"/>
      <c r="X591" s="66"/>
      <c r="Y591" s="66"/>
      <c r="Z591" s="66"/>
      <c r="AA591" s="66"/>
      <c r="AB591" s="66"/>
      <c r="AC591" s="66"/>
      <c r="AD591" s="66"/>
      <c r="AE591" s="66"/>
      <c r="AF591" s="66"/>
      <c r="AG591" s="66"/>
      <c r="CF591" s="68"/>
    </row>
    <row r="592" spans="1:84" ht="17.399999999999999" x14ac:dyDescent="0.35">
      <c r="A592" s="67"/>
      <c r="B592" s="67"/>
      <c r="C592" s="66"/>
      <c r="D592" s="66"/>
      <c r="E592" s="66"/>
      <c r="F592" s="66"/>
      <c r="G592" s="66"/>
      <c r="H592" s="66"/>
      <c r="I592" s="66"/>
      <c r="J592" s="66"/>
      <c r="K592" s="66"/>
      <c r="L592" s="66"/>
      <c r="M592" s="66"/>
      <c r="N592" s="66"/>
      <c r="O592" s="66"/>
      <c r="P592" s="66"/>
      <c r="Q592" s="66"/>
      <c r="R592" s="66"/>
      <c r="S592" s="66"/>
      <c r="T592" s="66"/>
      <c r="U592" s="66"/>
      <c r="V592" s="66"/>
      <c r="W592" s="66"/>
      <c r="X592" s="66"/>
      <c r="Y592" s="66"/>
      <c r="Z592" s="66"/>
      <c r="AA592" s="66"/>
      <c r="AB592" s="66"/>
      <c r="AC592" s="66"/>
      <c r="AD592" s="66"/>
      <c r="AE592" s="66"/>
      <c r="AF592" s="66"/>
      <c r="AG592" s="66"/>
      <c r="CF592" s="68"/>
    </row>
    <row r="593" spans="1:84" ht="17.399999999999999" x14ac:dyDescent="0.35">
      <c r="A593" s="67"/>
      <c r="B593" s="67"/>
      <c r="C593" s="66"/>
      <c r="D593" s="66"/>
      <c r="E593" s="66"/>
      <c r="F593" s="66"/>
      <c r="G593" s="66"/>
      <c r="H593" s="66"/>
      <c r="I593" s="66"/>
      <c r="J593" s="66"/>
      <c r="K593" s="66"/>
      <c r="L593" s="66"/>
      <c r="M593" s="66"/>
      <c r="N593" s="66"/>
      <c r="O593" s="66"/>
      <c r="P593" s="66"/>
      <c r="Q593" s="66"/>
      <c r="R593" s="66"/>
      <c r="S593" s="66"/>
      <c r="T593" s="66"/>
      <c r="U593" s="66"/>
      <c r="V593" s="66"/>
      <c r="W593" s="66"/>
      <c r="X593" s="66"/>
      <c r="Y593" s="66"/>
      <c r="Z593" s="66"/>
      <c r="AA593" s="66"/>
      <c r="AB593" s="66"/>
      <c r="AC593" s="66"/>
      <c r="AD593" s="66"/>
      <c r="AE593" s="66"/>
      <c r="AF593" s="66"/>
      <c r="AG593" s="66"/>
      <c r="CF593" s="68"/>
    </row>
    <row r="594" spans="1:84" ht="17.399999999999999" x14ac:dyDescent="0.35">
      <c r="A594" s="67"/>
      <c r="B594" s="67"/>
      <c r="C594" s="66"/>
      <c r="D594" s="66"/>
      <c r="E594" s="66"/>
      <c r="F594" s="66"/>
      <c r="G594" s="66"/>
      <c r="H594" s="66"/>
      <c r="I594" s="66"/>
      <c r="J594" s="66"/>
      <c r="K594" s="66"/>
      <c r="L594" s="66"/>
      <c r="M594" s="66"/>
      <c r="N594" s="66"/>
      <c r="O594" s="66"/>
      <c r="P594" s="66"/>
      <c r="Q594" s="66"/>
      <c r="R594" s="66"/>
      <c r="S594" s="66"/>
      <c r="T594" s="66"/>
      <c r="U594" s="66"/>
      <c r="V594" s="66"/>
      <c r="W594" s="66"/>
      <c r="X594" s="66"/>
      <c r="Y594" s="66"/>
      <c r="Z594" s="66"/>
      <c r="AA594" s="66"/>
      <c r="AB594" s="66"/>
      <c r="AC594" s="66"/>
      <c r="AD594" s="66"/>
      <c r="AE594" s="66"/>
      <c r="AF594" s="66"/>
      <c r="AG594" s="66"/>
      <c r="CF594" s="68"/>
    </row>
    <row r="595" spans="1:84" ht="17.399999999999999" x14ac:dyDescent="0.35">
      <c r="A595" s="67"/>
      <c r="B595" s="67"/>
      <c r="C595" s="66"/>
      <c r="D595" s="66"/>
      <c r="E595" s="66"/>
      <c r="F595" s="66"/>
      <c r="G595" s="66"/>
      <c r="H595" s="66"/>
      <c r="I595" s="66"/>
      <c r="J595" s="66"/>
      <c r="K595" s="66"/>
      <c r="L595" s="66"/>
      <c r="M595" s="66"/>
      <c r="N595" s="66"/>
      <c r="O595" s="66"/>
      <c r="P595" s="66"/>
      <c r="Q595" s="66"/>
      <c r="R595" s="66"/>
      <c r="S595" s="66"/>
      <c r="T595" s="66"/>
      <c r="U595" s="66"/>
      <c r="V595" s="66"/>
      <c r="W595" s="66"/>
      <c r="X595" s="66"/>
      <c r="Y595" s="66"/>
      <c r="Z595" s="66"/>
      <c r="AA595" s="66"/>
      <c r="AB595" s="66"/>
      <c r="AC595" s="66"/>
      <c r="AD595" s="66"/>
      <c r="AE595" s="66"/>
      <c r="AF595" s="66"/>
      <c r="AG595" s="66"/>
      <c r="CF595" s="68"/>
    </row>
    <row r="596" spans="1:84" ht="17.399999999999999" x14ac:dyDescent="0.35">
      <c r="A596" s="67"/>
      <c r="B596" s="67"/>
      <c r="C596" s="66"/>
      <c r="D596" s="66"/>
      <c r="E596" s="66"/>
      <c r="F596" s="66"/>
      <c r="G596" s="66"/>
      <c r="H596" s="66"/>
      <c r="I596" s="66"/>
      <c r="J596" s="66"/>
      <c r="K596" s="66"/>
      <c r="L596" s="66"/>
      <c r="M596" s="66"/>
      <c r="N596" s="66"/>
      <c r="O596" s="66"/>
      <c r="P596" s="66"/>
      <c r="Q596" s="66"/>
      <c r="R596" s="66"/>
      <c r="S596" s="66"/>
      <c r="T596" s="66"/>
      <c r="U596" s="66"/>
      <c r="V596" s="66"/>
      <c r="W596" s="66"/>
      <c r="X596" s="66"/>
      <c r="Y596" s="66"/>
      <c r="Z596" s="66"/>
      <c r="AA596" s="66"/>
      <c r="AB596" s="66"/>
      <c r="AC596" s="66"/>
      <c r="AD596" s="66"/>
      <c r="AE596" s="66"/>
      <c r="AF596" s="66"/>
      <c r="AG596" s="66"/>
      <c r="CF596" s="68"/>
    </row>
    <row r="597" spans="1:84" ht="17.399999999999999" x14ac:dyDescent="0.35">
      <c r="A597" s="67"/>
      <c r="B597" s="67"/>
      <c r="C597" s="66"/>
      <c r="D597" s="66"/>
      <c r="E597" s="66"/>
      <c r="F597" s="66"/>
      <c r="G597" s="66"/>
      <c r="H597" s="66"/>
      <c r="I597" s="66"/>
      <c r="J597" s="66"/>
      <c r="K597" s="66"/>
      <c r="L597" s="66"/>
      <c r="M597" s="66"/>
      <c r="N597" s="66"/>
      <c r="O597" s="66"/>
      <c r="P597" s="66"/>
      <c r="Q597" s="66"/>
      <c r="R597" s="66"/>
      <c r="S597" s="66"/>
      <c r="T597" s="66"/>
      <c r="U597" s="66"/>
      <c r="V597" s="66"/>
      <c r="W597" s="66"/>
      <c r="X597" s="66"/>
      <c r="Y597" s="66"/>
      <c r="Z597" s="66"/>
      <c r="AA597" s="66"/>
      <c r="AB597" s="66"/>
      <c r="AC597" s="66"/>
      <c r="AD597" s="66"/>
      <c r="AE597" s="66"/>
      <c r="AF597" s="66"/>
      <c r="AG597" s="66"/>
      <c r="CF597" s="68"/>
    </row>
    <row r="598" spans="1:84" ht="17.399999999999999" x14ac:dyDescent="0.35">
      <c r="A598" s="67"/>
      <c r="B598" s="67"/>
      <c r="C598" s="66"/>
      <c r="D598" s="66"/>
      <c r="E598" s="66"/>
      <c r="F598" s="66"/>
      <c r="G598" s="66"/>
      <c r="H598" s="66"/>
      <c r="I598" s="66"/>
      <c r="J598" s="66"/>
      <c r="K598" s="66"/>
      <c r="L598" s="66"/>
      <c r="M598" s="66"/>
      <c r="N598" s="66"/>
      <c r="O598" s="66"/>
      <c r="P598" s="66"/>
      <c r="Q598" s="66"/>
      <c r="R598" s="66"/>
      <c r="S598" s="66"/>
      <c r="T598" s="66"/>
      <c r="U598" s="66"/>
      <c r="V598" s="66"/>
      <c r="W598" s="66"/>
      <c r="X598" s="66"/>
      <c r="Y598" s="66"/>
      <c r="Z598" s="66"/>
      <c r="AA598" s="66"/>
      <c r="AB598" s="66"/>
      <c r="AC598" s="66"/>
      <c r="AD598" s="66"/>
      <c r="AE598" s="66"/>
      <c r="AF598" s="66"/>
      <c r="AG598" s="66"/>
      <c r="CF598" s="68"/>
    </row>
    <row r="599" spans="1:84" ht="17.399999999999999" x14ac:dyDescent="0.35">
      <c r="A599" s="67"/>
      <c r="B599" s="67"/>
      <c r="C599" s="66"/>
      <c r="D599" s="66"/>
      <c r="E599" s="66"/>
      <c r="F599" s="66"/>
      <c r="G599" s="66"/>
      <c r="H599" s="66"/>
      <c r="I599" s="66"/>
      <c r="J599" s="66"/>
      <c r="K599" s="66"/>
      <c r="L599" s="66"/>
      <c r="M599" s="66"/>
      <c r="N599" s="66"/>
      <c r="O599" s="66"/>
      <c r="P599" s="66"/>
      <c r="Q599" s="66"/>
      <c r="R599" s="66"/>
      <c r="S599" s="66"/>
      <c r="T599" s="66"/>
      <c r="U599" s="66"/>
      <c r="V599" s="66"/>
      <c r="W599" s="66"/>
      <c r="X599" s="66"/>
      <c r="Y599" s="66"/>
      <c r="Z599" s="66"/>
      <c r="AA599" s="66"/>
      <c r="AB599" s="66"/>
      <c r="AC599" s="66"/>
      <c r="AD599" s="66"/>
      <c r="AE599" s="66"/>
      <c r="AF599" s="66"/>
      <c r="AG599" s="66"/>
      <c r="CF599" s="68"/>
    </row>
    <row r="600" spans="1:84" ht="17.399999999999999" x14ac:dyDescent="0.35">
      <c r="A600" s="67"/>
      <c r="B600" s="67"/>
      <c r="C600" s="66"/>
      <c r="D600" s="66"/>
      <c r="E600" s="66"/>
      <c r="F600" s="66"/>
      <c r="G600" s="66"/>
      <c r="H600" s="66"/>
      <c r="I600" s="66"/>
      <c r="J600" s="66"/>
      <c r="K600" s="66"/>
      <c r="L600" s="66"/>
      <c r="M600" s="66"/>
      <c r="N600" s="66"/>
      <c r="O600" s="66"/>
      <c r="P600" s="66"/>
      <c r="Q600" s="66"/>
      <c r="R600" s="66"/>
      <c r="S600" s="66"/>
      <c r="T600" s="66"/>
      <c r="U600" s="66"/>
      <c r="V600" s="66"/>
      <c r="W600" s="66"/>
      <c r="X600" s="66"/>
      <c r="Y600" s="66"/>
      <c r="Z600" s="66"/>
      <c r="AA600" s="66"/>
      <c r="AB600" s="66"/>
      <c r="AC600" s="66"/>
      <c r="AD600" s="66"/>
      <c r="AE600" s="66"/>
      <c r="AF600" s="66"/>
      <c r="AG600" s="66"/>
      <c r="CF600" s="68"/>
    </row>
    <row r="601" spans="1:84" ht="17.399999999999999" x14ac:dyDescent="0.35">
      <c r="A601" s="67"/>
      <c r="B601" s="67"/>
      <c r="C601" s="66"/>
      <c r="D601" s="66"/>
      <c r="E601" s="66"/>
      <c r="F601" s="66"/>
      <c r="G601" s="66"/>
      <c r="H601" s="66"/>
      <c r="I601" s="66"/>
      <c r="J601" s="66"/>
      <c r="K601" s="66"/>
      <c r="L601" s="66"/>
      <c r="M601" s="66"/>
      <c r="N601" s="66"/>
      <c r="O601" s="66"/>
      <c r="P601" s="66"/>
      <c r="Q601" s="66"/>
      <c r="R601" s="66"/>
      <c r="S601" s="66"/>
      <c r="T601" s="66"/>
      <c r="U601" s="66"/>
      <c r="V601" s="66"/>
      <c r="W601" s="66"/>
      <c r="X601" s="66"/>
      <c r="Y601" s="66"/>
      <c r="Z601" s="66"/>
      <c r="AA601" s="66"/>
      <c r="AB601" s="66"/>
      <c r="AC601" s="66"/>
      <c r="AD601" s="66"/>
      <c r="AE601" s="66"/>
      <c r="AF601" s="66"/>
      <c r="AG601" s="66"/>
      <c r="CF601" s="68"/>
    </row>
    <row r="602" spans="1:84" ht="17.399999999999999" x14ac:dyDescent="0.35">
      <c r="A602" s="67"/>
      <c r="B602" s="67"/>
      <c r="C602" s="66"/>
      <c r="D602" s="66"/>
      <c r="E602" s="66"/>
      <c r="F602" s="66"/>
      <c r="G602" s="66"/>
      <c r="H602" s="66"/>
      <c r="I602" s="66"/>
      <c r="J602" s="66"/>
      <c r="K602" s="66"/>
      <c r="L602" s="66"/>
      <c r="M602" s="66"/>
      <c r="N602" s="66"/>
      <c r="O602" s="66"/>
      <c r="P602" s="66"/>
      <c r="Q602" s="66"/>
      <c r="R602" s="66"/>
      <c r="S602" s="66"/>
      <c r="T602" s="66"/>
      <c r="U602" s="66"/>
      <c r="V602" s="66"/>
      <c r="W602" s="66"/>
      <c r="X602" s="66"/>
      <c r="Y602" s="66"/>
      <c r="Z602" s="66"/>
      <c r="AA602" s="66"/>
      <c r="AB602" s="66"/>
      <c r="AC602" s="66"/>
      <c r="AD602" s="66"/>
      <c r="AE602" s="66"/>
      <c r="AF602" s="66"/>
      <c r="AG602" s="66"/>
      <c r="CF602" s="68"/>
    </row>
    <row r="603" spans="1:84" ht="17.399999999999999" x14ac:dyDescent="0.35">
      <c r="A603" s="67"/>
      <c r="B603" s="67"/>
      <c r="C603" s="66"/>
      <c r="D603" s="66"/>
      <c r="E603" s="66"/>
      <c r="F603" s="66"/>
      <c r="G603" s="66"/>
      <c r="H603" s="66"/>
      <c r="I603" s="66"/>
      <c r="J603" s="66"/>
      <c r="K603" s="66"/>
      <c r="L603" s="66"/>
      <c r="M603" s="66"/>
      <c r="N603" s="66"/>
      <c r="O603" s="66"/>
      <c r="P603" s="66"/>
      <c r="Q603" s="66"/>
      <c r="R603" s="66"/>
      <c r="S603" s="66"/>
      <c r="T603" s="66"/>
      <c r="U603" s="66"/>
      <c r="V603" s="66"/>
      <c r="W603" s="66"/>
      <c r="X603" s="66"/>
      <c r="Y603" s="66"/>
      <c r="Z603" s="66"/>
      <c r="AA603" s="66"/>
      <c r="AB603" s="66"/>
      <c r="AC603" s="66"/>
      <c r="AD603" s="66"/>
      <c r="AE603" s="66"/>
      <c r="AF603" s="66"/>
      <c r="AG603" s="66"/>
      <c r="CF603" s="68"/>
    </row>
    <row r="604" spans="1:84" ht="17.399999999999999" x14ac:dyDescent="0.35">
      <c r="A604" s="67"/>
      <c r="B604" s="67"/>
      <c r="C604" s="66"/>
      <c r="D604" s="66"/>
      <c r="E604" s="66"/>
      <c r="F604" s="66"/>
      <c r="G604" s="66"/>
      <c r="H604" s="66"/>
      <c r="I604" s="66"/>
      <c r="J604" s="66"/>
      <c r="K604" s="66"/>
      <c r="L604" s="66"/>
      <c r="M604" s="66"/>
      <c r="N604" s="66"/>
      <c r="O604" s="66"/>
      <c r="P604" s="66"/>
      <c r="Q604" s="66"/>
      <c r="R604" s="66"/>
      <c r="S604" s="66"/>
      <c r="T604" s="66"/>
      <c r="U604" s="66"/>
      <c r="V604" s="66"/>
      <c r="W604" s="66"/>
      <c r="X604" s="66"/>
      <c r="Y604" s="66"/>
      <c r="Z604" s="66"/>
      <c r="AA604" s="66"/>
      <c r="AB604" s="66"/>
      <c r="AC604" s="66"/>
      <c r="AD604" s="66"/>
      <c r="AE604" s="66"/>
      <c r="AF604" s="66"/>
      <c r="AG604" s="66"/>
      <c r="CF604" s="68"/>
    </row>
    <row r="605" spans="1:84" ht="17.399999999999999" x14ac:dyDescent="0.35">
      <c r="A605" s="67"/>
      <c r="B605" s="67"/>
      <c r="C605" s="66"/>
      <c r="D605" s="66"/>
      <c r="E605" s="66"/>
      <c r="F605" s="66"/>
      <c r="G605" s="66"/>
      <c r="H605" s="66"/>
      <c r="I605" s="66"/>
      <c r="J605" s="66"/>
      <c r="K605" s="66"/>
      <c r="L605" s="66"/>
      <c r="M605" s="66"/>
      <c r="N605" s="66"/>
      <c r="O605" s="66"/>
      <c r="P605" s="66"/>
      <c r="Q605" s="66"/>
      <c r="R605" s="66"/>
      <c r="S605" s="66"/>
      <c r="T605" s="66"/>
      <c r="U605" s="66"/>
      <c r="V605" s="66"/>
      <c r="W605" s="66"/>
      <c r="X605" s="66"/>
      <c r="Y605" s="66"/>
      <c r="Z605" s="66"/>
      <c r="AA605" s="66"/>
      <c r="AB605" s="66"/>
      <c r="AC605" s="66"/>
      <c r="AD605" s="66"/>
      <c r="AE605" s="66"/>
      <c r="AF605" s="66"/>
      <c r="AG605" s="66"/>
      <c r="CF605" s="68"/>
    </row>
    <row r="606" spans="1:84" ht="17.399999999999999" x14ac:dyDescent="0.35">
      <c r="A606" s="67"/>
      <c r="B606" s="67"/>
      <c r="C606" s="66"/>
      <c r="D606" s="66"/>
      <c r="E606" s="66"/>
      <c r="F606" s="66"/>
      <c r="G606" s="66"/>
      <c r="H606" s="66"/>
      <c r="I606" s="66"/>
      <c r="J606" s="66"/>
      <c r="K606" s="66"/>
      <c r="L606" s="66"/>
      <c r="M606" s="66"/>
      <c r="N606" s="66"/>
      <c r="O606" s="66"/>
      <c r="P606" s="66"/>
      <c r="Q606" s="66"/>
      <c r="R606" s="66"/>
      <c r="S606" s="66"/>
      <c r="T606" s="66"/>
      <c r="U606" s="66"/>
      <c r="V606" s="66"/>
      <c r="W606" s="66"/>
      <c r="X606" s="66"/>
      <c r="Y606" s="66"/>
      <c r="Z606" s="66"/>
      <c r="AA606" s="66"/>
      <c r="AB606" s="66"/>
      <c r="AC606" s="66"/>
      <c r="AD606" s="66"/>
      <c r="AE606" s="66"/>
      <c r="AF606" s="66"/>
      <c r="AG606" s="66"/>
      <c r="CF606" s="68"/>
    </row>
    <row r="607" spans="1:84" ht="17.399999999999999" x14ac:dyDescent="0.35">
      <c r="A607" s="67"/>
      <c r="B607" s="67"/>
      <c r="C607" s="66"/>
      <c r="D607" s="66"/>
      <c r="E607" s="66"/>
      <c r="F607" s="66"/>
      <c r="G607" s="66"/>
      <c r="H607" s="66"/>
      <c r="I607" s="66"/>
      <c r="J607" s="66"/>
      <c r="K607" s="66"/>
      <c r="L607" s="66"/>
      <c r="M607" s="66"/>
      <c r="N607" s="66"/>
      <c r="O607" s="66"/>
      <c r="P607" s="66"/>
      <c r="Q607" s="66"/>
      <c r="R607" s="66"/>
      <c r="S607" s="66"/>
      <c r="T607" s="66"/>
      <c r="U607" s="66"/>
      <c r="V607" s="66"/>
      <c r="W607" s="66"/>
      <c r="X607" s="66"/>
      <c r="Y607" s="66"/>
      <c r="Z607" s="66"/>
      <c r="AA607" s="66"/>
      <c r="AB607" s="66"/>
      <c r="AC607" s="66"/>
      <c r="AD607" s="66"/>
      <c r="AE607" s="66"/>
      <c r="AF607" s="66"/>
      <c r="AG607" s="66"/>
      <c r="CF607" s="68"/>
    </row>
    <row r="608" spans="1:84" ht="17.399999999999999" x14ac:dyDescent="0.35">
      <c r="A608" s="67"/>
      <c r="B608" s="67"/>
      <c r="C608" s="66"/>
      <c r="D608" s="66"/>
      <c r="E608" s="66"/>
      <c r="F608" s="66"/>
      <c r="G608" s="66"/>
      <c r="H608" s="66"/>
      <c r="I608" s="66"/>
      <c r="J608" s="66"/>
      <c r="K608" s="66"/>
      <c r="L608" s="66"/>
      <c r="M608" s="66"/>
      <c r="N608" s="66"/>
      <c r="O608" s="66"/>
      <c r="P608" s="66"/>
      <c r="Q608" s="66"/>
      <c r="R608" s="66"/>
      <c r="S608" s="66"/>
      <c r="T608" s="66"/>
      <c r="U608" s="66"/>
      <c r="V608" s="66"/>
      <c r="W608" s="66"/>
      <c r="X608" s="66"/>
      <c r="Y608" s="66"/>
      <c r="Z608" s="66"/>
      <c r="AA608" s="66"/>
      <c r="AB608" s="66"/>
      <c r="AC608" s="66"/>
      <c r="AD608" s="66"/>
      <c r="AE608" s="66"/>
      <c r="AF608" s="66"/>
      <c r="AG608" s="66"/>
      <c r="CF608" s="68"/>
    </row>
    <row r="609" spans="1:84" ht="17.399999999999999" x14ac:dyDescent="0.35">
      <c r="A609" s="67"/>
      <c r="B609" s="67"/>
      <c r="C609" s="66"/>
      <c r="D609" s="66"/>
      <c r="E609" s="66"/>
      <c r="F609" s="66"/>
      <c r="G609" s="66"/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AA609" s="66"/>
      <c r="AB609" s="66"/>
      <c r="AC609" s="66"/>
      <c r="AD609" s="66"/>
      <c r="AE609" s="66"/>
      <c r="AF609" s="66"/>
      <c r="AG609" s="66"/>
      <c r="CF609" s="68"/>
    </row>
    <row r="610" spans="1:84" ht="17.399999999999999" x14ac:dyDescent="0.35">
      <c r="A610" s="67"/>
      <c r="B610" s="67"/>
      <c r="C610" s="66"/>
      <c r="D610" s="66"/>
      <c r="E610" s="66"/>
      <c r="F610" s="66"/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AA610" s="66"/>
      <c r="AB610" s="66"/>
      <c r="AC610" s="66"/>
      <c r="AD610" s="66"/>
      <c r="AE610" s="66"/>
      <c r="AF610" s="66"/>
      <c r="AG610" s="66"/>
      <c r="CF610" s="68"/>
    </row>
    <row r="611" spans="1:84" ht="17.399999999999999" x14ac:dyDescent="0.35">
      <c r="A611" s="67"/>
      <c r="B611" s="67"/>
      <c r="C611" s="66"/>
      <c r="D611" s="66"/>
      <c r="E611" s="66"/>
      <c r="F611" s="66"/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AA611" s="66"/>
      <c r="AB611" s="66"/>
      <c r="AC611" s="66"/>
      <c r="AD611" s="66"/>
      <c r="AE611" s="66"/>
      <c r="AF611" s="66"/>
      <c r="AG611" s="66"/>
      <c r="CF611" s="68"/>
    </row>
    <row r="612" spans="1:84" ht="17.399999999999999" x14ac:dyDescent="0.35">
      <c r="A612" s="67"/>
      <c r="B612" s="67"/>
      <c r="C612" s="66"/>
      <c r="D612" s="66"/>
      <c r="E612" s="66"/>
      <c r="F612" s="66"/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AA612" s="66"/>
      <c r="AB612" s="66"/>
      <c r="AC612" s="66"/>
      <c r="AD612" s="66"/>
      <c r="AE612" s="66"/>
      <c r="AF612" s="66"/>
      <c r="AG612" s="66"/>
      <c r="CF612" s="68"/>
    </row>
    <row r="613" spans="1:84" ht="17.399999999999999" x14ac:dyDescent="0.35">
      <c r="A613" s="67"/>
      <c r="B613" s="67"/>
      <c r="C613" s="66"/>
      <c r="D613" s="66"/>
      <c r="E613" s="66"/>
      <c r="F613" s="66"/>
      <c r="G613" s="66"/>
      <c r="H613" s="66"/>
      <c r="I613" s="66"/>
      <c r="J613" s="66"/>
      <c r="K613" s="66"/>
      <c r="L613" s="66"/>
      <c r="M613" s="66"/>
      <c r="N613" s="66"/>
      <c r="O613" s="66"/>
      <c r="P613" s="66"/>
      <c r="Q613" s="66"/>
      <c r="R613" s="66"/>
      <c r="S613" s="66"/>
      <c r="T613" s="66"/>
      <c r="U613" s="66"/>
      <c r="V613" s="66"/>
      <c r="W613" s="66"/>
      <c r="X613" s="66"/>
      <c r="Y613" s="66"/>
      <c r="Z613" s="66"/>
      <c r="AA613" s="66"/>
      <c r="AB613" s="66"/>
      <c r="AC613" s="66"/>
      <c r="AD613" s="66"/>
      <c r="AE613" s="66"/>
      <c r="AF613" s="66"/>
      <c r="AG613" s="66"/>
      <c r="CF613" s="68"/>
    </row>
    <row r="614" spans="1:84" ht="17.399999999999999" x14ac:dyDescent="0.35">
      <c r="A614" s="67"/>
      <c r="B614" s="67"/>
      <c r="C614" s="66"/>
      <c r="D614" s="66"/>
      <c r="E614" s="66"/>
      <c r="F614" s="66"/>
      <c r="G614" s="66"/>
      <c r="H614" s="66"/>
      <c r="I614" s="66"/>
      <c r="J614" s="66"/>
      <c r="K614" s="66"/>
      <c r="L614" s="66"/>
      <c r="M614" s="66"/>
      <c r="N614" s="66"/>
      <c r="O614" s="66"/>
      <c r="P614" s="66"/>
      <c r="Q614" s="66"/>
      <c r="R614" s="66"/>
      <c r="S614" s="66"/>
      <c r="T614" s="66"/>
      <c r="U614" s="66"/>
      <c r="V614" s="66"/>
      <c r="W614" s="66"/>
      <c r="X614" s="66"/>
      <c r="Y614" s="66"/>
      <c r="Z614" s="66"/>
      <c r="AA614" s="66"/>
      <c r="AB614" s="66"/>
      <c r="AC614" s="66"/>
      <c r="AD614" s="66"/>
      <c r="AE614" s="66"/>
      <c r="AF614" s="66"/>
      <c r="AG614" s="66"/>
      <c r="CF614" s="68"/>
    </row>
    <row r="615" spans="1:84" ht="17.399999999999999" x14ac:dyDescent="0.35">
      <c r="A615" s="67"/>
      <c r="B615" s="67"/>
      <c r="C615" s="66"/>
      <c r="D615" s="66"/>
      <c r="E615" s="66"/>
      <c r="F615" s="66"/>
      <c r="G615" s="66"/>
      <c r="H615" s="66"/>
      <c r="I615" s="66"/>
      <c r="J615" s="66"/>
      <c r="K615" s="66"/>
      <c r="L615" s="66"/>
      <c r="M615" s="66"/>
      <c r="N615" s="66"/>
      <c r="O615" s="66"/>
      <c r="P615" s="66"/>
      <c r="Q615" s="66"/>
      <c r="R615" s="66"/>
      <c r="S615" s="66"/>
      <c r="T615" s="66"/>
      <c r="U615" s="66"/>
      <c r="V615" s="66"/>
      <c r="W615" s="66"/>
      <c r="X615" s="66"/>
      <c r="Y615" s="66"/>
      <c r="Z615" s="66"/>
      <c r="AA615" s="66"/>
      <c r="AB615" s="66"/>
      <c r="AC615" s="66"/>
      <c r="AD615" s="66"/>
      <c r="AE615" s="66"/>
      <c r="AF615" s="66"/>
      <c r="AG615" s="66"/>
      <c r="CF615" s="68"/>
    </row>
    <row r="616" spans="1:84" x14ac:dyDescent="0.3">
      <c r="A616" s="68"/>
      <c r="B616" s="68"/>
      <c r="C616" s="68"/>
      <c r="D616" s="66"/>
      <c r="E616" s="66"/>
      <c r="F616" s="66"/>
      <c r="G616" s="66"/>
      <c r="H616" s="66"/>
      <c r="I616" s="66"/>
      <c r="J616" s="66"/>
      <c r="K616" s="66"/>
      <c r="L616" s="66"/>
      <c r="M616" s="66"/>
      <c r="N616" s="66"/>
      <c r="O616" s="66"/>
      <c r="P616" s="66"/>
      <c r="Q616" s="66"/>
      <c r="R616" s="66"/>
      <c r="S616" s="66"/>
      <c r="T616" s="66"/>
      <c r="U616" s="66"/>
      <c r="V616" s="66"/>
      <c r="W616" s="66"/>
      <c r="X616" s="66"/>
      <c r="Y616" s="66"/>
      <c r="Z616" s="66"/>
      <c r="AA616" s="66"/>
      <c r="AB616" s="66"/>
      <c r="AC616" s="66"/>
      <c r="AD616" s="66"/>
      <c r="AE616" s="66"/>
      <c r="AF616" s="66"/>
      <c r="AG616" s="66"/>
      <c r="CF616" s="68"/>
    </row>
    <row r="617" spans="1:84" x14ac:dyDescent="0.3">
      <c r="A617" s="68"/>
      <c r="B617" s="68"/>
      <c r="C617" s="68"/>
      <c r="D617" s="66"/>
      <c r="E617" s="66"/>
      <c r="F617" s="66"/>
      <c r="G617" s="66"/>
      <c r="H617" s="66"/>
      <c r="I617" s="66"/>
      <c r="J617" s="66"/>
      <c r="K617" s="66"/>
      <c r="L617" s="66"/>
      <c r="M617" s="66"/>
      <c r="N617" s="66"/>
      <c r="O617" s="66"/>
      <c r="P617" s="66"/>
      <c r="Q617" s="66"/>
      <c r="R617" s="66"/>
      <c r="S617" s="66"/>
      <c r="T617" s="66"/>
      <c r="U617" s="66"/>
      <c r="V617" s="66"/>
      <c r="W617" s="66"/>
      <c r="X617" s="66"/>
      <c r="Y617" s="66"/>
      <c r="Z617" s="66"/>
      <c r="AA617" s="66"/>
      <c r="AB617" s="66"/>
      <c r="AC617" s="66"/>
      <c r="AD617" s="66"/>
      <c r="AE617" s="66"/>
      <c r="AF617" s="66"/>
      <c r="AG617" s="66"/>
      <c r="CF617" s="68"/>
    </row>
    <row r="618" spans="1:84" x14ac:dyDescent="0.3">
      <c r="A618" s="68"/>
      <c r="B618" s="68"/>
      <c r="C618" s="68"/>
      <c r="D618" s="66"/>
      <c r="E618" s="66"/>
      <c r="F618" s="66"/>
      <c r="G618" s="66"/>
      <c r="H618" s="66"/>
      <c r="I618" s="66"/>
      <c r="J618" s="66"/>
      <c r="K618" s="66"/>
      <c r="L618" s="66"/>
      <c r="M618" s="66"/>
      <c r="N618" s="66"/>
      <c r="O618" s="66"/>
      <c r="P618" s="66"/>
      <c r="Q618" s="66"/>
      <c r="R618" s="66"/>
      <c r="S618" s="66"/>
      <c r="T618" s="66"/>
      <c r="U618" s="66"/>
      <c r="V618" s="66"/>
      <c r="W618" s="66"/>
      <c r="X618" s="66"/>
      <c r="Y618" s="66"/>
      <c r="Z618" s="66"/>
      <c r="AA618" s="66"/>
      <c r="AB618" s="66"/>
      <c r="AC618" s="66"/>
      <c r="AD618" s="66"/>
      <c r="AE618" s="66"/>
      <c r="AF618" s="66"/>
      <c r="AG618" s="66"/>
      <c r="CF618" s="68"/>
    </row>
    <row r="619" spans="1:84" x14ac:dyDescent="0.3">
      <c r="A619" s="68"/>
      <c r="B619" s="68"/>
      <c r="C619" s="68"/>
      <c r="D619" s="66"/>
      <c r="E619" s="66"/>
      <c r="F619" s="66"/>
      <c r="G619" s="66"/>
      <c r="H619" s="66"/>
      <c r="I619" s="66"/>
      <c r="J619" s="66"/>
      <c r="K619" s="66"/>
      <c r="L619" s="66"/>
      <c r="M619" s="66"/>
      <c r="N619" s="66"/>
      <c r="O619" s="66"/>
      <c r="P619" s="66"/>
      <c r="Q619" s="66"/>
      <c r="R619" s="66"/>
      <c r="S619" s="66"/>
      <c r="T619" s="66"/>
      <c r="U619" s="66"/>
      <c r="V619" s="66"/>
      <c r="W619" s="66"/>
      <c r="X619" s="66"/>
      <c r="Y619" s="66"/>
      <c r="Z619" s="66"/>
      <c r="AA619" s="66"/>
      <c r="AB619" s="66"/>
      <c r="AC619" s="66"/>
      <c r="AD619" s="66"/>
      <c r="AE619" s="66"/>
      <c r="AF619" s="66"/>
      <c r="AG619" s="66"/>
      <c r="CF619" s="68"/>
    </row>
    <row r="620" spans="1:84" x14ac:dyDescent="0.3">
      <c r="A620" s="68"/>
      <c r="B620" s="68"/>
      <c r="C620" s="68"/>
      <c r="D620" s="66"/>
      <c r="E620" s="66"/>
      <c r="F620" s="66"/>
      <c r="G620" s="66"/>
      <c r="H620" s="66"/>
      <c r="I620" s="66"/>
      <c r="J620" s="66"/>
      <c r="K620" s="66"/>
      <c r="L620" s="66"/>
      <c r="M620" s="66"/>
      <c r="N620" s="66"/>
      <c r="O620" s="66"/>
      <c r="P620" s="66"/>
      <c r="Q620" s="66"/>
      <c r="R620" s="66"/>
      <c r="S620" s="66"/>
      <c r="T620" s="66"/>
      <c r="U620" s="66"/>
      <c r="V620" s="66"/>
      <c r="W620" s="66"/>
      <c r="X620" s="66"/>
      <c r="Y620" s="66"/>
      <c r="Z620" s="66"/>
      <c r="AA620" s="66"/>
      <c r="AB620" s="66"/>
      <c r="AC620" s="66"/>
      <c r="AD620" s="66"/>
      <c r="AE620" s="66"/>
      <c r="AF620" s="66"/>
      <c r="AG620" s="66"/>
      <c r="CF620" s="68"/>
    </row>
    <row r="621" spans="1:84" x14ac:dyDescent="0.3">
      <c r="A621" s="58"/>
      <c r="B621" s="58"/>
      <c r="C621" s="58"/>
      <c r="D621" s="58"/>
      <c r="E621" s="58"/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  <c r="S621" s="58"/>
      <c r="T621" s="58"/>
      <c r="U621" s="58"/>
      <c r="V621" s="58"/>
      <c r="W621" s="58"/>
      <c r="X621" s="58"/>
      <c r="Y621" s="58"/>
      <c r="Z621" s="58"/>
      <c r="AA621" s="58"/>
      <c r="AB621" s="58"/>
      <c r="AC621" s="58"/>
      <c r="AD621" s="58"/>
      <c r="AE621" s="58"/>
      <c r="AF621" s="58"/>
      <c r="AG621" s="58"/>
      <c r="AH621" s="79"/>
    </row>
    <row r="622" spans="1:84" x14ac:dyDescent="0.3">
      <c r="A622" s="57"/>
      <c r="B622" s="57"/>
      <c r="C622" s="57"/>
      <c r="D622" s="57"/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79"/>
    </row>
    <row r="623" spans="1:84" x14ac:dyDescent="0.3">
      <c r="A623" s="57"/>
      <c r="B623" s="57"/>
      <c r="C623" s="57"/>
      <c r="D623" s="57"/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79"/>
    </row>
    <row r="624" spans="1:84" x14ac:dyDescent="0.3">
      <c r="A624" s="57"/>
      <c r="B624" s="57"/>
      <c r="C624" s="57"/>
      <c r="D624" s="57"/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79"/>
    </row>
    <row r="625" spans="1:34" x14ac:dyDescent="0.3">
      <c r="A625" s="57"/>
      <c r="B625" s="57"/>
      <c r="C625" s="57"/>
      <c r="D625" s="57"/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79"/>
    </row>
    <row r="626" spans="1:34" x14ac:dyDescent="0.3">
      <c r="A626" s="57"/>
      <c r="B626" s="57"/>
      <c r="C626" s="57"/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79"/>
    </row>
    <row r="627" spans="1:34" x14ac:dyDescent="0.3">
      <c r="A627" s="57"/>
      <c r="B627" s="57"/>
      <c r="C627" s="57"/>
      <c r="D627" s="57"/>
      <c r="E627" s="57"/>
      <c r="F627" s="57"/>
      <c r="G627" s="57"/>
      <c r="H627" s="57"/>
      <c r="I627" s="57"/>
      <c r="J627" s="57"/>
      <c r="K627" s="57"/>
      <c r="L627" s="57"/>
      <c r="M627" s="57"/>
      <c r="N627" s="57"/>
      <c r="O627" s="57"/>
      <c r="P627" s="57"/>
      <c r="Q627" s="57"/>
      <c r="R627" s="57"/>
      <c r="S627" s="57"/>
      <c r="T627" s="57"/>
      <c r="U627" s="57"/>
      <c r="V627" s="57"/>
      <c r="W627" s="57"/>
      <c r="X627" s="57"/>
      <c r="Y627" s="57"/>
      <c r="Z627" s="57"/>
      <c r="AA627" s="57"/>
      <c r="AB627" s="57"/>
      <c r="AC627" s="57"/>
      <c r="AD627" s="57"/>
      <c r="AE627" s="57"/>
      <c r="AF627" s="57"/>
      <c r="AG627" s="57"/>
      <c r="AH627" s="79"/>
    </row>
  </sheetData>
  <mergeCells count="6">
    <mergeCell ref="A11:B12"/>
    <mergeCell ref="I6:O7"/>
    <mergeCell ref="L1:M1"/>
    <mergeCell ref="L2:M2"/>
    <mergeCell ref="L3:M3"/>
    <mergeCell ref="A1:B1"/>
  </mergeCells>
  <phoneticPr fontId="21" type="noConversion"/>
  <conditionalFormatting sqref="B6:B7">
    <cfRule type="cellIs" dxfId="553" priority="1820" operator="greaterThan">
      <formula>$N$3</formula>
    </cfRule>
  </conditionalFormatting>
  <conditionalFormatting sqref="N2">
    <cfRule type="cellIs" dxfId="552" priority="1821" operator="equal">
      <formula>$N$1</formula>
    </cfRule>
  </conditionalFormatting>
  <dataValidations count="1">
    <dataValidation type="list" allowBlank="1" showInputMessage="1" showErrorMessage="1" sqref="B4" xr:uid="{EFC7ADE7-A965-49D7-B17C-FCDA171337A1}">
      <formula1>$AH$1:$AH$11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Check Box 1">
              <controlPr defaultSize="0" autoFill="0" autoLine="0" autoPict="0">
                <anchor moveWithCells="1">
                  <from>
                    <xdr:col>1</xdr:col>
                    <xdr:colOff>106680</xdr:colOff>
                    <xdr:row>2</xdr:row>
                    <xdr:rowOff>38100</xdr:rowOff>
                  </from>
                  <to>
                    <xdr:col>1</xdr:col>
                    <xdr:colOff>1912620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1.events_on">
                <anchor moveWithCells="1" sizeWithCells="1">
                  <from>
                    <xdr:col>15</xdr:col>
                    <xdr:colOff>83820</xdr:colOff>
                    <xdr:row>0</xdr:row>
                    <xdr:rowOff>160020</xdr:rowOff>
                  </from>
                  <to>
                    <xdr:col>16</xdr:col>
                    <xdr:colOff>594360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1</xdr:col>
                    <xdr:colOff>83820</xdr:colOff>
                    <xdr:row>1</xdr:row>
                    <xdr:rowOff>22860</xdr:rowOff>
                  </from>
                  <to>
                    <xdr:col>1</xdr:col>
                    <xdr:colOff>2118360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4984B8DB-092C-44FE-BAE7-2C2BDE6EEF49}">
          <x14:formula1>
            <xm:f>Setups!$C$2:$C$100</xm:f>
          </x14:formula1>
          <xm:sqref>A1:B1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6BB47-A0D1-4D06-90F3-D50948ABDCC9}">
  <sheetPr codeName="Sheet6"/>
  <dimension ref="A1:GH124"/>
  <sheetViews>
    <sheetView zoomScale="85" zoomScaleNormal="85" workbookViewId="0">
      <pane xSplit="22620" ySplit="1560" topLeftCell="FD8" activePane="bottomLeft"/>
      <selection pane="topRight" activeCell="EI1" sqref="EI1"/>
      <selection pane="bottomLeft" activeCell="Z3" sqref="Z3"/>
      <selection pane="bottomRight" activeCell="Z3" sqref="Z3"/>
    </sheetView>
  </sheetViews>
  <sheetFormatPr defaultRowHeight="14.4" x14ac:dyDescent="0.3"/>
  <cols>
    <col min="1" max="1" width="17.44140625" customWidth="1"/>
    <col min="2" max="2" width="96.6640625" customWidth="1"/>
    <col min="3" max="3" width="87.109375" customWidth="1"/>
    <col min="4" max="4" width="4.33203125" customWidth="1"/>
    <col min="5" max="14" width="4.109375" customWidth="1"/>
    <col min="15" max="23" width="1.44140625" customWidth="1"/>
    <col min="24" max="24" width="3.109375" customWidth="1"/>
    <col min="25" max="25" width="6.88671875" customWidth="1"/>
    <col min="56" max="57" width="11.109375" customWidth="1"/>
    <col min="59" max="59" width="12.33203125" customWidth="1"/>
    <col min="107" max="107" width="9.109375" style="72"/>
  </cols>
  <sheetData>
    <row r="1" spans="1:187" ht="28.8" x14ac:dyDescent="0.3">
      <c r="A1">
        <f>VALUE(Sheet1!B7)</f>
        <v>1</v>
      </c>
      <c r="E1" t="s">
        <v>88</v>
      </c>
      <c r="O1" t="s">
        <v>37</v>
      </c>
      <c r="Z1" t="s">
        <v>80</v>
      </c>
      <c r="AC1" t="s">
        <v>291</v>
      </c>
      <c r="BC1">
        <f>COLUMN()</f>
        <v>55</v>
      </c>
      <c r="BD1" t="s">
        <v>324</v>
      </c>
      <c r="DB1">
        <f>COLUMN()</f>
        <v>106</v>
      </c>
      <c r="DD1" t="s">
        <v>292</v>
      </c>
      <c r="EH1" s="53" t="s">
        <v>77</v>
      </c>
      <c r="EI1">
        <f>COLUMN()</f>
        <v>139</v>
      </c>
      <c r="GE1">
        <f>COLUMN()</f>
        <v>187</v>
      </c>
    </row>
    <row r="2" spans="1:187" s="53" customFormat="1" ht="45.75" customHeight="1" x14ac:dyDescent="0.3">
      <c r="A2" s="53" t="s">
        <v>76</v>
      </c>
      <c r="B2" s="53" t="s">
        <v>75</v>
      </c>
      <c r="C2" s="53" t="s">
        <v>503</v>
      </c>
      <c r="D2" s="53" t="s">
        <v>87</v>
      </c>
      <c r="E2" s="53">
        <v>1</v>
      </c>
      <c r="F2" s="53">
        <v>2</v>
      </c>
      <c r="G2" s="53">
        <v>3</v>
      </c>
      <c r="H2" s="53">
        <v>4</v>
      </c>
      <c r="I2" s="53">
        <v>5</v>
      </c>
      <c r="J2" s="53">
        <v>6</v>
      </c>
      <c r="K2" s="53">
        <v>7</v>
      </c>
      <c r="L2" s="53">
        <v>8</v>
      </c>
      <c r="M2" s="53">
        <v>9</v>
      </c>
      <c r="N2" s="53">
        <v>10</v>
      </c>
      <c r="O2" s="53">
        <v>1</v>
      </c>
      <c r="P2" s="53">
        <v>2</v>
      </c>
      <c r="Q2" s="53">
        <v>3</v>
      </c>
      <c r="R2" s="53">
        <v>4</v>
      </c>
      <c r="S2" s="53">
        <v>5</v>
      </c>
      <c r="T2" s="53">
        <v>6</v>
      </c>
      <c r="U2" s="53">
        <v>7</v>
      </c>
      <c r="V2" s="53">
        <v>8</v>
      </c>
      <c r="W2" s="53">
        <v>9</v>
      </c>
      <c r="X2" s="53">
        <v>10</v>
      </c>
      <c r="Y2" s="53" t="s">
        <v>81</v>
      </c>
      <c r="Z2" s="69">
        <v>1</v>
      </c>
      <c r="AA2" s="69">
        <v>2</v>
      </c>
      <c r="AB2" s="69">
        <v>3</v>
      </c>
      <c r="AC2" s="69">
        <v>4</v>
      </c>
      <c r="AD2" s="69">
        <v>5</v>
      </c>
      <c r="AE2" s="69">
        <v>6</v>
      </c>
      <c r="AF2" s="69">
        <v>7</v>
      </c>
      <c r="AG2" s="69">
        <v>8</v>
      </c>
      <c r="AH2" s="69">
        <v>9</v>
      </c>
      <c r="AI2" s="69">
        <v>10</v>
      </c>
      <c r="AJ2" s="69">
        <v>11</v>
      </c>
      <c r="AK2" s="69">
        <v>12</v>
      </c>
      <c r="AL2" s="69">
        <v>13</v>
      </c>
      <c r="AM2" s="69">
        <v>14</v>
      </c>
      <c r="AN2" s="69">
        <v>15</v>
      </c>
      <c r="AO2" s="69">
        <v>16</v>
      </c>
      <c r="AP2" s="69">
        <v>17</v>
      </c>
      <c r="AQ2" s="69">
        <v>18</v>
      </c>
      <c r="AR2" s="69">
        <v>19</v>
      </c>
      <c r="AS2" s="69">
        <v>20</v>
      </c>
      <c r="AT2" s="69">
        <v>21</v>
      </c>
      <c r="AU2" s="69">
        <v>22</v>
      </c>
      <c r="AV2" s="69">
        <v>23</v>
      </c>
      <c r="AW2" s="69">
        <v>24</v>
      </c>
      <c r="AX2" s="69">
        <v>25</v>
      </c>
      <c r="AY2" s="69">
        <v>26</v>
      </c>
      <c r="AZ2" s="69">
        <v>27</v>
      </c>
      <c r="BA2" s="69">
        <v>28</v>
      </c>
      <c r="BB2" s="69">
        <v>29</v>
      </c>
      <c r="BC2" s="69">
        <v>30</v>
      </c>
      <c r="BD2" s="69">
        <v>1</v>
      </c>
      <c r="BE2" s="69">
        <v>2</v>
      </c>
      <c r="BF2" s="69">
        <v>3</v>
      </c>
      <c r="BG2" s="69">
        <v>4</v>
      </c>
      <c r="BH2" s="69">
        <v>5</v>
      </c>
      <c r="BI2" s="69">
        <v>6</v>
      </c>
      <c r="BJ2" s="69">
        <v>7</v>
      </c>
      <c r="BK2" s="69">
        <v>8</v>
      </c>
      <c r="BL2" s="69">
        <v>9</v>
      </c>
      <c r="BM2" s="69">
        <v>10</v>
      </c>
      <c r="BN2" s="69">
        <v>11</v>
      </c>
      <c r="BO2" s="69">
        <v>12</v>
      </c>
      <c r="BP2" s="69">
        <v>13</v>
      </c>
      <c r="BQ2" s="69">
        <v>14</v>
      </c>
      <c r="BR2" s="69">
        <v>15</v>
      </c>
      <c r="BS2" s="69">
        <v>16</v>
      </c>
      <c r="BT2" s="69">
        <v>17</v>
      </c>
      <c r="BU2" s="69">
        <v>18</v>
      </c>
      <c r="BV2" s="69">
        <v>19</v>
      </c>
      <c r="BW2" s="69">
        <v>20</v>
      </c>
      <c r="BX2" s="69">
        <v>21</v>
      </c>
      <c r="BY2" s="69">
        <v>22</v>
      </c>
      <c r="BZ2" s="69">
        <v>23</v>
      </c>
      <c r="CA2" s="69">
        <v>24</v>
      </c>
      <c r="CB2" s="69">
        <v>25</v>
      </c>
      <c r="CC2" s="69">
        <v>26</v>
      </c>
      <c r="CD2" s="69">
        <v>27</v>
      </c>
      <c r="CE2" s="69">
        <v>28</v>
      </c>
      <c r="CF2" s="69">
        <v>29</v>
      </c>
      <c r="CG2" s="69">
        <v>30</v>
      </c>
      <c r="CH2" s="69">
        <v>31</v>
      </c>
      <c r="CI2" s="69">
        <v>32</v>
      </c>
      <c r="CJ2" s="69">
        <v>33</v>
      </c>
      <c r="CK2" s="69">
        <v>34</v>
      </c>
      <c r="CL2" s="69">
        <v>35</v>
      </c>
      <c r="CM2" s="69">
        <v>36</v>
      </c>
      <c r="CN2" s="69">
        <v>37</v>
      </c>
      <c r="CO2" s="69">
        <v>38</v>
      </c>
      <c r="CP2" s="69">
        <v>39</v>
      </c>
      <c r="CQ2" s="69">
        <v>40</v>
      </c>
      <c r="CR2" s="69">
        <v>41</v>
      </c>
      <c r="CS2" s="69">
        <v>42</v>
      </c>
      <c r="CT2" s="69">
        <v>43</v>
      </c>
      <c r="CU2" s="69">
        <v>44</v>
      </c>
      <c r="CV2" s="69">
        <v>45</v>
      </c>
      <c r="CW2" s="69">
        <v>46</v>
      </c>
      <c r="CX2" s="69">
        <v>47</v>
      </c>
      <c r="CY2" s="69">
        <v>48</v>
      </c>
      <c r="CZ2" s="69">
        <v>49</v>
      </c>
      <c r="DA2" s="69">
        <v>50</v>
      </c>
      <c r="DB2" s="69">
        <v>51</v>
      </c>
      <c r="DC2" s="73"/>
      <c r="DD2" s="53">
        <v>1</v>
      </c>
      <c r="DE2" s="53">
        <v>2</v>
      </c>
      <c r="DF2" s="53">
        <v>3</v>
      </c>
      <c r="DG2" s="53">
        <v>4</v>
      </c>
      <c r="DH2" s="53">
        <v>5</v>
      </c>
      <c r="DI2" s="53">
        <v>6</v>
      </c>
      <c r="DJ2" s="53">
        <v>7</v>
      </c>
      <c r="DK2" s="53">
        <v>8</v>
      </c>
      <c r="DL2" s="53">
        <v>9</v>
      </c>
      <c r="DM2" s="53">
        <v>10</v>
      </c>
      <c r="DN2" s="53">
        <v>11</v>
      </c>
      <c r="DO2" s="53">
        <v>12</v>
      </c>
      <c r="DP2" s="53">
        <v>13</v>
      </c>
      <c r="DQ2" s="53">
        <v>14</v>
      </c>
      <c r="DR2" s="53">
        <v>15</v>
      </c>
      <c r="DS2" s="53">
        <v>16</v>
      </c>
      <c r="DT2" s="53">
        <v>17</v>
      </c>
      <c r="DU2" s="53">
        <v>18</v>
      </c>
      <c r="DV2" s="53">
        <v>19</v>
      </c>
      <c r="DW2" s="53">
        <v>20</v>
      </c>
      <c r="DX2" s="53">
        <v>21</v>
      </c>
      <c r="DY2" s="53">
        <v>22</v>
      </c>
      <c r="DZ2" s="53">
        <v>23</v>
      </c>
      <c r="EA2" s="53">
        <v>24</v>
      </c>
      <c r="EB2" s="53">
        <v>25</v>
      </c>
      <c r="EC2" s="53">
        <v>26</v>
      </c>
      <c r="ED2" s="53">
        <v>27</v>
      </c>
      <c r="EE2" s="53">
        <v>28</v>
      </c>
      <c r="EF2" s="53">
        <v>29</v>
      </c>
      <c r="EG2" s="53">
        <v>30</v>
      </c>
      <c r="EH2" s="53">
        <v>1</v>
      </c>
      <c r="EI2" s="53">
        <v>2</v>
      </c>
      <c r="EJ2" s="53">
        <v>3</v>
      </c>
      <c r="EK2" s="53">
        <v>4</v>
      </c>
      <c r="EL2" s="53">
        <v>5</v>
      </c>
      <c r="EM2" s="53">
        <v>6</v>
      </c>
      <c r="EN2" s="53">
        <v>7</v>
      </c>
      <c r="EO2" s="53">
        <v>8</v>
      </c>
      <c r="EP2" s="53">
        <v>9</v>
      </c>
      <c r="EQ2" s="53">
        <v>10</v>
      </c>
      <c r="ER2" s="53">
        <v>11</v>
      </c>
      <c r="ES2" s="53">
        <v>12</v>
      </c>
      <c r="ET2" s="53">
        <v>13</v>
      </c>
      <c r="EU2" s="53">
        <v>14</v>
      </c>
      <c r="EV2" s="53">
        <v>15</v>
      </c>
      <c r="EW2" s="53">
        <v>16</v>
      </c>
      <c r="EX2" s="53">
        <v>17</v>
      </c>
      <c r="EY2" s="53">
        <v>18</v>
      </c>
      <c r="EZ2" s="53">
        <v>19</v>
      </c>
      <c r="FA2" s="53">
        <v>20</v>
      </c>
      <c r="FB2" s="53">
        <v>21</v>
      </c>
      <c r="FC2" s="53">
        <v>22</v>
      </c>
      <c r="FD2" s="53">
        <v>23</v>
      </c>
      <c r="FE2" s="53">
        <v>24</v>
      </c>
      <c r="FF2" s="53">
        <v>25</v>
      </c>
      <c r="FG2" s="53">
        <v>26</v>
      </c>
      <c r="FH2" s="53">
        <v>27</v>
      </c>
      <c r="FI2" s="53">
        <v>28</v>
      </c>
      <c r="FJ2" s="53">
        <v>29</v>
      </c>
      <c r="FK2" s="53">
        <v>30</v>
      </c>
      <c r="FL2" s="53">
        <v>31</v>
      </c>
      <c r="FM2" s="53">
        <v>32</v>
      </c>
      <c r="FN2" s="53">
        <v>33</v>
      </c>
      <c r="FO2" s="53">
        <v>34</v>
      </c>
      <c r="FP2" s="53">
        <v>35</v>
      </c>
      <c r="FQ2" s="53">
        <v>36</v>
      </c>
      <c r="FR2" s="53">
        <v>37</v>
      </c>
      <c r="FS2" s="53">
        <v>38</v>
      </c>
      <c r="FT2" s="53">
        <v>39</v>
      </c>
      <c r="FU2" s="53">
        <v>40</v>
      </c>
      <c r="FV2" s="53">
        <v>41</v>
      </c>
      <c r="FW2" s="53">
        <v>42</v>
      </c>
      <c r="FX2" s="53">
        <v>43</v>
      </c>
      <c r="FY2" s="53">
        <v>44</v>
      </c>
      <c r="FZ2" s="53">
        <v>45</v>
      </c>
      <c r="GA2" s="53">
        <v>46</v>
      </c>
      <c r="GB2" s="53">
        <v>47</v>
      </c>
      <c r="GC2" s="53">
        <v>48</v>
      </c>
      <c r="GD2" s="53">
        <v>49</v>
      </c>
      <c r="GE2" s="53">
        <v>50</v>
      </c>
    </row>
    <row r="3" spans="1:187" ht="18.600000000000001" thickBot="1" x14ac:dyDescent="0.4">
      <c r="A3" s="59">
        <v>1</v>
      </c>
      <c r="B3" s="59" t="s">
        <v>270</v>
      </c>
      <c r="C3" s="86" t="str">
        <f>CONCATENATE(A3,": ",B3)</f>
        <v>1: one-off 'single list' weighing</v>
      </c>
      <c r="D3" s="60">
        <f>COUNT(E3:X3)</f>
        <v>1</v>
      </c>
      <c r="E3" s="59">
        <v>1</v>
      </c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61">
        <f>COUNTA(Z3:BC3)</f>
        <v>1</v>
      </c>
      <c r="Z3" s="66" t="s">
        <v>123</v>
      </c>
      <c r="AA3" s="66"/>
      <c r="AB3" s="66"/>
      <c r="AC3" s="66"/>
      <c r="AD3" s="66"/>
      <c r="AE3" s="66"/>
      <c r="AF3" s="66"/>
      <c r="AG3" s="66"/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71" t="s">
        <v>123</v>
      </c>
      <c r="BE3" s="71"/>
      <c r="BF3" s="71"/>
      <c r="BG3" s="71"/>
      <c r="BH3" s="71"/>
      <c r="BI3" s="71"/>
      <c r="BJ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  <c r="CC3" s="71"/>
      <c r="CD3" s="71"/>
      <c r="CE3" s="71"/>
      <c r="CF3" s="71"/>
      <c r="CG3" s="71"/>
      <c r="CH3" s="71"/>
      <c r="CI3" s="71"/>
      <c r="CJ3" s="71"/>
      <c r="CK3" s="71"/>
      <c r="CL3" s="71"/>
      <c r="CM3" s="71"/>
      <c r="CN3" s="71"/>
      <c r="CO3" s="71"/>
      <c r="CP3" s="71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4">
        <f>A3</f>
        <v>1</v>
      </c>
    </row>
    <row r="4" spans="1:187" ht="15.6" thickTop="1" thickBot="1" x14ac:dyDescent="0.35">
      <c r="A4" s="62">
        <f>A3+1</f>
        <v>2</v>
      </c>
      <c r="B4" s="62" t="s">
        <v>280</v>
      </c>
      <c r="C4" s="62" t="str">
        <f t="shared" ref="C4:C65" si="0">CONCATENATE(A4,": ",B4)</f>
        <v>2: weigh 1 &gt; weigh 2 &gt; weigh 3 &gt; weigh 4 &gt; weigh 5 &gt; weigh 6</v>
      </c>
      <c r="D4" s="63">
        <f>COUNT(E4:X4)</f>
        <v>6</v>
      </c>
      <c r="E4" s="62">
        <v>1</v>
      </c>
      <c r="F4" s="62">
        <v>2</v>
      </c>
      <c r="G4" s="62">
        <v>3</v>
      </c>
      <c r="H4" s="62">
        <v>4</v>
      </c>
      <c r="I4" s="62">
        <v>5</v>
      </c>
      <c r="J4" s="62">
        <v>6</v>
      </c>
      <c r="K4" s="62"/>
      <c r="L4" s="62"/>
      <c r="M4" s="62"/>
      <c r="N4" s="62"/>
      <c r="O4" s="62"/>
      <c r="P4" s="62"/>
      <c r="Q4" s="62"/>
      <c r="R4" s="62"/>
      <c r="S4" s="62"/>
      <c r="T4" s="62"/>
      <c r="U4" s="62"/>
      <c r="V4" s="62"/>
      <c r="W4" s="62"/>
      <c r="X4" s="62"/>
      <c r="Y4" s="64">
        <f t="shared" ref="Y4:Y6" si="1">COUNTA(Z4:BC4)</f>
        <v>6</v>
      </c>
      <c r="Z4" s="66" t="s">
        <v>124</v>
      </c>
      <c r="AA4" s="66" t="s">
        <v>125</v>
      </c>
      <c r="AB4" s="66" t="s">
        <v>126</v>
      </c>
      <c r="AC4" s="66" t="s">
        <v>127</v>
      </c>
      <c r="AD4" s="66" t="s">
        <v>281</v>
      </c>
      <c r="AE4" s="66" t="s">
        <v>282</v>
      </c>
      <c r="AF4" s="66"/>
      <c r="AG4" s="66"/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71" t="s">
        <v>325</v>
      </c>
      <c r="BE4" s="71" t="s">
        <v>326</v>
      </c>
      <c r="BF4" s="71" t="s">
        <v>327</v>
      </c>
      <c r="BG4" s="71" t="s">
        <v>328</v>
      </c>
      <c r="BH4" s="71" t="s">
        <v>329</v>
      </c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71"/>
      <c r="CE4" s="71"/>
      <c r="CF4" s="71"/>
      <c r="CG4" s="71"/>
      <c r="CH4" s="71"/>
      <c r="CI4" s="71"/>
      <c r="CJ4" s="71"/>
      <c r="CK4" s="71"/>
      <c r="CL4" s="71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4">
        <f t="shared" ref="DC4:DC65" si="2">A4</f>
        <v>2</v>
      </c>
      <c r="DD4">
        <v>10</v>
      </c>
      <c r="DE4">
        <v>12</v>
      </c>
      <c r="DF4">
        <v>14</v>
      </c>
      <c r="DG4">
        <v>16</v>
      </c>
      <c r="DH4">
        <v>18</v>
      </c>
      <c r="DI4">
        <v>20</v>
      </c>
      <c r="EH4">
        <f>DE4-DD4</f>
        <v>2</v>
      </c>
      <c r="EI4">
        <f>DF4-DE4</f>
        <v>2</v>
      </c>
      <c r="EJ4">
        <f>DG4-DF4</f>
        <v>2</v>
      </c>
      <c r="EK4">
        <f>DH4-DG4</f>
        <v>2</v>
      </c>
      <c r="EL4">
        <f>DI4-DH4</f>
        <v>2</v>
      </c>
    </row>
    <row r="5" spans="1:187" ht="15.6" thickTop="1" thickBot="1" x14ac:dyDescent="0.35">
      <c r="A5" s="62">
        <f t="shared" ref="A5:A67" si="3">A4+1</f>
        <v>3</v>
      </c>
      <c r="B5" s="62" t="s">
        <v>78</v>
      </c>
      <c r="C5" s="62" t="str">
        <f t="shared" si="0"/>
        <v>3: weigh 1 » weigh 2 (together) &gt; then later weigh 3</v>
      </c>
      <c r="D5" s="63">
        <f t="shared" ref="D5:D67" si="4">COUNT(E5:X5)</f>
        <v>2</v>
      </c>
      <c r="E5" s="62">
        <v>1</v>
      </c>
      <c r="F5" s="62">
        <v>3</v>
      </c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4">
        <f t="shared" si="1"/>
        <v>3</v>
      </c>
      <c r="Z5" s="66" t="s">
        <v>124</v>
      </c>
      <c r="AA5" s="66" t="s">
        <v>125</v>
      </c>
      <c r="AB5" s="66" t="s">
        <v>126</v>
      </c>
      <c r="AC5" s="66"/>
      <c r="AD5" s="66"/>
      <c r="AE5" s="66"/>
      <c r="AF5" s="66"/>
      <c r="AG5" s="66"/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71" t="s">
        <v>325</v>
      </c>
      <c r="BE5" s="71" t="s">
        <v>326</v>
      </c>
      <c r="BF5" s="71" t="s">
        <v>325</v>
      </c>
      <c r="BG5" s="71" t="s">
        <v>449</v>
      </c>
      <c r="BH5" s="71"/>
      <c r="BI5" s="71"/>
      <c r="BJ5" s="71"/>
      <c r="BK5" s="71"/>
      <c r="BL5" s="71"/>
      <c r="BM5" s="71"/>
      <c r="BN5" s="71"/>
      <c r="BO5" s="71"/>
      <c r="BP5" s="71"/>
      <c r="BQ5" s="71"/>
      <c r="BR5" s="71"/>
      <c r="BS5" s="71"/>
      <c r="BT5" s="71"/>
      <c r="BU5" s="71"/>
      <c r="BV5" s="71"/>
      <c r="BW5" s="71"/>
      <c r="BX5" s="71"/>
      <c r="BY5" s="71"/>
      <c r="BZ5" s="71"/>
      <c r="CA5" s="71"/>
      <c r="CB5" s="71"/>
      <c r="CC5" s="71"/>
      <c r="CD5" s="71"/>
      <c r="CE5" s="71"/>
      <c r="CF5" s="71"/>
      <c r="CG5" s="71"/>
      <c r="CH5" s="71"/>
      <c r="CI5" s="71"/>
      <c r="CJ5" s="71"/>
      <c r="CK5" s="71"/>
      <c r="CL5" s="71"/>
      <c r="CM5" s="71"/>
      <c r="CN5" s="71"/>
      <c r="CO5" s="71"/>
      <c r="CP5" s="71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4">
        <f t="shared" si="2"/>
        <v>3</v>
      </c>
      <c r="DD5">
        <v>10</v>
      </c>
      <c r="DE5">
        <v>12</v>
      </c>
      <c r="DF5">
        <v>14</v>
      </c>
      <c r="EH5">
        <f>DE5-DD5</f>
        <v>2</v>
      </c>
      <c r="EI5">
        <f>DF5-DE5</f>
        <v>2</v>
      </c>
      <c r="EJ5">
        <f>DE5-DD5</f>
        <v>2</v>
      </c>
      <c r="EK5">
        <f>DF5-DE5</f>
        <v>2</v>
      </c>
    </row>
    <row r="6" spans="1:187" ht="15.6" thickTop="1" thickBot="1" x14ac:dyDescent="0.35">
      <c r="A6" s="62">
        <f t="shared" si="3"/>
        <v>4</v>
      </c>
      <c r="B6" s="62" t="s">
        <v>271</v>
      </c>
      <c r="C6" s="62" t="str">
        <f t="shared" si="0"/>
        <v>4: weigh 1 &gt; then weigh 2 » weigh 3 (2&amp;3 together later)</v>
      </c>
      <c r="D6" s="63">
        <f t="shared" si="4"/>
        <v>2</v>
      </c>
      <c r="E6" s="65">
        <v>1</v>
      </c>
      <c r="F6" s="65">
        <v>2</v>
      </c>
      <c r="G6" s="65"/>
      <c r="H6" s="65"/>
      <c r="I6" s="65"/>
      <c r="J6" s="62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4">
        <f t="shared" si="1"/>
        <v>3</v>
      </c>
      <c r="Z6" s="66" t="s">
        <v>124</v>
      </c>
      <c r="AA6" s="66" t="s">
        <v>125</v>
      </c>
      <c r="AB6" s="66" t="s">
        <v>126</v>
      </c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71" t="s">
        <v>325</v>
      </c>
      <c r="BE6" s="71" t="s">
        <v>326</v>
      </c>
      <c r="BF6" s="71" t="s">
        <v>325</v>
      </c>
      <c r="BG6" s="71" t="s">
        <v>449</v>
      </c>
      <c r="BH6" s="71"/>
      <c r="BI6" s="71"/>
      <c r="BJ6" s="71"/>
      <c r="BK6" s="71"/>
      <c r="BL6" s="71"/>
      <c r="BM6" s="71"/>
      <c r="BN6" s="71"/>
      <c r="BO6" s="71"/>
      <c r="BP6" s="71"/>
      <c r="BQ6" s="71"/>
      <c r="BR6" s="71"/>
      <c r="BS6" s="71"/>
      <c r="BT6" s="71"/>
      <c r="BU6" s="71"/>
      <c r="BV6" s="71"/>
      <c r="BW6" s="71"/>
      <c r="BX6" s="71"/>
      <c r="BY6" s="71"/>
      <c r="BZ6" s="71"/>
      <c r="CA6" s="71"/>
      <c r="CB6" s="71"/>
      <c r="CC6" s="71"/>
      <c r="CD6" s="71"/>
      <c r="CE6" s="71"/>
      <c r="CF6" s="71"/>
      <c r="CG6" s="71"/>
      <c r="CH6" s="71"/>
      <c r="CI6" s="71"/>
      <c r="CJ6" s="71"/>
      <c r="CK6" s="71"/>
      <c r="CL6" s="71"/>
      <c r="CM6" s="71"/>
      <c r="CN6" s="71"/>
      <c r="CO6" s="71"/>
      <c r="CP6" s="71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4">
        <f t="shared" si="2"/>
        <v>4</v>
      </c>
      <c r="DD6">
        <v>10</v>
      </c>
      <c r="DE6">
        <v>12</v>
      </c>
      <c r="DF6">
        <v>14</v>
      </c>
      <c r="EH6">
        <f>DE6-DD6</f>
        <v>2</v>
      </c>
      <c r="EI6">
        <f>DF6-DE6</f>
        <v>2</v>
      </c>
      <c r="EJ6">
        <f>DE6-DD6</f>
        <v>2</v>
      </c>
      <c r="EK6">
        <f>DE6-DF6</f>
        <v>-2</v>
      </c>
    </row>
    <row r="7" spans="1:187" ht="15.6" thickTop="1" thickBot="1" x14ac:dyDescent="0.35">
      <c r="A7" s="62">
        <f t="shared" si="3"/>
        <v>5</v>
      </c>
      <c r="B7" s="62" t="s">
        <v>330</v>
      </c>
      <c r="C7" s="62" t="str">
        <f t="shared" si="0"/>
        <v>5: weigh 1 » weigh 2 (together) &gt; then later reweigh 1 » weight 2</v>
      </c>
      <c r="D7" s="63">
        <f t="shared" si="4"/>
        <v>2</v>
      </c>
      <c r="E7" s="62">
        <v>1</v>
      </c>
      <c r="F7" s="62">
        <v>3</v>
      </c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4">
        <f>COUNTA(Z7:BC7)</f>
        <v>4</v>
      </c>
      <c r="Z7" s="66" t="s">
        <v>124</v>
      </c>
      <c r="AA7" s="66" t="s">
        <v>125</v>
      </c>
      <c r="AB7" s="66" t="s">
        <v>331</v>
      </c>
      <c r="AC7" s="66" t="s">
        <v>332</v>
      </c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71" t="s">
        <v>333</v>
      </c>
      <c r="BE7" s="71" t="s">
        <v>334</v>
      </c>
      <c r="BF7" s="71" t="s">
        <v>454</v>
      </c>
      <c r="BG7" s="71" t="s">
        <v>455</v>
      </c>
      <c r="BH7" s="71" t="s">
        <v>450</v>
      </c>
      <c r="BI7" s="71" t="s">
        <v>451</v>
      </c>
      <c r="BJ7" s="71" t="s">
        <v>452</v>
      </c>
      <c r="BK7" s="71" t="s">
        <v>453</v>
      </c>
      <c r="BL7" s="71"/>
      <c r="BM7" s="71"/>
      <c r="BN7" s="71"/>
      <c r="BO7" s="71"/>
      <c r="BP7" s="71"/>
      <c r="BQ7" s="71"/>
      <c r="BR7" s="71"/>
      <c r="BS7" s="71"/>
      <c r="BT7" s="71"/>
      <c r="BU7" s="71"/>
      <c r="BV7" s="71"/>
      <c r="BW7" s="71"/>
      <c r="BX7" s="71"/>
      <c r="BY7" s="71"/>
      <c r="BZ7" s="71"/>
      <c r="CA7" s="71"/>
      <c r="CB7" s="71"/>
      <c r="CC7" s="71"/>
      <c r="CD7" s="71"/>
      <c r="CE7" s="71"/>
      <c r="CF7" s="71"/>
      <c r="CG7" s="71"/>
      <c r="CH7" s="71"/>
      <c r="CI7" s="71"/>
      <c r="CJ7" s="71"/>
      <c r="CK7" s="71"/>
      <c r="CL7" s="71"/>
      <c r="CM7" s="71"/>
      <c r="CN7" s="71"/>
      <c r="CO7" s="71"/>
      <c r="CP7" s="71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4">
        <f t="shared" si="2"/>
        <v>5</v>
      </c>
      <c r="DD7">
        <v>10</v>
      </c>
      <c r="DE7">
        <v>12</v>
      </c>
      <c r="DF7">
        <v>14</v>
      </c>
      <c r="DG7">
        <v>16</v>
      </c>
      <c r="EH7">
        <f>DF7-DD7</f>
        <v>4</v>
      </c>
      <c r="EI7">
        <f>DG7-DE7</f>
        <v>4</v>
      </c>
      <c r="EJ7">
        <f>EH7/DD7*100</f>
        <v>40</v>
      </c>
      <c r="EK7">
        <f>EI7/DE7*100</f>
        <v>33.333333333333329</v>
      </c>
      <c r="EL7">
        <f>DD7-DF7</f>
        <v>-4</v>
      </c>
      <c r="EM7">
        <f>DE7-DG7</f>
        <v>-4</v>
      </c>
      <c r="EN7">
        <f>DD7/DF7*100</f>
        <v>71.428571428571431</v>
      </c>
      <c r="EO7">
        <f>DE7/DG7*100</f>
        <v>75</v>
      </c>
    </row>
    <row r="8" spans="1:187" ht="15.6" thickTop="1" thickBot="1" x14ac:dyDescent="0.35">
      <c r="A8" s="62">
        <f t="shared" si="3"/>
        <v>6</v>
      </c>
      <c r="B8" s="97" t="s">
        <v>272</v>
      </c>
      <c r="C8" s="62" t="str">
        <f t="shared" si="0"/>
        <v>6: soil moisture (weigh wet &gt; weigh dry &gt; weigh soil tin)</v>
      </c>
      <c r="D8" s="63">
        <f t="shared" si="4"/>
        <v>3</v>
      </c>
      <c r="E8" s="62">
        <v>1</v>
      </c>
      <c r="F8" s="62">
        <v>2</v>
      </c>
      <c r="G8" s="62">
        <v>3</v>
      </c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4">
        <f t="shared" ref="Y8:Y68" si="5">COUNTA(Z8:BC8)</f>
        <v>3</v>
      </c>
      <c r="Z8" s="66" t="s">
        <v>128</v>
      </c>
      <c r="AA8" s="66" t="s">
        <v>129</v>
      </c>
      <c r="AB8" s="66" t="s">
        <v>130</v>
      </c>
      <c r="AC8" s="66"/>
      <c r="AD8" s="66"/>
      <c r="AE8" s="66"/>
      <c r="AF8" s="66"/>
      <c r="AG8" s="66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71" t="s">
        <v>335</v>
      </c>
      <c r="BE8" s="71" t="s">
        <v>336</v>
      </c>
      <c r="BF8" s="71" t="s">
        <v>337</v>
      </c>
      <c r="BG8" s="71"/>
      <c r="BH8" s="71"/>
      <c r="BI8" s="71"/>
      <c r="BJ8" s="71"/>
      <c r="BK8" s="71"/>
      <c r="BL8" s="71"/>
      <c r="BM8" s="71"/>
      <c r="BN8" s="71"/>
      <c r="BO8" s="71"/>
      <c r="BP8" s="71"/>
      <c r="BQ8" s="71"/>
      <c r="BR8" s="71"/>
      <c r="BS8" s="71"/>
      <c r="BT8" s="71"/>
      <c r="BU8" s="71"/>
      <c r="BV8" s="71"/>
      <c r="BW8" s="71"/>
      <c r="BX8" s="71"/>
      <c r="BY8" s="71"/>
      <c r="BZ8" s="71"/>
      <c r="CA8" s="71"/>
      <c r="CB8" s="71"/>
      <c r="CC8" s="71"/>
      <c r="CD8" s="71"/>
      <c r="CE8" s="71"/>
      <c r="CF8" s="71"/>
      <c r="CG8" s="71"/>
      <c r="CH8" s="71"/>
      <c r="CI8" s="71"/>
      <c r="CJ8" s="71"/>
      <c r="CK8" s="71"/>
      <c r="CL8" s="71"/>
      <c r="CM8" s="71"/>
      <c r="CN8" s="71"/>
      <c r="CO8" s="71"/>
      <c r="CP8" s="71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4">
        <f t="shared" si="2"/>
        <v>6</v>
      </c>
      <c r="DD8">
        <v>100</v>
      </c>
      <c r="DE8">
        <v>80</v>
      </c>
      <c r="DF8">
        <v>10</v>
      </c>
      <c r="EH8">
        <f>(DD8-DF8)-(DE8-DF8)</f>
        <v>20</v>
      </c>
      <c r="EI8">
        <f>DE8-DF8</f>
        <v>70</v>
      </c>
      <c r="EJ8">
        <f>EH8/EI8*100</f>
        <v>28.571428571428569</v>
      </c>
    </row>
    <row r="9" spans="1:187" ht="15.6" thickTop="1" thickBot="1" x14ac:dyDescent="0.35">
      <c r="A9" s="62">
        <f t="shared" si="3"/>
        <v>7</v>
      </c>
      <c r="B9" s="97" t="s">
        <v>285</v>
      </c>
      <c r="C9" s="62" t="str">
        <f t="shared" si="0"/>
        <v>7: soil moisture sub-sample in  empty phial (empty»wet &gt; dry)</v>
      </c>
      <c r="D9" s="63">
        <f t="shared" si="4"/>
        <v>2</v>
      </c>
      <c r="E9" s="62">
        <v>1</v>
      </c>
      <c r="F9" s="62">
        <v>3</v>
      </c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4">
        <f t="shared" si="5"/>
        <v>3</v>
      </c>
      <c r="Z9" s="66" t="s">
        <v>131</v>
      </c>
      <c r="AA9" s="66" t="s">
        <v>132</v>
      </c>
      <c r="AB9" s="66" t="s">
        <v>133</v>
      </c>
      <c r="AC9" s="66"/>
      <c r="AD9" s="66"/>
      <c r="AE9" s="66"/>
      <c r="AF9" s="66"/>
      <c r="AG9" s="66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71" t="s">
        <v>335</v>
      </c>
      <c r="BE9" s="71" t="s">
        <v>336</v>
      </c>
      <c r="BF9" s="71" t="s">
        <v>337</v>
      </c>
      <c r="BG9" s="71"/>
      <c r="BH9" s="71"/>
      <c r="BI9" s="71"/>
      <c r="BJ9" s="71"/>
      <c r="BK9" s="71"/>
      <c r="BL9" s="71"/>
      <c r="BM9" s="71"/>
      <c r="BN9" s="71"/>
      <c r="BO9" s="71"/>
      <c r="BP9" s="71"/>
      <c r="BQ9" s="71"/>
      <c r="BR9" s="71"/>
      <c r="BS9" s="71"/>
      <c r="BT9" s="71"/>
      <c r="BU9" s="71"/>
      <c r="BV9" s="71"/>
      <c r="BW9" s="71"/>
      <c r="BX9" s="71"/>
      <c r="BY9" s="71"/>
      <c r="BZ9" s="71"/>
      <c r="CA9" s="71"/>
      <c r="CB9" s="71"/>
      <c r="CC9" s="71"/>
      <c r="CD9" s="71"/>
      <c r="CE9" s="71"/>
      <c r="CF9" s="71"/>
      <c r="CG9" s="71"/>
      <c r="CH9" s="71"/>
      <c r="CI9" s="71"/>
      <c r="CJ9" s="71"/>
      <c r="CK9" s="71"/>
      <c r="CL9" s="71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4">
        <f t="shared" si="2"/>
        <v>7</v>
      </c>
      <c r="DD9">
        <v>50</v>
      </c>
      <c r="DE9">
        <v>150</v>
      </c>
      <c r="DF9">
        <v>120</v>
      </c>
      <c r="EH9">
        <f t="shared" ref="EH9:EH25" si="6">DE9-DD9</f>
        <v>100</v>
      </c>
      <c r="EI9">
        <f t="shared" ref="EI9:EI15" si="7">DF9-DD9</f>
        <v>70</v>
      </c>
      <c r="EJ9">
        <f>EH9/EI9*100</f>
        <v>142.85714285714286</v>
      </c>
    </row>
    <row r="10" spans="1:187" ht="15.6" thickTop="1" thickBot="1" x14ac:dyDescent="0.35">
      <c r="A10" s="62">
        <f t="shared" si="3"/>
        <v>8</v>
      </c>
      <c r="B10" s="97" t="s">
        <v>273</v>
      </c>
      <c r="C10" s="62" t="str">
        <f t="shared" si="0"/>
        <v>8: soil mositure then organic matter @550  (empty»wet &gt; dry &gt; burnt)</v>
      </c>
      <c r="D10" s="63">
        <f t="shared" si="4"/>
        <v>3</v>
      </c>
      <c r="E10" s="62">
        <v>1</v>
      </c>
      <c r="F10" s="62">
        <v>3</v>
      </c>
      <c r="G10" s="62">
        <v>4</v>
      </c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4">
        <f t="shared" si="5"/>
        <v>4</v>
      </c>
      <c r="Z10" s="66" t="s">
        <v>131</v>
      </c>
      <c r="AA10" s="66" t="s">
        <v>132</v>
      </c>
      <c r="AB10" s="66" t="s">
        <v>134</v>
      </c>
      <c r="AC10" s="66" t="s">
        <v>135</v>
      </c>
      <c r="AD10" s="66"/>
      <c r="AE10" s="66"/>
      <c r="AF10" s="66"/>
      <c r="AG10" s="66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71" t="s">
        <v>335</v>
      </c>
      <c r="BE10" s="71" t="s">
        <v>336</v>
      </c>
      <c r="BF10" s="71" t="s">
        <v>337</v>
      </c>
      <c r="BG10" s="71" t="s">
        <v>338</v>
      </c>
      <c r="BH10" s="71" t="s">
        <v>339</v>
      </c>
      <c r="BI10" s="71" t="s">
        <v>340</v>
      </c>
      <c r="BJ10" s="71"/>
      <c r="BK10" s="71"/>
      <c r="BL10" s="71"/>
      <c r="BM10" s="71"/>
      <c r="BN10" s="71"/>
      <c r="BO10" s="71"/>
      <c r="BP10" s="71"/>
      <c r="BQ10" s="71"/>
      <c r="BR10" s="71"/>
      <c r="BS10" s="71"/>
      <c r="BT10" s="71"/>
      <c r="BU10" s="71"/>
      <c r="BV10" s="71"/>
      <c r="BW10" s="71"/>
      <c r="BX10" s="71"/>
      <c r="BY10" s="71"/>
      <c r="BZ10" s="71"/>
      <c r="CA10" s="71"/>
      <c r="CB10" s="71"/>
      <c r="CC10" s="71"/>
      <c r="CD10" s="71"/>
      <c r="CE10" s="71"/>
      <c r="CF10" s="71"/>
      <c r="CG10" s="71"/>
      <c r="CH10" s="71"/>
      <c r="CI10" s="71"/>
      <c r="CJ10" s="71"/>
      <c r="CK10" s="71"/>
      <c r="CL10" s="71"/>
      <c r="CM10" s="71"/>
      <c r="CN10" s="71"/>
      <c r="CO10" s="71"/>
      <c r="CP10" s="71"/>
      <c r="CQ10" s="71"/>
      <c r="CR10" s="71"/>
      <c r="CS10" s="71"/>
      <c r="CT10" s="71"/>
      <c r="CU10" s="71"/>
      <c r="CV10" s="71"/>
      <c r="CW10" s="71"/>
      <c r="CX10" s="71"/>
      <c r="CY10" s="71"/>
      <c r="CZ10" s="71"/>
      <c r="DA10" s="71"/>
      <c r="DB10" s="71"/>
      <c r="DC10" s="74">
        <f t="shared" si="2"/>
        <v>8</v>
      </c>
      <c r="DD10">
        <v>50</v>
      </c>
      <c r="DE10">
        <v>150</v>
      </c>
      <c r="DF10">
        <v>120</v>
      </c>
      <c r="DG10">
        <v>110</v>
      </c>
      <c r="EH10">
        <f t="shared" si="6"/>
        <v>100</v>
      </c>
      <c r="EI10">
        <f t="shared" si="7"/>
        <v>70</v>
      </c>
      <c r="EJ10">
        <f t="shared" ref="EJ10:EJ15" si="8">EH10/EI10*100</f>
        <v>142.85714285714286</v>
      </c>
      <c r="EK10">
        <f t="shared" ref="EK10:EK15" si="9">DG10-DD10</f>
        <v>60</v>
      </c>
      <c r="EL10">
        <f>EI10-EK10</f>
        <v>10</v>
      </c>
      <c r="EM10">
        <f>EL10/EI10*100</f>
        <v>14.285714285714285</v>
      </c>
    </row>
    <row r="11" spans="1:187" ht="15.6" thickTop="1" thickBot="1" x14ac:dyDescent="0.35">
      <c r="A11" s="62">
        <f t="shared" si="3"/>
        <v>9</v>
      </c>
      <c r="B11" s="97" t="s">
        <v>98</v>
      </c>
      <c r="C11" s="62" t="str">
        <f t="shared" si="0"/>
        <v>9: soil mositure then organic matter   (empty &gt; wet &gt; dry &gt; burnt)</v>
      </c>
      <c r="D11" s="63">
        <f t="shared" si="4"/>
        <v>4</v>
      </c>
      <c r="E11" s="62">
        <v>1</v>
      </c>
      <c r="F11" s="62">
        <v>2</v>
      </c>
      <c r="G11" s="62">
        <v>3</v>
      </c>
      <c r="H11" s="62">
        <v>4</v>
      </c>
      <c r="I11" s="62"/>
      <c r="J11" s="62"/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4">
        <f>COUNTA(Z11:BC11)</f>
        <v>4</v>
      </c>
      <c r="Z11" s="66" t="s">
        <v>131</v>
      </c>
      <c r="AA11" s="66" t="s">
        <v>132</v>
      </c>
      <c r="AB11" s="66" t="s">
        <v>134</v>
      </c>
      <c r="AC11" s="66" t="s">
        <v>135</v>
      </c>
      <c r="AD11" s="66"/>
      <c r="AE11" s="66"/>
      <c r="AF11" s="66"/>
      <c r="AG11" s="66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71" t="s">
        <v>335</v>
      </c>
      <c r="BE11" s="71" t="s">
        <v>336</v>
      </c>
      <c r="BF11" s="71" t="s">
        <v>337</v>
      </c>
      <c r="BG11" s="71" t="s">
        <v>338</v>
      </c>
      <c r="BH11" s="71" t="s">
        <v>339</v>
      </c>
      <c r="BI11" s="71" t="s">
        <v>340</v>
      </c>
      <c r="BJ11" s="71"/>
      <c r="BK11" s="71"/>
      <c r="BL11" s="71"/>
      <c r="BM11" s="71"/>
      <c r="BN11" s="71"/>
      <c r="BO11" s="71"/>
      <c r="BP11" s="71"/>
      <c r="BQ11" s="71"/>
      <c r="BR11" s="71"/>
      <c r="BS11" s="71"/>
      <c r="BT11" s="71"/>
      <c r="BU11" s="71"/>
      <c r="BV11" s="71"/>
      <c r="BW11" s="71"/>
      <c r="BX11" s="71"/>
      <c r="BY11" s="71"/>
      <c r="BZ11" s="71"/>
      <c r="CA11" s="71"/>
      <c r="CB11" s="71"/>
      <c r="CC11" s="71"/>
      <c r="CD11" s="71"/>
      <c r="CE11" s="71"/>
      <c r="CF11" s="71"/>
      <c r="CG11" s="71"/>
      <c r="CH11" s="71"/>
      <c r="CI11" s="71"/>
      <c r="CJ11" s="71"/>
      <c r="CK11" s="71"/>
      <c r="CL11" s="71"/>
      <c r="CM11" s="71"/>
      <c r="CN11" s="71"/>
      <c r="CO11" s="71"/>
      <c r="CP11" s="71"/>
      <c r="CQ11" s="71"/>
      <c r="CR11" s="71"/>
      <c r="CS11" s="71"/>
      <c r="CT11" s="71"/>
      <c r="CU11" s="71"/>
      <c r="CV11" s="71"/>
      <c r="CW11" s="71"/>
      <c r="CX11" s="71"/>
      <c r="CY11" s="71"/>
      <c r="CZ11" s="71"/>
      <c r="DA11" s="71"/>
      <c r="DB11" s="71"/>
      <c r="DC11" s="74">
        <f t="shared" si="2"/>
        <v>9</v>
      </c>
      <c r="DD11">
        <v>50</v>
      </c>
      <c r="DE11">
        <v>150</v>
      </c>
      <c r="DF11">
        <v>120</v>
      </c>
      <c r="DG11">
        <v>110</v>
      </c>
      <c r="EH11">
        <f t="shared" si="6"/>
        <v>100</v>
      </c>
      <c r="EI11">
        <f t="shared" si="7"/>
        <v>70</v>
      </c>
      <c r="EJ11">
        <f t="shared" si="8"/>
        <v>142.85714285714286</v>
      </c>
      <c r="EK11">
        <f t="shared" si="9"/>
        <v>60</v>
      </c>
      <c r="EL11">
        <f>EI11-EK11</f>
        <v>10</v>
      </c>
      <c r="EM11">
        <f>EL11/EI11*100</f>
        <v>14.285714285714285</v>
      </c>
    </row>
    <row r="12" spans="1:187" ht="15.6" thickTop="1" thickBot="1" x14ac:dyDescent="0.35">
      <c r="A12" s="62">
        <f t="shared" si="3"/>
        <v>10</v>
      </c>
      <c r="B12" s="97" t="s">
        <v>274</v>
      </c>
      <c r="C12" s="62" t="str">
        <f t="shared" si="0"/>
        <v>10: soil moisture \ organic@550\ CaCO3@950 (empty» wet &gt; dry &gt; LOI &gt; CO3)</v>
      </c>
      <c r="D12" s="63">
        <f t="shared" si="4"/>
        <v>4</v>
      </c>
      <c r="E12" s="62">
        <v>1</v>
      </c>
      <c r="F12" s="62">
        <v>3</v>
      </c>
      <c r="G12" s="62">
        <v>4</v>
      </c>
      <c r="H12" s="62">
        <v>5</v>
      </c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4">
        <f t="shared" si="5"/>
        <v>5</v>
      </c>
      <c r="Z12" s="66" t="s">
        <v>131</v>
      </c>
      <c r="AA12" s="66" t="s">
        <v>132</v>
      </c>
      <c r="AB12" s="66" t="s">
        <v>134</v>
      </c>
      <c r="AC12" s="66" t="s">
        <v>136</v>
      </c>
      <c r="AD12" s="66" t="s">
        <v>137</v>
      </c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71" t="s">
        <v>335</v>
      </c>
      <c r="BE12" s="71" t="s">
        <v>336</v>
      </c>
      <c r="BF12" s="71" t="s">
        <v>337</v>
      </c>
      <c r="BG12" s="71" t="s">
        <v>338</v>
      </c>
      <c r="BH12" s="71" t="s">
        <v>339</v>
      </c>
      <c r="BI12" s="71" t="s">
        <v>340</v>
      </c>
      <c r="BJ12" s="71" t="s">
        <v>341</v>
      </c>
      <c r="BK12" s="71" t="s">
        <v>342</v>
      </c>
      <c r="BL12" s="71" t="s">
        <v>502</v>
      </c>
      <c r="BM12" s="71" t="s">
        <v>456</v>
      </c>
      <c r="BN12" s="71"/>
      <c r="BO12" s="71"/>
      <c r="BP12" s="71"/>
      <c r="BQ12" s="71"/>
      <c r="BR12" s="71"/>
      <c r="BS12" s="71"/>
      <c r="BT12" s="71"/>
      <c r="BU12" s="71"/>
      <c r="BV12" s="71"/>
      <c r="BW12" s="71"/>
      <c r="BX12" s="71"/>
      <c r="BY12" s="71"/>
      <c r="BZ12" s="71"/>
      <c r="CA12" s="71"/>
      <c r="CB12" s="71"/>
      <c r="CC12" s="71"/>
      <c r="CD12" s="71"/>
      <c r="CE12" s="71"/>
      <c r="CF12" s="71"/>
      <c r="CG12" s="71"/>
      <c r="CH12" s="71"/>
      <c r="CI12" s="71"/>
      <c r="CJ12" s="71"/>
      <c r="CK12" s="71"/>
      <c r="CL12" s="71"/>
      <c r="CM12" s="71"/>
      <c r="CN12" s="71"/>
      <c r="CO12" s="71"/>
      <c r="CP12" s="71"/>
      <c r="CQ12" s="71"/>
      <c r="CR12" s="71"/>
      <c r="CS12" s="71"/>
      <c r="CT12" s="71"/>
      <c r="CU12" s="71"/>
      <c r="CV12" s="71"/>
      <c r="CW12" s="71"/>
      <c r="CX12" s="71"/>
      <c r="CY12" s="71"/>
      <c r="CZ12" s="71"/>
      <c r="DA12" s="71"/>
      <c r="DB12" s="71"/>
      <c r="DC12" s="74">
        <f t="shared" si="2"/>
        <v>10</v>
      </c>
      <c r="DD12">
        <v>50</v>
      </c>
      <c r="DE12">
        <v>150</v>
      </c>
      <c r="DF12">
        <v>120</v>
      </c>
      <c r="DG12">
        <v>110</v>
      </c>
      <c r="DH12">
        <v>105</v>
      </c>
      <c r="EH12">
        <f t="shared" si="6"/>
        <v>100</v>
      </c>
      <c r="EI12">
        <f t="shared" si="7"/>
        <v>70</v>
      </c>
      <c r="EJ12">
        <f t="shared" si="8"/>
        <v>142.85714285714286</v>
      </c>
      <c r="EK12">
        <f t="shared" si="9"/>
        <v>60</v>
      </c>
      <c r="EL12">
        <f t="shared" ref="EL12:EL15" si="10">EI12-EK12</f>
        <v>10</v>
      </c>
      <c r="EM12">
        <f t="shared" ref="EM12:EM15" si="11">EL12/EI12*100</f>
        <v>14.285714285714285</v>
      </c>
      <c r="EN12">
        <f>DH12-DD12</f>
        <v>55</v>
      </c>
      <c r="EO12">
        <f>EK12-EN12</f>
        <v>5</v>
      </c>
      <c r="EP12">
        <f>(EO12/EK12*100) * 1.3636</f>
        <v>11.363333333333332</v>
      </c>
      <c r="EQ12">
        <f>(EO12/EN12*100) * 1.3636</f>
        <v>12.396363636363636</v>
      </c>
    </row>
    <row r="13" spans="1:187" ht="15.6" thickTop="1" thickBot="1" x14ac:dyDescent="0.35">
      <c r="A13" s="62">
        <f t="shared" si="3"/>
        <v>11</v>
      </c>
      <c r="B13" s="97" t="s">
        <v>89</v>
      </c>
      <c r="C13" s="62" t="str">
        <f t="shared" si="0"/>
        <v>11: soil moist \ organic@550 \ CaCO3@950 \ ? (empty» wet &gt; dry &gt; LOI &gt; CO3 &gt; burn 3)</v>
      </c>
      <c r="D13" s="63">
        <f t="shared" si="4"/>
        <v>5</v>
      </c>
      <c r="E13" s="62">
        <v>1</v>
      </c>
      <c r="F13" s="62">
        <v>3</v>
      </c>
      <c r="G13" s="62">
        <v>4</v>
      </c>
      <c r="H13" s="62">
        <v>5</v>
      </c>
      <c r="I13" s="62">
        <v>6</v>
      </c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4">
        <f t="shared" si="5"/>
        <v>6</v>
      </c>
      <c r="Z13" s="66" t="s">
        <v>131</v>
      </c>
      <c r="AA13" s="66" t="s">
        <v>132</v>
      </c>
      <c r="AB13" s="66" t="s">
        <v>134</v>
      </c>
      <c r="AC13" s="66" t="s">
        <v>136</v>
      </c>
      <c r="AD13" s="66" t="s">
        <v>137</v>
      </c>
      <c r="AE13" s="66" t="s">
        <v>138</v>
      </c>
      <c r="AF13" s="66"/>
      <c r="AG13" s="66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71" t="s">
        <v>335</v>
      </c>
      <c r="BE13" s="71" t="s">
        <v>336</v>
      </c>
      <c r="BF13" s="71" t="s">
        <v>337</v>
      </c>
      <c r="BG13" s="71" t="s">
        <v>338</v>
      </c>
      <c r="BH13" s="71" t="s">
        <v>339</v>
      </c>
      <c r="BI13" s="71" t="s">
        <v>340</v>
      </c>
      <c r="BJ13" s="71" t="s">
        <v>341</v>
      </c>
      <c r="BK13" s="71" t="s">
        <v>342</v>
      </c>
      <c r="BL13" s="71" t="s">
        <v>502</v>
      </c>
      <c r="BM13" s="71" t="s">
        <v>456</v>
      </c>
      <c r="BN13" s="71" t="s">
        <v>344</v>
      </c>
      <c r="BO13" s="71" t="s">
        <v>345</v>
      </c>
      <c r="BP13" s="71" t="s">
        <v>346</v>
      </c>
      <c r="BQ13" s="71" t="s">
        <v>457</v>
      </c>
      <c r="BR13" s="71"/>
      <c r="BS13" s="71"/>
      <c r="BT13" s="71"/>
      <c r="BU13" s="71"/>
      <c r="BV13" s="71"/>
      <c r="BW13" s="71"/>
      <c r="BX13" s="71"/>
      <c r="BY13" s="71"/>
      <c r="BZ13" s="71"/>
      <c r="CA13" s="71"/>
      <c r="CB13" s="71"/>
      <c r="CC13" s="71"/>
      <c r="CD13" s="71"/>
      <c r="CE13" s="71"/>
      <c r="CF13" s="71"/>
      <c r="CG13" s="71"/>
      <c r="CH13" s="71"/>
      <c r="CI13" s="71"/>
      <c r="CJ13" s="71"/>
      <c r="CK13" s="71"/>
      <c r="CL13" s="71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4">
        <f t="shared" si="2"/>
        <v>11</v>
      </c>
      <c r="DD13">
        <v>50</v>
      </c>
      <c r="DE13">
        <v>150</v>
      </c>
      <c r="DF13">
        <v>120</v>
      </c>
      <c r="DG13">
        <v>110</v>
      </c>
      <c r="DH13">
        <v>105</v>
      </c>
      <c r="DI13">
        <v>104</v>
      </c>
      <c r="EH13">
        <f t="shared" si="6"/>
        <v>100</v>
      </c>
      <c r="EI13">
        <f t="shared" si="7"/>
        <v>70</v>
      </c>
      <c r="EJ13">
        <f t="shared" si="8"/>
        <v>142.85714285714286</v>
      </c>
      <c r="EK13">
        <f t="shared" si="9"/>
        <v>60</v>
      </c>
      <c r="EL13">
        <f t="shared" si="10"/>
        <v>10</v>
      </c>
      <c r="EM13">
        <f t="shared" si="11"/>
        <v>14.285714285714285</v>
      </c>
      <c r="EN13">
        <f>DH13-DD13</f>
        <v>55</v>
      </c>
      <c r="EO13">
        <f t="shared" ref="EO13:EO15" si="12">EK13-EN13</f>
        <v>5</v>
      </c>
      <c r="EP13">
        <f t="shared" ref="EP13:EP15" si="13">(EO13/EK13*100) * 1.3636</f>
        <v>11.363333333333332</v>
      </c>
      <c r="EQ13">
        <f t="shared" ref="EQ13:EQ15" si="14">(EO13/EN13*100) * 1.3636</f>
        <v>12.396363636363636</v>
      </c>
      <c r="ER13">
        <f>DI13-DD13</f>
        <v>54</v>
      </c>
      <c r="ES13">
        <f>EN13-ER13</f>
        <v>1</v>
      </c>
      <c r="ET13" s="76">
        <f>ES13/EN13*100</f>
        <v>1.8181818181818181</v>
      </c>
      <c r="EU13" s="77">
        <f>ES13/ER13*100</f>
        <v>1.8518518518518516</v>
      </c>
    </row>
    <row r="14" spans="1:187" ht="15.6" thickTop="1" thickBot="1" x14ac:dyDescent="0.35">
      <c r="A14" s="62">
        <f t="shared" si="3"/>
        <v>12</v>
      </c>
      <c r="B14" s="97" t="s">
        <v>99</v>
      </c>
      <c r="C14" s="62" t="str">
        <f t="shared" si="0"/>
        <v>12: soil moisture \ organic@550\ CaCO3@950 (empty &gt; wet &gt; dry &gt; LOI &gt; CO3)</v>
      </c>
      <c r="D14" s="63">
        <f t="shared" si="4"/>
        <v>5</v>
      </c>
      <c r="E14" s="62">
        <v>1</v>
      </c>
      <c r="F14" s="62">
        <v>2</v>
      </c>
      <c r="G14" s="62">
        <v>3</v>
      </c>
      <c r="H14" s="62">
        <v>4</v>
      </c>
      <c r="I14" s="62">
        <v>5</v>
      </c>
      <c r="J14" s="62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4">
        <f>COUNTA(Z14:BC14)</f>
        <v>5</v>
      </c>
      <c r="Z14" s="66" t="s">
        <v>131</v>
      </c>
      <c r="AA14" s="66" t="s">
        <v>132</v>
      </c>
      <c r="AB14" s="66" t="s">
        <v>134</v>
      </c>
      <c r="AC14" s="66" t="s">
        <v>136</v>
      </c>
      <c r="AD14" s="66" t="s">
        <v>137</v>
      </c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71" t="s">
        <v>335</v>
      </c>
      <c r="BE14" s="71" t="s">
        <v>336</v>
      </c>
      <c r="BF14" s="71" t="s">
        <v>337</v>
      </c>
      <c r="BG14" s="71" t="s">
        <v>338</v>
      </c>
      <c r="BH14" s="71" t="s">
        <v>339</v>
      </c>
      <c r="BI14" s="71" t="s">
        <v>340</v>
      </c>
      <c r="BJ14" s="71" t="s">
        <v>341</v>
      </c>
      <c r="BK14" s="71" t="s">
        <v>342</v>
      </c>
      <c r="BL14" s="71" t="s">
        <v>502</v>
      </c>
      <c r="BM14" s="71" t="s">
        <v>456</v>
      </c>
      <c r="BN14" s="71"/>
      <c r="BO14" s="71"/>
      <c r="BP14" s="71"/>
      <c r="BQ14" s="71"/>
      <c r="BR14" s="71"/>
      <c r="BS14" s="71"/>
      <c r="BT14" s="71"/>
      <c r="BU14" s="71"/>
      <c r="BV14" s="71"/>
      <c r="BW14" s="71"/>
      <c r="BX14" s="71"/>
      <c r="BY14" s="71"/>
      <c r="BZ14" s="71"/>
      <c r="CA14" s="71"/>
      <c r="CB14" s="71"/>
      <c r="CC14" s="71"/>
      <c r="CD14" s="71"/>
      <c r="CE14" s="71"/>
      <c r="CF14" s="71"/>
      <c r="CG14" s="71"/>
      <c r="CH14" s="71"/>
      <c r="CI14" s="71"/>
      <c r="CJ14" s="71"/>
      <c r="CK14" s="71"/>
      <c r="CL14" s="71"/>
      <c r="CM14" s="71"/>
      <c r="CN14" s="71"/>
      <c r="CO14" s="71"/>
      <c r="CP14" s="71"/>
      <c r="CQ14" s="71"/>
      <c r="CR14" s="71"/>
      <c r="CS14" s="71"/>
      <c r="CT14" s="71"/>
      <c r="CU14" s="71"/>
      <c r="CV14" s="71"/>
      <c r="CW14" s="71"/>
      <c r="CX14" s="71"/>
      <c r="CY14" s="71"/>
      <c r="CZ14" s="71"/>
      <c r="DA14" s="71"/>
      <c r="DB14" s="71"/>
      <c r="DC14" s="74">
        <f t="shared" si="2"/>
        <v>12</v>
      </c>
      <c r="DD14">
        <v>50</v>
      </c>
      <c r="DE14">
        <v>150</v>
      </c>
      <c r="DF14">
        <v>120</v>
      </c>
      <c r="DG14">
        <v>110</v>
      </c>
      <c r="DH14">
        <v>105</v>
      </c>
      <c r="EH14">
        <f t="shared" si="6"/>
        <v>100</v>
      </c>
      <c r="EI14">
        <f t="shared" si="7"/>
        <v>70</v>
      </c>
      <c r="EJ14">
        <f t="shared" si="8"/>
        <v>142.85714285714286</v>
      </c>
      <c r="EK14">
        <f t="shared" si="9"/>
        <v>60</v>
      </c>
      <c r="EL14">
        <f t="shared" si="10"/>
        <v>10</v>
      </c>
      <c r="EM14">
        <f t="shared" si="11"/>
        <v>14.285714285714285</v>
      </c>
      <c r="EN14">
        <f>DH14-DD14</f>
        <v>55</v>
      </c>
      <c r="EO14">
        <f t="shared" si="12"/>
        <v>5</v>
      </c>
      <c r="EP14">
        <f t="shared" si="13"/>
        <v>11.363333333333332</v>
      </c>
      <c r="EQ14">
        <f t="shared" si="14"/>
        <v>12.396363636363636</v>
      </c>
    </row>
    <row r="15" spans="1:187" ht="15.6" thickTop="1" thickBot="1" x14ac:dyDescent="0.35">
      <c r="A15" s="62">
        <f t="shared" si="3"/>
        <v>13</v>
      </c>
      <c r="B15" s="97" t="s">
        <v>100</v>
      </c>
      <c r="C15" s="62" t="str">
        <f t="shared" si="0"/>
        <v>13: soil moist \ organic@550 \ CaCO3@950 \ ? (empty &gt; wet &gt; dry &gt; LOI &gt; CO3 &gt; brn3)</v>
      </c>
      <c r="D15" s="63">
        <f t="shared" si="4"/>
        <v>6</v>
      </c>
      <c r="E15" s="62">
        <v>1</v>
      </c>
      <c r="F15" s="62">
        <v>2</v>
      </c>
      <c r="G15" s="62">
        <v>3</v>
      </c>
      <c r="H15" s="62">
        <v>4</v>
      </c>
      <c r="I15" s="62">
        <v>5</v>
      </c>
      <c r="J15" s="62">
        <v>6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4">
        <f>COUNTA(Z15:BC15)</f>
        <v>6</v>
      </c>
      <c r="Z15" s="66" t="s">
        <v>131</v>
      </c>
      <c r="AA15" s="66" t="s">
        <v>132</v>
      </c>
      <c r="AB15" s="66" t="s">
        <v>134</v>
      </c>
      <c r="AC15" s="66" t="s">
        <v>136</v>
      </c>
      <c r="AD15" s="66" t="s">
        <v>137</v>
      </c>
      <c r="AE15" s="66" t="s">
        <v>202</v>
      </c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71" t="s">
        <v>335</v>
      </c>
      <c r="BE15" s="71" t="s">
        <v>336</v>
      </c>
      <c r="BF15" s="71" t="s">
        <v>337</v>
      </c>
      <c r="BG15" s="71" t="s">
        <v>338</v>
      </c>
      <c r="BH15" s="71" t="s">
        <v>339</v>
      </c>
      <c r="BI15" s="71" t="s">
        <v>340</v>
      </c>
      <c r="BJ15" s="71" t="s">
        <v>341</v>
      </c>
      <c r="BK15" s="71" t="s">
        <v>342</v>
      </c>
      <c r="BL15" s="71" t="s">
        <v>502</v>
      </c>
      <c r="BM15" s="71" t="s">
        <v>456</v>
      </c>
      <c r="BN15" s="71" t="s">
        <v>344</v>
      </c>
      <c r="BO15" s="71" t="s">
        <v>345</v>
      </c>
      <c r="BP15" s="71" t="s">
        <v>346</v>
      </c>
      <c r="BQ15" s="71" t="s">
        <v>457</v>
      </c>
      <c r="BR15" s="71"/>
      <c r="BS15" s="71"/>
      <c r="BT15" s="71"/>
      <c r="BU15" s="71"/>
      <c r="BV15" s="71"/>
      <c r="BW15" s="71"/>
      <c r="BX15" s="71"/>
      <c r="BY15" s="71"/>
      <c r="BZ15" s="71"/>
      <c r="CA15" s="71"/>
      <c r="CB15" s="71"/>
      <c r="CC15" s="71"/>
      <c r="CD15" s="71"/>
      <c r="CE15" s="71"/>
      <c r="CF15" s="71"/>
      <c r="CG15" s="71"/>
      <c r="CH15" s="71"/>
      <c r="CI15" s="71"/>
      <c r="CJ15" s="71"/>
      <c r="CK15" s="71"/>
      <c r="CL15" s="71"/>
      <c r="CM15" s="71"/>
      <c r="CN15" s="71"/>
      <c r="CO15" s="71"/>
      <c r="CP15" s="71"/>
      <c r="CQ15" s="71"/>
      <c r="CR15" s="71"/>
      <c r="CS15" s="71"/>
      <c r="CT15" s="71"/>
      <c r="CU15" s="71"/>
      <c r="CV15" s="71"/>
      <c r="CW15" s="71"/>
      <c r="CX15" s="71"/>
      <c r="CY15" s="71"/>
      <c r="CZ15" s="71"/>
      <c r="DA15" s="71"/>
      <c r="DB15" s="71"/>
      <c r="DC15" s="74">
        <f t="shared" si="2"/>
        <v>13</v>
      </c>
      <c r="DD15">
        <v>50</v>
      </c>
      <c r="DE15">
        <v>150</v>
      </c>
      <c r="DF15">
        <v>120</v>
      </c>
      <c r="DG15">
        <v>110</v>
      </c>
      <c r="DH15">
        <v>105</v>
      </c>
      <c r="DI15">
        <v>104</v>
      </c>
      <c r="EH15">
        <f t="shared" si="6"/>
        <v>100</v>
      </c>
      <c r="EI15">
        <f t="shared" si="7"/>
        <v>70</v>
      </c>
      <c r="EJ15">
        <f t="shared" si="8"/>
        <v>142.85714285714286</v>
      </c>
      <c r="EK15">
        <f t="shared" si="9"/>
        <v>60</v>
      </c>
      <c r="EL15">
        <f t="shared" si="10"/>
        <v>10</v>
      </c>
      <c r="EM15">
        <f t="shared" si="11"/>
        <v>14.285714285714285</v>
      </c>
      <c r="EN15">
        <f>DH15-DD15</f>
        <v>55</v>
      </c>
      <c r="EO15">
        <f t="shared" si="12"/>
        <v>5</v>
      </c>
      <c r="EP15">
        <f t="shared" si="13"/>
        <v>11.363333333333332</v>
      </c>
      <c r="EQ15">
        <f t="shared" si="14"/>
        <v>12.396363636363636</v>
      </c>
      <c r="ER15">
        <f>DI15-DD15</f>
        <v>54</v>
      </c>
      <c r="ES15">
        <f>EN15-ER15</f>
        <v>1</v>
      </c>
      <c r="ET15">
        <f>ES15/EN15*100</f>
        <v>1.8181818181818181</v>
      </c>
      <c r="EU15">
        <f>ES15/ER15*100</f>
        <v>1.8518518518518516</v>
      </c>
    </row>
    <row r="16" spans="1:187" ht="15.6" thickTop="1" thickBot="1" x14ac:dyDescent="0.35">
      <c r="A16" s="62">
        <f t="shared" si="3"/>
        <v>14</v>
      </c>
      <c r="B16" s="98" t="s">
        <v>283</v>
      </c>
      <c r="C16" s="62" t="str">
        <f t="shared" si="0"/>
        <v>14: organic matter    (empty » full &gt; burnt)</v>
      </c>
      <c r="D16" s="63">
        <f t="shared" si="4"/>
        <v>2</v>
      </c>
      <c r="E16" s="62">
        <v>1</v>
      </c>
      <c r="F16" s="62">
        <v>3</v>
      </c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4">
        <f t="shared" si="5"/>
        <v>3</v>
      </c>
      <c r="Z16" s="66" t="s">
        <v>131</v>
      </c>
      <c r="AA16" s="66" t="s">
        <v>133</v>
      </c>
      <c r="AB16" s="66" t="s">
        <v>139</v>
      </c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71" t="s">
        <v>336</v>
      </c>
      <c r="BE16" s="75" t="s">
        <v>339</v>
      </c>
      <c r="BF16" s="71" t="s">
        <v>340</v>
      </c>
      <c r="BG16" s="71"/>
      <c r="BH16" s="71"/>
      <c r="BI16" s="71"/>
      <c r="BJ16" s="71"/>
      <c r="BK16" s="71"/>
      <c r="BL16" s="71"/>
      <c r="BM16" s="71"/>
      <c r="BN16" s="71"/>
      <c r="BO16" s="71"/>
      <c r="BP16" s="71"/>
      <c r="BQ16" s="71"/>
      <c r="BR16" s="71"/>
      <c r="BS16" s="71"/>
      <c r="BT16" s="71"/>
      <c r="BU16" s="71"/>
      <c r="BV16" s="71"/>
      <c r="BW16" s="71"/>
      <c r="BX16" s="71"/>
      <c r="BY16" s="71"/>
      <c r="BZ16" s="71"/>
      <c r="CA16" s="71"/>
      <c r="CB16" s="71"/>
      <c r="CC16" s="71"/>
      <c r="CD16" s="71"/>
      <c r="CE16" s="71"/>
      <c r="CF16" s="71"/>
      <c r="CG16" s="71"/>
      <c r="CH16" s="71"/>
      <c r="CI16" s="71"/>
      <c r="CJ16" s="71"/>
      <c r="CK16" s="71"/>
      <c r="CL16" s="71"/>
      <c r="CM16" s="71"/>
      <c r="CN16" s="71"/>
      <c r="CO16" s="71"/>
      <c r="CP16" s="71"/>
      <c r="CQ16" s="71"/>
      <c r="CR16" s="71"/>
      <c r="CS16" s="71"/>
      <c r="CT16" s="71"/>
      <c r="CU16" s="71"/>
      <c r="CV16" s="71"/>
      <c r="CW16" s="71"/>
      <c r="CX16" s="71"/>
      <c r="CY16" s="71"/>
      <c r="CZ16" s="71"/>
      <c r="DA16" s="71"/>
      <c r="DB16" s="71"/>
      <c r="DC16" s="74">
        <f t="shared" si="2"/>
        <v>14</v>
      </c>
      <c r="DD16">
        <v>10</v>
      </c>
      <c r="DE16">
        <v>20</v>
      </c>
      <c r="DF16">
        <v>15</v>
      </c>
      <c r="EH16">
        <f t="shared" si="6"/>
        <v>10</v>
      </c>
      <c r="EI16">
        <f t="shared" ref="EI16:EI25" si="15">DE16-DF16</f>
        <v>5</v>
      </c>
      <c r="EJ16">
        <f>EI16/EH16*100</f>
        <v>50</v>
      </c>
    </row>
    <row r="17" spans="1:190" ht="15.6" thickTop="1" thickBot="1" x14ac:dyDescent="0.35">
      <c r="A17" s="62">
        <f t="shared" si="3"/>
        <v>15</v>
      </c>
      <c r="B17" s="98" t="s">
        <v>101</v>
      </c>
      <c r="C17" s="62" t="str">
        <f t="shared" si="0"/>
        <v xml:space="preserve">15: organic matter    (empty &gt; full &gt; burnt) </v>
      </c>
      <c r="D17" s="63">
        <f t="shared" si="4"/>
        <v>3</v>
      </c>
      <c r="E17" s="62">
        <v>1</v>
      </c>
      <c r="F17" s="62">
        <v>2</v>
      </c>
      <c r="G17" s="62">
        <v>3</v>
      </c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4">
        <f>COUNTA(Z17:BC17)</f>
        <v>3</v>
      </c>
      <c r="Z17" s="66" t="s">
        <v>131</v>
      </c>
      <c r="AA17" s="66" t="s">
        <v>133</v>
      </c>
      <c r="AB17" s="66" t="s">
        <v>136</v>
      </c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71" t="s">
        <v>336</v>
      </c>
      <c r="BE17" s="75" t="s">
        <v>339</v>
      </c>
      <c r="BF17" s="71" t="s">
        <v>340</v>
      </c>
      <c r="BG17" s="71"/>
      <c r="BH17" s="71"/>
      <c r="BI17" s="71"/>
      <c r="BJ17" s="71"/>
      <c r="BK17" s="71"/>
      <c r="BL17" s="71"/>
      <c r="BM17" s="71"/>
      <c r="BN17" s="71"/>
      <c r="BO17" s="71"/>
      <c r="BP17" s="71"/>
      <c r="BQ17" s="71"/>
      <c r="BR17" s="71"/>
      <c r="BS17" s="71"/>
      <c r="BT17" s="71"/>
      <c r="BU17" s="71"/>
      <c r="BV17" s="71"/>
      <c r="BW17" s="71"/>
      <c r="BX17" s="71"/>
      <c r="BY17" s="71"/>
      <c r="BZ17" s="71"/>
      <c r="CA17" s="71"/>
      <c r="CB17" s="71"/>
      <c r="CC17" s="71"/>
      <c r="CD17" s="71"/>
      <c r="CE17" s="71"/>
      <c r="CF17" s="71"/>
      <c r="CG17" s="71"/>
      <c r="CH17" s="71"/>
      <c r="CI17" s="71"/>
      <c r="CJ17" s="71"/>
      <c r="CK17" s="71"/>
      <c r="CL17" s="71"/>
      <c r="CM17" s="71"/>
      <c r="CN17" s="71"/>
      <c r="CO17" s="71"/>
      <c r="CP17" s="71"/>
      <c r="CQ17" s="71"/>
      <c r="CR17" s="71"/>
      <c r="CS17" s="71"/>
      <c r="CT17" s="71"/>
      <c r="CU17" s="71"/>
      <c r="CV17" s="71"/>
      <c r="CW17" s="71"/>
      <c r="CX17" s="71"/>
      <c r="CY17" s="71"/>
      <c r="CZ17" s="71"/>
      <c r="DA17" s="71"/>
      <c r="DB17" s="71"/>
      <c r="DC17" s="74">
        <f t="shared" si="2"/>
        <v>15</v>
      </c>
      <c r="DD17">
        <v>10</v>
      </c>
      <c r="DE17">
        <v>20</v>
      </c>
      <c r="DF17">
        <v>15</v>
      </c>
      <c r="EH17">
        <f t="shared" si="6"/>
        <v>10</v>
      </c>
      <c r="EI17">
        <f t="shared" si="15"/>
        <v>5</v>
      </c>
      <c r="EJ17">
        <f t="shared" ref="EJ17:EJ21" si="16">EI17/EH17*100</f>
        <v>50</v>
      </c>
    </row>
    <row r="18" spans="1:190" ht="15.6" thickTop="1" thickBot="1" x14ac:dyDescent="0.35">
      <c r="A18" s="62">
        <f t="shared" si="3"/>
        <v>16</v>
      </c>
      <c r="B18" s="98" t="s">
        <v>276</v>
      </c>
      <c r="C18" s="62" t="str">
        <f t="shared" si="0"/>
        <v>16: Organic \ CaCO3 (empty» full &gt; OM burn &gt; CaCO3)</v>
      </c>
      <c r="D18" s="63">
        <f t="shared" si="4"/>
        <v>3</v>
      </c>
      <c r="E18" s="62">
        <v>1</v>
      </c>
      <c r="F18" s="62">
        <v>3</v>
      </c>
      <c r="G18" s="62">
        <v>4</v>
      </c>
      <c r="H18" s="62"/>
      <c r="I18" s="62"/>
      <c r="J18" s="62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4">
        <f t="shared" si="5"/>
        <v>4</v>
      </c>
      <c r="Z18" s="66" t="s">
        <v>131</v>
      </c>
      <c r="AA18" s="66" t="s">
        <v>140</v>
      </c>
      <c r="AB18" s="66" t="s">
        <v>136</v>
      </c>
      <c r="AC18" s="66" t="s">
        <v>137</v>
      </c>
      <c r="AD18" s="66"/>
      <c r="AE18" s="66"/>
      <c r="AF18" s="66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71" t="s">
        <v>336</v>
      </c>
      <c r="BE18" s="75" t="s">
        <v>339</v>
      </c>
      <c r="BF18" s="71" t="s">
        <v>340</v>
      </c>
      <c r="BG18" s="71" t="s">
        <v>458</v>
      </c>
      <c r="BH18" s="71" t="s">
        <v>342</v>
      </c>
      <c r="BI18" s="71" t="s">
        <v>343</v>
      </c>
      <c r="BJ18" s="71" t="s">
        <v>456</v>
      </c>
      <c r="BK18" s="71"/>
      <c r="BL18" s="71"/>
      <c r="BM18" s="71"/>
      <c r="BN18" s="71"/>
      <c r="BO18" s="71"/>
      <c r="BP18" s="71"/>
      <c r="BQ18" s="71"/>
      <c r="BR18" s="71"/>
      <c r="BS18" s="71"/>
      <c r="BT18" s="71"/>
      <c r="BU18" s="71"/>
      <c r="BV18" s="71"/>
      <c r="BW18" s="71"/>
      <c r="BX18" s="71"/>
      <c r="BY18" s="71"/>
      <c r="BZ18" s="71"/>
      <c r="CA18" s="71"/>
      <c r="CB18" s="71"/>
      <c r="CC18" s="71"/>
      <c r="CD18" s="71"/>
      <c r="CE18" s="71"/>
      <c r="CF18" s="71"/>
      <c r="CG18" s="71"/>
      <c r="CH18" s="71"/>
      <c r="CI18" s="71"/>
      <c r="CJ18" s="71"/>
      <c r="CK18" s="71"/>
      <c r="CL18" s="71"/>
      <c r="CM18" s="71"/>
      <c r="CN18" s="71"/>
      <c r="CO18" s="71"/>
      <c r="CP18" s="71"/>
      <c r="CQ18" s="71"/>
      <c r="CR18" s="71"/>
      <c r="CS18" s="71"/>
      <c r="CT18" s="71"/>
      <c r="CU18" s="71"/>
      <c r="CV18" s="71"/>
      <c r="CW18" s="71"/>
      <c r="CX18" s="71"/>
      <c r="CY18" s="71"/>
      <c r="CZ18" s="71"/>
      <c r="DA18" s="71"/>
      <c r="DB18" s="71"/>
      <c r="DC18" s="74">
        <f t="shared" si="2"/>
        <v>16</v>
      </c>
      <c r="DD18">
        <v>10</v>
      </c>
      <c r="DE18">
        <v>20</v>
      </c>
      <c r="DF18">
        <v>15</v>
      </c>
      <c r="DG18">
        <v>14</v>
      </c>
      <c r="EH18">
        <f t="shared" si="6"/>
        <v>10</v>
      </c>
      <c r="EI18">
        <f t="shared" si="15"/>
        <v>5</v>
      </c>
      <c r="EJ18">
        <f t="shared" si="16"/>
        <v>50</v>
      </c>
      <c r="EK18">
        <f>DG18-DD18</f>
        <v>4</v>
      </c>
      <c r="EL18">
        <f>DF18-DG18</f>
        <v>1</v>
      </c>
      <c r="EM18">
        <f>(EL18/EH18*100) * 1.3636</f>
        <v>13.635999999999999</v>
      </c>
      <c r="EN18">
        <f>(EL18/EK18*100) * 1.3636</f>
        <v>34.089999999999996</v>
      </c>
    </row>
    <row r="19" spans="1:190" ht="15.6" thickTop="1" thickBot="1" x14ac:dyDescent="0.35">
      <c r="A19" s="62">
        <f t="shared" si="3"/>
        <v>17</v>
      </c>
      <c r="B19" s="98" t="s">
        <v>277</v>
      </c>
      <c r="C19" s="62" t="str">
        <f t="shared" si="0"/>
        <v>17: Organic \ CaCO3 \ 3rd burn @  (empty» full &gt; OM burn &gt; CaCO3[1] &gt; burn 3)</v>
      </c>
      <c r="D19" s="63">
        <f t="shared" si="4"/>
        <v>4</v>
      </c>
      <c r="E19" s="62">
        <v>1</v>
      </c>
      <c r="F19" s="62">
        <v>3</v>
      </c>
      <c r="G19" s="62">
        <v>4</v>
      </c>
      <c r="H19" s="62">
        <v>5</v>
      </c>
      <c r="I19" s="62"/>
      <c r="J19" s="62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4">
        <f t="shared" si="5"/>
        <v>5</v>
      </c>
      <c r="Z19" s="66" t="s">
        <v>131</v>
      </c>
      <c r="AA19" s="66" t="s">
        <v>140</v>
      </c>
      <c r="AB19" s="66" t="s">
        <v>136</v>
      </c>
      <c r="AC19" s="66" t="s">
        <v>137</v>
      </c>
      <c r="AD19" s="66" t="s">
        <v>141</v>
      </c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71" t="s">
        <v>336</v>
      </c>
      <c r="BE19" s="75" t="s">
        <v>339</v>
      </c>
      <c r="BF19" s="71" t="s">
        <v>340</v>
      </c>
      <c r="BG19" s="71" t="s">
        <v>458</v>
      </c>
      <c r="BH19" s="71" t="s">
        <v>342</v>
      </c>
      <c r="BI19" s="71" t="s">
        <v>343</v>
      </c>
      <c r="BJ19" s="71" t="s">
        <v>456</v>
      </c>
      <c r="BK19" s="71" t="s">
        <v>344</v>
      </c>
      <c r="BL19" s="71" t="s">
        <v>345</v>
      </c>
      <c r="BM19" s="71" t="s">
        <v>346</v>
      </c>
      <c r="BN19" s="71" t="s">
        <v>457</v>
      </c>
      <c r="BO19" s="71"/>
      <c r="BP19" s="71"/>
      <c r="BQ19" s="71"/>
      <c r="BR19" s="71"/>
      <c r="BS19" s="71"/>
      <c r="BT19" s="71"/>
      <c r="BU19" s="71"/>
      <c r="BV19" s="71"/>
      <c r="BW19" s="71"/>
      <c r="BX19" s="71"/>
      <c r="BY19" s="71"/>
      <c r="BZ19" s="71"/>
      <c r="CA19" s="71"/>
      <c r="CB19" s="71"/>
      <c r="CC19" s="71"/>
      <c r="CD19" s="71"/>
      <c r="CE19" s="71"/>
      <c r="CF19" s="71"/>
      <c r="CG19" s="71"/>
      <c r="CH19" s="71"/>
      <c r="CI19" s="71"/>
      <c r="CJ19" s="71"/>
      <c r="CK19" s="71"/>
      <c r="CL19" s="71"/>
      <c r="CM19" s="71"/>
      <c r="CN19" s="71"/>
      <c r="CO19" s="71"/>
      <c r="CP19" s="71"/>
      <c r="CQ19" s="71"/>
      <c r="CR19" s="71"/>
      <c r="CS19" s="71"/>
      <c r="CT19" s="71"/>
      <c r="CU19" s="71"/>
      <c r="CV19" s="71"/>
      <c r="CW19" s="71"/>
      <c r="CX19" s="71"/>
      <c r="CY19" s="71"/>
      <c r="CZ19" s="71"/>
      <c r="DA19" s="71"/>
      <c r="DB19" s="71"/>
      <c r="DC19" s="74">
        <f t="shared" si="2"/>
        <v>17</v>
      </c>
      <c r="DD19">
        <v>10</v>
      </c>
      <c r="DE19">
        <v>20</v>
      </c>
      <c r="DF19">
        <v>15</v>
      </c>
      <c r="DG19">
        <v>14</v>
      </c>
      <c r="DH19">
        <v>13</v>
      </c>
      <c r="EH19">
        <f t="shared" si="6"/>
        <v>10</v>
      </c>
      <c r="EI19">
        <f t="shared" si="15"/>
        <v>5</v>
      </c>
      <c r="EJ19">
        <f t="shared" si="16"/>
        <v>50</v>
      </c>
      <c r="EK19">
        <f>DG19-DD19</f>
        <v>4</v>
      </c>
      <c r="EL19">
        <f t="shared" ref="EL19:EL21" si="17">DF19-DG19</f>
        <v>1</v>
      </c>
      <c r="EM19">
        <f t="shared" ref="EM19:EM21" si="18">(EL19/EH19*100) * 1.3636</f>
        <v>13.635999999999999</v>
      </c>
      <c r="EN19">
        <f t="shared" ref="EN19:EN21" si="19">(EL19/EK19*100) * 1.3636</f>
        <v>34.089999999999996</v>
      </c>
      <c r="EO19">
        <f>DH19-DD19</f>
        <v>3</v>
      </c>
      <c r="EP19">
        <f>DG19-DH19</f>
        <v>1</v>
      </c>
      <c r="EQ19">
        <f>EP19/EH19*100</f>
        <v>10</v>
      </c>
      <c r="ER19">
        <f>EP19/EO19*100</f>
        <v>33.333333333333329</v>
      </c>
    </row>
    <row r="20" spans="1:190" ht="15.6" thickTop="1" thickBot="1" x14ac:dyDescent="0.35">
      <c r="A20" s="62">
        <f t="shared" si="3"/>
        <v>18</v>
      </c>
      <c r="B20" s="98" t="s">
        <v>104</v>
      </c>
      <c r="C20" s="62" t="str">
        <f t="shared" si="0"/>
        <v xml:space="preserve">18: Organic \ CaCO3 (empty &gt; full &gt; OM burn &gt; CO3)  </v>
      </c>
      <c r="D20" s="63">
        <f t="shared" si="4"/>
        <v>4</v>
      </c>
      <c r="E20" s="62">
        <v>1</v>
      </c>
      <c r="F20" s="62">
        <v>2</v>
      </c>
      <c r="G20" s="62">
        <v>3</v>
      </c>
      <c r="H20" s="62">
        <v>4</v>
      </c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4">
        <f t="shared" ref="Y20:Y44" si="20">COUNTA(Z20:BC20)</f>
        <v>4</v>
      </c>
      <c r="Z20" s="66" t="s">
        <v>131</v>
      </c>
      <c r="AA20" s="66" t="s">
        <v>140</v>
      </c>
      <c r="AB20" s="66" t="s">
        <v>136</v>
      </c>
      <c r="AC20" s="66" t="s">
        <v>137</v>
      </c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71" t="s">
        <v>336</v>
      </c>
      <c r="BE20" s="75" t="s">
        <v>339</v>
      </c>
      <c r="BF20" s="71" t="s">
        <v>340</v>
      </c>
      <c r="BG20" s="71" t="s">
        <v>458</v>
      </c>
      <c r="BH20" s="71" t="s">
        <v>342</v>
      </c>
      <c r="BI20" s="71" t="s">
        <v>343</v>
      </c>
      <c r="BJ20" s="71" t="s">
        <v>456</v>
      </c>
      <c r="BK20" s="71"/>
      <c r="BL20" s="71"/>
      <c r="BM20" s="71"/>
      <c r="BN20" s="71"/>
      <c r="BO20" s="71"/>
      <c r="BP20" s="71"/>
      <c r="BQ20" s="71"/>
      <c r="BR20" s="71"/>
      <c r="BS20" s="71"/>
      <c r="BT20" s="71"/>
      <c r="BU20" s="71"/>
      <c r="BV20" s="71"/>
      <c r="BW20" s="71"/>
      <c r="BX20" s="71"/>
      <c r="BY20" s="71"/>
      <c r="BZ20" s="71"/>
      <c r="CA20" s="71"/>
      <c r="CB20" s="71"/>
      <c r="CC20" s="71"/>
      <c r="CD20" s="71"/>
      <c r="CE20" s="71"/>
      <c r="CF20" s="71"/>
      <c r="CG20" s="71"/>
      <c r="CH20" s="71"/>
      <c r="CI20" s="71"/>
      <c r="CJ20" s="71"/>
      <c r="CK20" s="71"/>
      <c r="CL20" s="71"/>
      <c r="CM20" s="71"/>
      <c r="CN20" s="71"/>
      <c r="CO20" s="71"/>
      <c r="CP20" s="71"/>
      <c r="CQ20" s="71"/>
      <c r="CR20" s="71"/>
      <c r="CS20" s="71"/>
      <c r="CT20" s="71"/>
      <c r="CU20" s="71"/>
      <c r="CV20" s="71"/>
      <c r="CW20" s="71"/>
      <c r="CX20" s="71"/>
      <c r="CY20" s="71"/>
      <c r="CZ20" s="71"/>
      <c r="DA20" s="71"/>
      <c r="DB20" s="71"/>
      <c r="DC20" s="74">
        <f t="shared" si="2"/>
        <v>18</v>
      </c>
      <c r="DD20">
        <v>10</v>
      </c>
      <c r="DE20">
        <v>20</v>
      </c>
      <c r="DF20">
        <v>15</v>
      </c>
      <c r="DG20">
        <v>14</v>
      </c>
      <c r="EH20">
        <f t="shared" si="6"/>
        <v>10</v>
      </c>
      <c r="EI20">
        <f t="shared" si="15"/>
        <v>5</v>
      </c>
      <c r="EJ20">
        <f t="shared" si="16"/>
        <v>50</v>
      </c>
      <c r="EK20">
        <f>DG20-DD20</f>
        <v>4</v>
      </c>
      <c r="EL20">
        <f t="shared" si="17"/>
        <v>1</v>
      </c>
      <c r="EM20">
        <f t="shared" si="18"/>
        <v>13.635999999999999</v>
      </c>
      <c r="EN20">
        <f t="shared" si="19"/>
        <v>34.089999999999996</v>
      </c>
    </row>
    <row r="21" spans="1:190" ht="15.6" thickTop="1" thickBot="1" x14ac:dyDescent="0.35">
      <c r="A21" s="62">
        <f t="shared" si="3"/>
        <v>19</v>
      </c>
      <c r="B21" s="98" t="s">
        <v>105</v>
      </c>
      <c r="C21" s="62" t="str">
        <f t="shared" si="0"/>
        <v>19: Organic \ CaCO3 \ 3rd burn @ ? (empty &gt; full &gt; OM &gt; CO3 &gt; 3rd burn)</v>
      </c>
      <c r="D21" s="63">
        <f t="shared" si="4"/>
        <v>5</v>
      </c>
      <c r="E21" s="62">
        <v>1</v>
      </c>
      <c r="F21" s="62">
        <v>2</v>
      </c>
      <c r="G21" s="62">
        <v>3</v>
      </c>
      <c r="H21" s="62">
        <v>4</v>
      </c>
      <c r="I21" s="62">
        <v>5</v>
      </c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4">
        <f t="shared" si="20"/>
        <v>5</v>
      </c>
      <c r="Z21" s="66" t="s">
        <v>131</v>
      </c>
      <c r="AA21" s="66" t="s">
        <v>140</v>
      </c>
      <c r="AB21" s="66" t="s">
        <v>136</v>
      </c>
      <c r="AC21" s="66" t="s">
        <v>137</v>
      </c>
      <c r="AD21" s="66" t="s">
        <v>138</v>
      </c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71" t="s">
        <v>336</v>
      </c>
      <c r="BE21" s="75" t="s">
        <v>339</v>
      </c>
      <c r="BF21" s="71" t="s">
        <v>340</v>
      </c>
      <c r="BG21" s="71" t="s">
        <v>458</v>
      </c>
      <c r="BH21" s="71" t="s">
        <v>342</v>
      </c>
      <c r="BI21" s="71" t="s">
        <v>343</v>
      </c>
      <c r="BJ21" s="71" t="s">
        <v>456</v>
      </c>
      <c r="BK21" s="71" t="s">
        <v>344</v>
      </c>
      <c r="BL21" s="71" t="s">
        <v>345</v>
      </c>
      <c r="BM21" s="71" t="s">
        <v>346</v>
      </c>
      <c r="BN21" s="71" t="s">
        <v>457</v>
      </c>
      <c r="BO21" s="71"/>
      <c r="BP21" s="71"/>
      <c r="BQ21" s="71"/>
      <c r="BR21" s="71"/>
      <c r="BS21" s="71"/>
      <c r="BT21" s="71"/>
      <c r="BU21" s="71"/>
      <c r="BV21" s="71"/>
      <c r="BW21" s="71"/>
      <c r="BX21" s="71"/>
      <c r="BY21" s="71"/>
      <c r="BZ21" s="71"/>
      <c r="CA21" s="71"/>
      <c r="CB21" s="71"/>
      <c r="CC21" s="71"/>
      <c r="CD21" s="71"/>
      <c r="CE21" s="71"/>
      <c r="CF21" s="71"/>
      <c r="CG21" s="71"/>
      <c r="CH21" s="71"/>
      <c r="CI21" s="71"/>
      <c r="CJ21" s="71"/>
      <c r="CK21" s="71"/>
      <c r="CL21" s="71"/>
      <c r="CM21" s="71"/>
      <c r="CN21" s="71"/>
      <c r="CO21" s="71"/>
      <c r="CP21" s="71"/>
      <c r="CQ21" s="71"/>
      <c r="CR21" s="71"/>
      <c r="CS21" s="71"/>
      <c r="CT21" s="71"/>
      <c r="CU21" s="71"/>
      <c r="CV21" s="71"/>
      <c r="CW21" s="71"/>
      <c r="CX21" s="71"/>
      <c r="CY21" s="71"/>
      <c r="CZ21" s="71"/>
      <c r="DA21" s="71"/>
      <c r="DB21" s="71"/>
      <c r="DC21" s="74">
        <f t="shared" si="2"/>
        <v>19</v>
      </c>
      <c r="DD21">
        <v>10</v>
      </c>
      <c r="DE21">
        <v>20</v>
      </c>
      <c r="DF21">
        <v>15</v>
      </c>
      <c r="DG21">
        <v>14</v>
      </c>
      <c r="DH21">
        <v>13</v>
      </c>
      <c r="EH21">
        <f t="shared" si="6"/>
        <v>10</v>
      </c>
      <c r="EI21">
        <f t="shared" si="15"/>
        <v>5</v>
      </c>
      <c r="EJ21">
        <f t="shared" si="16"/>
        <v>50</v>
      </c>
      <c r="EK21">
        <f>DG21-DD21</f>
        <v>4</v>
      </c>
      <c r="EL21">
        <f t="shared" si="17"/>
        <v>1</v>
      </c>
      <c r="EM21">
        <f t="shared" si="18"/>
        <v>13.635999999999999</v>
      </c>
      <c r="EN21">
        <f t="shared" si="19"/>
        <v>34.089999999999996</v>
      </c>
      <c r="EO21">
        <f>DH21-DD21</f>
        <v>3</v>
      </c>
      <c r="EP21">
        <f>DG21-DH21</f>
        <v>1</v>
      </c>
      <c r="EQ21">
        <f>EP21/EH21*100</f>
        <v>10</v>
      </c>
      <c r="ER21">
        <f>EP21/EO21*100</f>
        <v>33.333333333333329</v>
      </c>
    </row>
    <row r="22" spans="1:190" ht="15.6" thickTop="1" thickBot="1" x14ac:dyDescent="0.35">
      <c r="A22" s="62">
        <f t="shared" si="3"/>
        <v>20</v>
      </c>
      <c r="B22" s="62" t="s">
        <v>284</v>
      </c>
      <c r="C22" s="62" t="str">
        <f t="shared" si="0"/>
        <v>20: CaCO3 @ 950 (one burn) (empty » full &gt; burnt)</v>
      </c>
      <c r="D22" s="63">
        <f t="shared" si="4"/>
        <v>2</v>
      </c>
      <c r="E22" s="62">
        <v>1</v>
      </c>
      <c r="F22" s="62">
        <v>3</v>
      </c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4">
        <f t="shared" si="20"/>
        <v>3</v>
      </c>
      <c r="Z22" s="66" t="s">
        <v>131</v>
      </c>
      <c r="AA22" s="66" t="s">
        <v>133</v>
      </c>
      <c r="AB22" s="66" t="s">
        <v>137</v>
      </c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71" t="s">
        <v>347</v>
      </c>
      <c r="BE22" s="75" t="s">
        <v>339</v>
      </c>
      <c r="BF22" s="71" t="s">
        <v>343</v>
      </c>
      <c r="BG22" s="71"/>
      <c r="BH22" s="71"/>
      <c r="BI22" s="71"/>
      <c r="BJ22" s="71"/>
      <c r="BK22" s="71"/>
      <c r="BL22" s="71"/>
      <c r="BM22" s="71"/>
      <c r="BN22" s="71"/>
      <c r="BO22" s="71"/>
      <c r="BP22" s="71"/>
      <c r="BQ22" s="71"/>
      <c r="BR22" s="71"/>
      <c r="BS22" s="71"/>
      <c r="BT22" s="71"/>
      <c r="BU22" s="71"/>
      <c r="BV22" s="71"/>
      <c r="BW22" s="71"/>
      <c r="BX22" s="71"/>
      <c r="BY22" s="71"/>
      <c r="BZ22" s="71"/>
      <c r="CA22" s="71"/>
      <c r="CB22" s="71"/>
      <c r="CC22" s="71"/>
      <c r="CD22" s="71"/>
      <c r="CE22" s="71"/>
      <c r="CF22" s="71"/>
      <c r="CG22" s="71"/>
      <c r="CH22" s="71"/>
      <c r="CI22" s="71"/>
      <c r="CJ22" s="71"/>
      <c r="CK22" s="71"/>
      <c r="CL22" s="71"/>
      <c r="CM22" s="71"/>
      <c r="CN22" s="71"/>
      <c r="CO22" s="71"/>
      <c r="CP22" s="71"/>
      <c r="CQ22" s="71"/>
      <c r="CR22" s="71"/>
      <c r="CS22" s="71"/>
      <c r="CT22" s="71"/>
      <c r="CU22" s="71"/>
      <c r="CV22" s="71"/>
      <c r="CW22" s="71"/>
      <c r="CX22" s="71"/>
      <c r="CY22" s="71"/>
      <c r="CZ22" s="71"/>
      <c r="DA22" s="71"/>
      <c r="DB22" s="71"/>
      <c r="DC22" s="74">
        <f t="shared" si="2"/>
        <v>20</v>
      </c>
      <c r="DD22">
        <v>10</v>
      </c>
      <c r="DE22">
        <v>20</v>
      </c>
      <c r="DF22">
        <v>15</v>
      </c>
      <c r="EH22">
        <f t="shared" si="6"/>
        <v>10</v>
      </c>
      <c r="EI22">
        <f t="shared" si="15"/>
        <v>5</v>
      </c>
      <c r="EJ22">
        <f>(EI22/EH22*100)*1.3636</f>
        <v>68.179999999999993</v>
      </c>
    </row>
    <row r="23" spans="1:190" ht="15.6" thickTop="1" thickBot="1" x14ac:dyDescent="0.35">
      <c r="A23" s="62">
        <f t="shared" si="3"/>
        <v>21</v>
      </c>
      <c r="B23" s="62" t="s">
        <v>275</v>
      </c>
      <c r="C23" s="62" t="str">
        <f t="shared" si="0"/>
        <v>21: CaCO3 @ 950 \ further burn @  (two burns) (empty» full &gt; CaCO3 &gt; burn 2)</v>
      </c>
      <c r="D23" s="63">
        <f t="shared" si="4"/>
        <v>3</v>
      </c>
      <c r="E23" s="62">
        <v>1</v>
      </c>
      <c r="F23" s="62">
        <v>3</v>
      </c>
      <c r="G23" s="62">
        <v>4</v>
      </c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4">
        <f t="shared" si="20"/>
        <v>4</v>
      </c>
      <c r="Z23" s="66" t="s">
        <v>131</v>
      </c>
      <c r="AA23" s="66" t="s">
        <v>133</v>
      </c>
      <c r="AB23" s="66" t="s">
        <v>137</v>
      </c>
      <c r="AC23" s="66" t="s">
        <v>138</v>
      </c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71" t="s">
        <v>347</v>
      </c>
      <c r="BE23" s="75" t="s">
        <v>339</v>
      </c>
      <c r="BF23" s="71" t="s">
        <v>343</v>
      </c>
      <c r="BG23" s="71" t="s">
        <v>341</v>
      </c>
      <c r="BH23" s="71" t="s">
        <v>342</v>
      </c>
      <c r="BI23" s="71" t="s">
        <v>459</v>
      </c>
      <c r="BJ23" s="71" t="s">
        <v>460</v>
      </c>
      <c r="BK23" s="71"/>
      <c r="BL23" s="71"/>
      <c r="BM23" s="71"/>
      <c r="BN23" s="71"/>
      <c r="BO23" s="71"/>
      <c r="BP23" s="71"/>
      <c r="BQ23" s="71"/>
      <c r="BR23" s="71"/>
      <c r="BS23" s="71"/>
      <c r="BT23" s="71"/>
      <c r="BU23" s="71"/>
      <c r="BV23" s="71"/>
      <c r="BW23" s="71"/>
      <c r="BX23" s="71"/>
      <c r="BY23" s="71"/>
      <c r="BZ23" s="71"/>
      <c r="CA23" s="71"/>
      <c r="CB23" s="71"/>
      <c r="CC23" s="71"/>
      <c r="CD23" s="71"/>
      <c r="CE23" s="71"/>
      <c r="CF23" s="71"/>
      <c r="CG23" s="71"/>
      <c r="CH23" s="71"/>
      <c r="CI23" s="71"/>
      <c r="CJ23" s="71"/>
      <c r="CK23" s="71"/>
      <c r="CL23" s="71"/>
      <c r="CM23" s="71"/>
      <c r="CN23" s="71"/>
      <c r="CO23" s="71"/>
      <c r="CP23" s="71"/>
      <c r="CQ23" s="71"/>
      <c r="CR23" s="71"/>
      <c r="CS23" s="71"/>
      <c r="CT23" s="71"/>
      <c r="CU23" s="71"/>
      <c r="CV23" s="71"/>
      <c r="CW23" s="71"/>
      <c r="CX23" s="71"/>
      <c r="CY23" s="71"/>
      <c r="CZ23" s="71"/>
      <c r="DA23" s="71"/>
      <c r="DB23" s="71"/>
      <c r="DC23" s="74">
        <f t="shared" si="2"/>
        <v>21</v>
      </c>
      <c r="DD23">
        <v>10</v>
      </c>
      <c r="DE23">
        <v>20</v>
      </c>
      <c r="DF23">
        <v>15</v>
      </c>
      <c r="DG23">
        <v>14</v>
      </c>
      <c r="EH23">
        <f t="shared" si="6"/>
        <v>10</v>
      </c>
      <c r="EI23">
        <f t="shared" si="15"/>
        <v>5</v>
      </c>
      <c r="EJ23">
        <f t="shared" ref="EJ23:EJ25" si="21">(EI23/EH23*100)*1.3636</f>
        <v>68.179999999999993</v>
      </c>
      <c r="EK23">
        <f>DG23-DD23</f>
        <v>4</v>
      </c>
      <c r="EL23">
        <f>DF23-DG23</f>
        <v>1</v>
      </c>
      <c r="EM23">
        <f>EL23/EH23*100</f>
        <v>10</v>
      </c>
      <c r="EN23">
        <f>EL23/EK23*100</f>
        <v>25</v>
      </c>
    </row>
    <row r="24" spans="1:190" ht="15.6" thickTop="1" thickBot="1" x14ac:dyDescent="0.35">
      <c r="A24" s="62">
        <f t="shared" si="3"/>
        <v>22</v>
      </c>
      <c r="B24" s="62" t="s">
        <v>102</v>
      </c>
      <c r="C24" s="62" t="str">
        <f t="shared" si="0"/>
        <v>22: CaCO3 @ 950 (one burn)   (empty &gt; full &gt; CO3)</v>
      </c>
      <c r="D24" s="63">
        <f t="shared" si="4"/>
        <v>3</v>
      </c>
      <c r="E24" s="62">
        <v>1</v>
      </c>
      <c r="F24" s="62">
        <v>2</v>
      </c>
      <c r="G24" s="62">
        <v>3</v>
      </c>
      <c r="H24" s="62"/>
      <c r="I24" s="62"/>
      <c r="J24" s="62"/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4">
        <f t="shared" si="20"/>
        <v>3</v>
      </c>
      <c r="Z24" s="66" t="s">
        <v>131</v>
      </c>
      <c r="AA24" s="66" t="s">
        <v>133</v>
      </c>
      <c r="AB24" s="66" t="s">
        <v>137</v>
      </c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71" t="s">
        <v>347</v>
      </c>
      <c r="BE24" s="75" t="s">
        <v>339</v>
      </c>
      <c r="BF24" s="71" t="s">
        <v>343</v>
      </c>
      <c r="BG24" s="71"/>
      <c r="BH24" s="71"/>
      <c r="BI24" s="71"/>
      <c r="BJ24" s="71"/>
      <c r="BK24" s="71"/>
      <c r="BL24" s="71"/>
      <c r="BM24" s="71"/>
      <c r="BN24" s="71"/>
      <c r="BO24" s="71"/>
      <c r="BP24" s="71"/>
      <c r="BQ24" s="71"/>
      <c r="BR24" s="71"/>
      <c r="BS24" s="71"/>
      <c r="BT24" s="71"/>
      <c r="BU24" s="71"/>
      <c r="BV24" s="71"/>
      <c r="BW24" s="71"/>
      <c r="BX24" s="71"/>
      <c r="BY24" s="71"/>
      <c r="BZ24" s="71"/>
      <c r="CA24" s="71"/>
      <c r="CB24" s="71"/>
      <c r="CC24" s="71"/>
      <c r="CD24" s="71"/>
      <c r="CE24" s="71"/>
      <c r="CF24" s="71"/>
      <c r="CG24" s="71"/>
      <c r="CH24" s="71"/>
      <c r="CI24" s="71"/>
      <c r="CJ24" s="71"/>
      <c r="CK24" s="71"/>
      <c r="CL24" s="71"/>
      <c r="CM24" s="71"/>
      <c r="CN24" s="71"/>
      <c r="CO24" s="71"/>
      <c r="CP24" s="71"/>
      <c r="CQ24" s="71"/>
      <c r="CR24" s="71"/>
      <c r="CS24" s="71"/>
      <c r="CT24" s="71"/>
      <c r="CU24" s="71"/>
      <c r="CV24" s="71"/>
      <c r="CW24" s="71"/>
      <c r="CX24" s="71"/>
      <c r="CY24" s="71"/>
      <c r="CZ24" s="71"/>
      <c r="DA24" s="71"/>
      <c r="DB24" s="71"/>
      <c r="DC24" s="74">
        <f t="shared" si="2"/>
        <v>22</v>
      </c>
      <c r="DD24">
        <v>10</v>
      </c>
      <c r="DE24">
        <v>20</v>
      </c>
      <c r="DF24">
        <v>15</v>
      </c>
      <c r="EH24">
        <f t="shared" si="6"/>
        <v>10</v>
      </c>
      <c r="EI24">
        <f t="shared" si="15"/>
        <v>5</v>
      </c>
      <c r="EJ24">
        <f t="shared" si="21"/>
        <v>68.179999999999993</v>
      </c>
    </row>
    <row r="25" spans="1:190" ht="15.6" thickTop="1" thickBot="1" x14ac:dyDescent="0.35">
      <c r="A25" s="62">
        <f t="shared" si="3"/>
        <v>23</v>
      </c>
      <c r="B25" s="62" t="s">
        <v>103</v>
      </c>
      <c r="C25" s="62" t="str">
        <f t="shared" si="0"/>
        <v>23: CaCO3 @ 950 \ further burn @ ? (two burns) (empty &gt; full &gt; burn 1 &gt; burn 2)</v>
      </c>
      <c r="D25" s="63">
        <f t="shared" si="4"/>
        <v>4</v>
      </c>
      <c r="E25" s="62">
        <v>1</v>
      </c>
      <c r="F25" s="62">
        <v>2</v>
      </c>
      <c r="G25" s="62">
        <v>3</v>
      </c>
      <c r="H25" s="62">
        <v>4</v>
      </c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4">
        <f t="shared" si="20"/>
        <v>4</v>
      </c>
      <c r="Z25" s="66" t="s">
        <v>131</v>
      </c>
      <c r="AA25" s="66" t="s">
        <v>133</v>
      </c>
      <c r="AB25" s="66" t="s">
        <v>137</v>
      </c>
      <c r="AC25" s="66" t="s">
        <v>138</v>
      </c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71" t="s">
        <v>347</v>
      </c>
      <c r="BE25" s="75" t="s">
        <v>339</v>
      </c>
      <c r="BF25" s="71" t="s">
        <v>343</v>
      </c>
      <c r="BG25" s="71" t="s">
        <v>341</v>
      </c>
      <c r="BH25" s="71" t="s">
        <v>342</v>
      </c>
      <c r="BI25" s="71" t="s">
        <v>459</v>
      </c>
      <c r="BJ25" s="71" t="s">
        <v>460</v>
      </c>
      <c r="BK25" s="71"/>
      <c r="BL25" s="71"/>
      <c r="BM25" s="71"/>
      <c r="BN25" s="71"/>
      <c r="BO25" s="71"/>
      <c r="BP25" s="71"/>
      <c r="BQ25" s="71"/>
      <c r="BR25" s="71"/>
      <c r="BS25" s="71"/>
      <c r="BT25" s="71"/>
      <c r="BU25" s="71"/>
      <c r="BV25" s="71"/>
      <c r="BW25" s="71"/>
      <c r="BX25" s="71"/>
      <c r="BY25" s="71"/>
      <c r="BZ25" s="71"/>
      <c r="CA25" s="71"/>
      <c r="CB25" s="71"/>
      <c r="CC25" s="71"/>
      <c r="CD25" s="71"/>
      <c r="CE25" s="71"/>
      <c r="CF25" s="71"/>
      <c r="CG25" s="71"/>
      <c r="CH25" s="71"/>
      <c r="CI25" s="71"/>
      <c r="CJ25" s="71"/>
      <c r="CK25" s="71"/>
      <c r="CL25" s="71"/>
      <c r="CM25" s="71"/>
      <c r="CN25" s="71"/>
      <c r="CO25" s="71"/>
      <c r="CP25" s="71"/>
      <c r="CQ25" s="71"/>
      <c r="CR25" s="71"/>
      <c r="CS25" s="71"/>
      <c r="CT25" s="71"/>
      <c r="CU25" s="71"/>
      <c r="CV25" s="71"/>
      <c r="CW25" s="71"/>
      <c r="CX25" s="71"/>
      <c r="CY25" s="71"/>
      <c r="CZ25" s="71"/>
      <c r="DA25" s="71"/>
      <c r="DB25" s="71"/>
      <c r="DC25" s="74">
        <f t="shared" si="2"/>
        <v>23</v>
      </c>
      <c r="DD25">
        <v>10</v>
      </c>
      <c r="DE25">
        <v>20</v>
      </c>
      <c r="DF25">
        <v>15</v>
      </c>
      <c r="DG25">
        <v>14</v>
      </c>
      <c r="EH25">
        <f t="shared" si="6"/>
        <v>10</v>
      </c>
      <c r="EI25">
        <f t="shared" si="15"/>
        <v>5</v>
      </c>
      <c r="EJ25">
        <f t="shared" si="21"/>
        <v>68.179999999999993</v>
      </c>
      <c r="EK25">
        <f>DG25-DD25</f>
        <v>4</v>
      </c>
      <c r="EL25">
        <f>DF25-DG25</f>
        <v>1</v>
      </c>
      <c r="EM25">
        <f>EL25/EH25*100</f>
        <v>10</v>
      </c>
      <c r="EN25">
        <f>EL25/EK25*100</f>
        <v>25</v>
      </c>
    </row>
    <row r="26" spans="1:190" ht="15.6" thickTop="1" thickBot="1" x14ac:dyDescent="0.35">
      <c r="A26" s="62">
        <f t="shared" si="3"/>
        <v>24</v>
      </c>
      <c r="B26" s="99" t="s">
        <v>286</v>
      </c>
      <c r="C26" s="62" t="str">
        <f t="shared" si="0"/>
        <v>24: PSA WET gritty mud: MT&lt;1mm &gt;  &lt;1mm dry &gt; dry siv 32-1mm @ half-phi (CEFAS)</v>
      </c>
      <c r="D26" s="63">
        <f t="shared" si="4"/>
        <v>6</v>
      </c>
      <c r="E26" s="62">
        <v>1</v>
      </c>
      <c r="F26" s="62">
        <v>2</v>
      </c>
      <c r="G26" s="62">
        <v>3</v>
      </c>
      <c r="H26" s="62">
        <v>13</v>
      </c>
      <c r="I26" s="62">
        <v>14</v>
      </c>
      <c r="J26" s="62">
        <v>15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4">
        <f t="shared" si="20"/>
        <v>19</v>
      </c>
      <c r="Z26" s="66" t="s">
        <v>221</v>
      </c>
      <c r="AA26" s="66" t="s">
        <v>222</v>
      </c>
      <c r="AB26" s="66" t="s">
        <v>149</v>
      </c>
      <c r="AC26" s="66" t="s">
        <v>150</v>
      </c>
      <c r="AD26" s="66" t="s">
        <v>160</v>
      </c>
      <c r="AE26" s="66" t="s">
        <v>151</v>
      </c>
      <c r="AF26" s="66" t="s">
        <v>152</v>
      </c>
      <c r="AG26" s="66" t="s">
        <v>153</v>
      </c>
      <c r="AH26" s="66" t="s">
        <v>154</v>
      </c>
      <c r="AI26" s="66" t="s">
        <v>159</v>
      </c>
      <c r="AJ26" s="66" t="s">
        <v>223</v>
      </c>
      <c r="AK26" s="66" t="s">
        <v>224</v>
      </c>
      <c r="AL26" s="66" t="s">
        <v>636</v>
      </c>
      <c r="AM26" s="66" t="s">
        <v>637</v>
      </c>
      <c r="AN26" s="66" t="s">
        <v>638</v>
      </c>
      <c r="AP26" s="66"/>
      <c r="AQ26" s="66"/>
      <c r="AR26" s="66"/>
      <c r="AS26" s="66"/>
      <c r="AT26" s="66"/>
      <c r="AU26" s="66"/>
      <c r="AV26" s="66"/>
      <c r="AW26" s="66"/>
      <c r="AX26" s="66"/>
      <c r="AY26" s="71" t="s">
        <v>639</v>
      </c>
      <c r="AZ26" s="71" t="s">
        <v>642</v>
      </c>
      <c r="BA26" s="75" t="s">
        <v>640</v>
      </c>
      <c r="BB26" s="71" t="s">
        <v>641</v>
      </c>
      <c r="BC26" s="66"/>
      <c r="BD26" s="71"/>
      <c r="BE26" s="71"/>
      <c r="BF26" s="75"/>
      <c r="BG26" s="71"/>
      <c r="BH26" s="71"/>
      <c r="BI26" s="71"/>
      <c r="BJ26" s="71"/>
      <c r="BK26" s="71"/>
      <c r="BL26" s="71"/>
      <c r="BM26" s="71"/>
      <c r="BN26" s="71"/>
      <c r="BO26" s="71"/>
      <c r="BP26" s="71"/>
      <c r="BQ26" s="71"/>
      <c r="BR26" s="71"/>
      <c r="BS26" s="71" t="s">
        <v>149</v>
      </c>
      <c r="BT26" s="71" t="s">
        <v>150</v>
      </c>
      <c r="BU26" s="71" t="s">
        <v>160</v>
      </c>
      <c r="BV26" s="71" t="s">
        <v>151</v>
      </c>
      <c r="BW26" s="71" t="s">
        <v>152</v>
      </c>
      <c r="BX26" s="71" t="s">
        <v>153</v>
      </c>
      <c r="BY26" s="71" t="s">
        <v>154</v>
      </c>
      <c r="BZ26" s="71" t="s">
        <v>159</v>
      </c>
      <c r="CA26" s="71" t="s">
        <v>223</v>
      </c>
      <c r="CB26" s="71" t="s">
        <v>162</v>
      </c>
      <c r="CC26" s="71" t="s">
        <v>348</v>
      </c>
      <c r="CD26" s="71"/>
      <c r="CE26" s="71"/>
      <c r="CF26" s="71"/>
      <c r="CG26" s="71"/>
      <c r="CH26" s="71"/>
      <c r="CI26" s="71"/>
      <c r="CJ26" s="71"/>
      <c r="CK26" s="71"/>
      <c r="CL26" s="71"/>
      <c r="CM26" s="71"/>
      <c r="CN26" s="71"/>
      <c r="CO26" s="71"/>
      <c r="CP26" s="71"/>
      <c r="CQ26" s="71"/>
      <c r="CR26" s="71"/>
      <c r="CS26" s="71"/>
      <c r="CT26" s="71"/>
      <c r="CU26" s="71"/>
      <c r="CV26" s="71"/>
      <c r="CW26" s="71"/>
      <c r="CX26" s="71"/>
      <c r="CY26" s="71"/>
      <c r="CZ26" s="71"/>
      <c r="DA26" s="71"/>
      <c r="DB26" s="71"/>
      <c r="DC26" s="74">
        <f t="shared" si="2"/>
        <v>24</v>
      </c>
      <c r="DD26">
        <v>100</v>
      </c>
      <c r="DE26">
        <v>120</v>
      </c>
      <c r="DF26">
        <v>32</v>
      </c>
      <c r="DG26">
        <v>16</v>
      </c>
      <c r="DH26">
        <v>11.2</v>
      </c>
      <c r="DI26">
        <v>8</v>
      </c>
      <c r="DJ26">
        <v>5.6</v>
      </c>
      <c r="DK26">
        <v>4</v>
      </c>
      <c r="DL26">
        <v>2.8</v>
      </c>
      <c r="DM26">
        <v>2</v>
      </c>
      <c r="DN26">
        <v>1.4</v>
      </c>
      <c r="DO26">
        <v>1</v>
      </c>
      <c r="DP26">
        <v>10</v>
      </c>
      <c r="DQ26">
        <v>15</v>
      </c>
      <c r="DR26">
        <v>13</v>
      </c>
      <c r="EC26">
        <f>DQ26-DP26</f>
        <v>5</v>
      </c>
      <c r="ED26">
        <f>DQ26-DR26</f>
        <v>2</v>
      </c>
      <c r="EE26">
        <f>DR26-DP26</f>
        <v>3</v>
      </c>
      <c r="EF26">
        <f>(ED26/EC26)*100</f>
        <v>40</v>
      </c>
      <c r="ES26" s="78"/>
      <c r="EW26" s="78">
        <f t="shared" ref="EW26:FF26" si="22">IF(       AND($A$14="TARE",$A$15="TARE"),IF(DF26&gt;0,DF26-VLOOKUP($C26,$B$14:$O$15,COLUMN()-31),0),    IF(UPPER($A$14)="TARE",IF(DF26&gt;0,DF26-DF$14,0),DF26)        )</f>
        <v>32</v>
      </c>
      <c r="EX26" s="78">
        <f t="shared" si="22"/>
        <v>16</v>
      </c>
      <c r="EY26" s="78">
        <f t="shared" si="22"/>
        <v>11.2</v>
      </c>
      <c r="EZ26" s="78">
        <f t="shared" si="22"/>
        <v>8</v>
      </c>
      <c r="FA26" s="78">
        <f t="shared" si="22"/>
        <v>5.6</v>
      </c>
      <c r="FB26" s="78">
        <f t="shared" si="22"/>
        <v>4</v>
      </c>
      <c r="FC26" s="78">
        <f t="shared" si="22"/>
        <v>2.8</v>
      </c>
      <c r="FD26" s="78">
        <f t="shared" si="22"/>
        <v>2</v>
      </c>
      <c r="FE26" s="78">
        <f t="shared" si="22"/>
        <v>1.4</v>
      </c>
      <c r="FF26" s="78">
        <f t="shared" si="22"/>
        <v>1</v>
      </c>
      <c r="FG26" s="78">
        <f>DE26-DD26</f>
        <v>20</v>
      </c>
    </row>
    <row r="27" spans="1:190" ht="15.6" thickTop="1" thickBot="1" x14ac:dyDescent="0.35">
      <c r="A27" s="62">
        <f t="shared" si="3"/>
        <v>25</v>
      </c>
      <c r="B27" s="99" t="s">
        <v>266</v>
      </c>
      <c r="C27" s="62" t="str">
        <f t="shared" si="0"/>
        <v xml:space="preserve">25: PSA gritty mud: MT&lt;1mm &gt; dry sv 32/16-1.4mm @ half-phi  &gt;  &lt;1mm dry (CEFAS)   </v>
      </c>
      <c r="D27" s="63">
        <f t="shared" si="4"/>
        <v>6</v>
      </c>
      <c r="E27" s="62">
        <v>1</v>
      </c>
      <c r="F27" s="62">
        <v>2</v>
      </c>
      <c r="G27" s="62">
        <v>12</v>
      </c>
      <c r="H27" s="62">
        <v>13</v>
      </c>
      <c r="I27" s="62">
        <v>14</v>
      </c>
      <c r="J27" s="62">
        <v>15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4">
        <f t="shared" si="20"/>
        <v>19</v>
      </c>
      <c r="Z27" s="66" t="s">
        <v>221</v>
      </c>
      <c r="AA27" s="66" t="s">
        <v>149</v>
      </c>
      <c r="AB27" s="66" t="s">
        <v>150</v>
      </c>
      <c r="AC27" s="66" t="s">
        <v>160</v>
      </c>
      <c r="AD27" s="66" t="s">
        <v>151</v>
      </c>
      <c r="AE27" s="66" t="s">
        <v>152</v>
      </c>
      <c r="AF27" s="66" t="s">
        <v>153</v>
      </c>
      <c r="AG27" s="66" t="s">
        <v>154</v>
      </c>
      <c r="AH27" s="66" t="s">
        <v>159</v>
      </c>
      <c r="AI27" s="66" t="s">
        <v>223</v>
      </c>
      <c r="AJ27" s="66" t="s">
        <v>224</v>
      </c>
      <c r="AK27" s="66" t="s">
        <v>222</v>
      </c>
      <c r="AL27" s="66" t="s">
        <v>636</v>
      </c>
      <c r="AM27" s="66" t="s">
        <v>637</v>
      </c>
      <c r="AN27" s="66" t="s">
        <v>638</v>
      </c>
      <c r="AP27" s="66"/>
      <c r="AQ27" s="66"/>
      <c r="AR27" s="66"/>
      <c r="AS27" s="66"/>
      <c r="AT27" s="66"/>
      <c r="AU27" s="66"/>
      <c r="AV27" s="66"/>
      <c r="AW27" s="66"/>
      <c r="AX27" s="66"/>
      <c r="AY27" s="71" t="s">
        <v>639</v>
      </c>
      <c r="AZ27" s="71" t="s">
        <v>642</v>
      </c>
      <c r="BA27" s="75" t="s">
        <v>640</v>
      </c>
      <c r="BB27" s="71" t="s">
        <v>641</v>
      </c>
      <c r="BC27" s="66"/>
      <c r="BD27" s="71"/>
      <c r="BE27" s="71"/>
      <c r="BF27" s="75"/>
      <c r="BG27" s="71"/>
      <c r="BH27" s="71"/>
      <c r="BI27" s="71"/>
      <c r="BJ27" s="71"/>
      <c r="BK27" s="71"/>
      <c r="BL27" s="71"/>
      <c r="BM27" s="71"/>
      <c r="BN27" s="71"/>
      <c r="BO27" s="71"/>
      <c r="BP27" s="71"/>
      <c r="BQ27" s="71"/>
      <c r="BR27" s="71"/>
      <c r="BS27" s="71" t="s">
        <v>149</v>
      </c>
      <c r="BT27" s="71" t="s">
        <v>150</v>
      </c>
      <c r="BU27" s="71" t="s">
        <v>160</v>
      </c>
      <c r="BV27" s="71" t="s">
        <v>151</v>
      </c>
      <c r="BW27" s="71" t="s">
        <v>152</v>
      </c>
      <c r="BX27" s="71" t="s">
        <v>153</v>
      </c>
      <c r="BY27" s="71" t="s">
        <v>154</v>
      </c>
      <c r="BZ27" s="71" t="s">
        <v>159</v>
      </c>
      <c r="CA27" s="71" t="s">
        <v>223</v>
      </c>
      <c r="CB27" s="71" t="s">
        <v>162</v>
      </c>
      <c r="CC27" s="71" t="s">
        <v>348</v>
      </c>
      <c r="CD27" s="71"/>
      <c r="CE27" s="71"/>
      <c r="CF27" s="71"/>
      <c r="CG27" s="71"/>
      <c r="CH27" s="71"/>
      <c r="CI27" s="71"/>
      <c r="CJ27" s="71"/>
      <c r="CK27" s="71"/>
      <c r="CL27" s="71"/>
      <c r="CM27" s="71"/>
      <c r="CN27" s="71"/>
      <c r="CO27" s="71"/>
      <c r="CP27" s="71"/>
      <c r="CQ27" s="71"/>
      <c r="CR27" s="71"/>
      <c r="CS27" s="71"/>
      <c r="CT27" s="71"/>
      <c r="CU27" s="71"/>
      <c r="CV27" s="71"/>
      <c r="CW27" s="71"/>
      <c r="CX27" s="71"/>
      <c r="CY27" s="71"/>
      <c r="CZ27" s="71"/>
      <c r="DA27" s="71"/>
      <c r="DB27" s="71"/>
      <c r="DC27" s="74">
        <f t="shared" si="2"/>
        <v>25</v>
      </c>
      <c r="DD27">
        <v>100</v>
      </c>
      <c r="DE27">
        <v>32</v>
      </c>
      <c r="DF27">
        <v>16</v>
      </c>
      <c r="DG27">
        <v>11.2</v>
      </c>
      <c r="DH27">
        <v>8</v>
      </c>
      <c r="DI27">
        <v>5.6</v>
      </c>
      <c r="DJ27">
        <v>4</v>
      </c>
      <c r="DK27">
        <v>2.8</v>
      </c>
      <c r="DL27">
        <v>2</v>
      </c>
      <c r="DM27">
        <v>1.4</v>
      </c>
      <c r="DN27">
        <v>1</v>
      </c>
      <c r="DO27">
        <v>120</v>
      </c>
      <c r="DP27">
        <v>10</v>
      </c>
      <c r="DQ27">
        <v>15</v>
      </c>
      <c r="DR27">
        <v>13</v>
      </c>
      <c r="EC27">
        <f>DQ27-DP27</f>
        <v>5</v>
      </c>
      <c r="ED27">
        <f>DQ27-DR27</f>
        <v>2</v>
      </c>
      <c r="EE27">
        <f>DR27-DP27</f>
        <v>3</v>
      </c>
      <c r="EF27">
        <f>(ED27/EC27)*100</f>
        <v>40</v>
      </c>
      <c r="EW27" s="78">
        <f t="shared" ref="EW27:FF27" si="23">IF(       AND($A$14="TARE",$A$15="TARE"),IF(DE27&gt;0,DE27-VLOOKUP($C27,$B$14:$N$15,COLUMN()-31),0),    IF(UPPER($A$14)="TARE",IF(DE27&gt;0,DE27-DE$14,0),DE27)        )</f>
        <v>32</v>
      </c>
      <c r="EX27" s="78">
        <f t="shared" si="23"/>
        <v>16</v>
      </c>
      <c r="EY27" s="78">
        <f t="shared" si="23"/>
        <v>11.2</v>
      </c>
      <c r="EZ27" s="78">
        <f t="shared" si="23"/>
        <v>8</v>
      </c>
      <c r="FA27" s="78">
        <f t="shared" si="23"/>
        <v>5.6</v>
      </c>
      <c r="FB27" s="78">
        <f t="shared" si="23"/>
        <v>4</v>
      </c>
      <c r="FC27" s="78">
        <f t="shared" si="23"/>
        <v>2.8</v>
      </c>
      <c r="FD27" s="78">
        <f t="shared" si="23"/>
        <v>2</v>
      </c>
      <c r="FE27" s="78">
        <f t="shared" si="23"/>
        <v>1.4</v>
      </c>
      <c r="FF27" s="78">
        <f t="shared" si="23"/>
        <v>1</v>
      </c>
      <c r="FG27" s="78">
        <f>DO27-DD27</f>
        <v>20</v>
      </c>
    </row>
    <row r="28" spans="1:190" ht="15.6" thickTop="1" thickBot="1" x14ac:dyDescent="0.35">
      <c r="A28" s="62">
        <f t="shared" si="3"/>
        <v>26</v>
      </c>
      <c r="B28" s="99" t="s">
        <v>650</v>
      </c>
      <c r="C28" s="62" t="str">
        <f t="shared" si="0"/>
        <v xml:space="preserve">26: PSA dry sieve 128mm - 1mm @ 1/2 phi intervals (for laser difffraction)                     </v>
      </c>
      <c r="D28" s="63">
        <f t="shared" si="4"/>
        <v>1</v>
      </c>
      <c r="E28" s="62">
        <v>1</v>
      </c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4">
        <f t="shared" si="20"/>
        <v>16</v>
      </c>
      <c r="Z28" s="66" t="s">
        <v>244</v>
      </c>
      <c r="AA28" s="66" t="s">
        <v>245</v>
      </c>
      <c r="AB28" s="66" t="s">
        <v>246</v>
      </c>
      <c r="AC28" s="66" t="s">
        <v>247</v>
      </c>
      <c r="AD28" s="66" t="s">
        <v>149</v>
      </c>
      <c r="AE28" s="66" t="s">
        <v>248</v>
      </c>
      <c r="AF28" s="66" t="s">
        <v>150</v>
      </c>
      <c r="AG28" s="66" t="s">
        <v>249</v>
      </c>
      <c r="AH28" s="66" t="s">
        <v>151</v>
      </c>
      <c r="AI28" s="66" t="s">
        <v>152</v>
      </c>
      <c r="AJ28" s="66" t="s">
        <v>153</v>
      </c>
      <c r="AK28" s="66" t="s">
        <v>154</v>
      </c>
      <c r="AL28" s="66" t="s">
        <v>236</v>
      </c>
      <c r="AM28" s="66" t="s">
        <v>223</v>
      </c>
      <c r="AN28" s="66" t="s">
        <v>225</v>
      </c>
      <c r="AO28" s="66" t="s">
        <v>155</v>
      </c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71"/>
      <c r="BE28" s="71"/>
      <c r="BF28" s="71"/>
      <c r="BG28" s="71"/>
      <c r="BH28" s="71"/>
      <c r="BI28" s="71"/>
      <c r="BJ28" s="71"/>
      <c r="BK28" s="71"/>
      <c r="BL28" s="71"/>
      <c r="BN28" s="71" t="s">
        <v>244</v>
      </c>
      <c r="BO28" s="71" t="s">
        <v>245</v>
      </c>
      <c r="BP28" s="71" t="s">
        <v>246</v>
      </c>
      <c r="BQ28" s="71" t="s">
        <v>247</v>
      </c>
      <c r="BR28" s="71" t="s">
        <v>149</v>
      </c>
      <c r="BS28" s="71" t="s">
        <v>248</v>
      </c>
      <c r="BT28" s="71" t="s">
        <v>150</v>
      </c>
      <c r="BU28" s="71" t="s">
        <v>249</v>
      </c>
      <c r="BV28" s="71" t="s">
        <v>151</v>
      </c>
      <c r="BW28" s="71" t="s">
        <v>152</v>
      </c>
      <c r="BX28" s="71" t="s">
        <v>153</v>
      </c>
      <c r="BY28" s="71" t="s">
        <v>154</v>
      </c>
      <c r="BZ28" s="71" t="s">
        <v>236</v>
      </c>
      <c r="CA28" s="71" t="s">
        <v>223</v>
      </c>
      <c r="CB28" s="71" t="s">
        <v>225</v>
      </c>
      <c r="CC28" s="71" t="s">
        <v>155</v>
      </c>
      <c r="CD28" s="71"/>
      <c r="CE28" s="71"/>
      <c r="CF28" s="71"/>
      <c r="CG28" s="71"/>
      <c r="CH28" s="71"/>
      <c r="CI28" s="71"/>
      <c r="CJ28" s="71" t="s">
        <v>370</v>
      </c>
      <c r="CK28" s="71" t="s">
        <v>371</v>
      </c>
      <c r="CL28" s="71" t="s">
        <v>372</v>
      </c>
      <c r="CM28" s="71" t="s">
        <v>373</v>
      </c>
      <c r="CN28" s="71" t="s">
        <v>374</v>
      </c>
      <c r="CO28" s="71" t="s">
        <v>375</v>
      </c>
      <c r="CP28" s="71" t="s">
        <v>376</v>
      </c>
      <c r="CQ28" s="71" t="s">
        <v>377</v>
      </c>
      <c r="CR28" s="71" t="s">
        <v>378</v>
      </c>
      <c r="CS28" s="71" t="s">
        <v>379</v>
      </c>
      <c r="CT28" s="71" t="s">
        <v>380</v>
      </c>
      <c r="CU28" s="71" t="s">
        <v>381</v>
      </c>
      <c r="CV28" s="71" t="s">
        <v>382</v>
      </c>
      <c r="CW28" s="71" t="s">
        <v>383</v>
      </c>
      <c r="CX28" s="71" t="s">
        <v>384</v>
      </c>
      <c r="CY28" s="71" t="s">
        <v>385</v>
      </c>
      <c r="CZ28" s="71"/>
      <c r="DA28" s="71"/>
      <c r="DB28" s="71"/>
      <c r="DC28" s="74">
        <f t="shared" si="2"/>
        <v>26</v>
      </c>
      <c r="DD28">
        <v>110</v>
      </c>
      <c r="DE28">
        <v>105</v>
      </c>
      <c r="DF28">
        <v>100</v>
      </c>
      <c r="DG28">
        <v>95</v>
      </c>
      <c r="DH28">
        <v>80</v>
      </c>
      <c r="DI28">
        <v>85</v>
      </c>
      <c r="DJ28">
        <v>75</v>
      </c>
      <c r="DK28">
        <v>70</v>
      </c>
      <c r="DL28">
        <v>75</v>
      </c>
      <c r="DM28">
        <v>80</v>
      </c>
      <c r="DN28">
        <v>85</v>
      </c>
      <c r="DO28">
        <v>90</v>
      </c>
      <c r="DP28">
        <v>95</v>
      </c>
      <c r="DQ28">
        <v>100</v>
      </c>
      <c r="DR28">
        <v>105</v>
      </c>
      <c r="DS28">
        <v>110</v>
      </c>
      <c r="ER28" s="78">
        <f t="shared" ref="ER28:FG28" si="24">IF(       AND($A$14="TARE",$A$15="TARE"),IF(DD28&gt;0,DD28-VLOOKUP($C28,$B$14:$K$15,COLUMN()-31),0),    IF(UPPER($A$14)="TARE",IF(DD28&gt;0,DD28-DD$14,0),DD28)        )</f>
        <v>110</v>
      </c>
      <c r="ES28" s="78">
        <f t="shared" si="24"/>
        <v>105</v>
      </c>
      <c r="ET28" s="78">
        <f t="shared" si="24"/>
        <v>100</v>
      </c>
      <c r="EU28" s="78">
        <f t="shared" si="24"/>
        <v>95</v>
      </c>
      <c r="EV28" s="78">
        <f t="shared" si="24"/>
        <v>80</v>
      </c>
      <c r="EW28" s="78">
        <f t="shared" si="24"/>
        <v>85</v>
      </c>
      <c r="EX28" s="78">
        <f t="shared" si="24"/>
        <v>75</v>
      </c>
      <c r="EY28" s="78">
        <f t="shared" si="24"/>
        <v>70</v>
      </c>
      <c r="EZ28" s="78">
        <f t="shared" si="24"/>
        <v>75</v>
      </c>
      <c r="FA28" s="78">
        <f t="shared" si="24"/>
        <v>80</v>
      </c>
      <c r="FB28" s="78">
        <f t="shared" si="24"/>
        <v>85</v>
      </c>
      <c r="FC28" s="78">
        <f t="shared" si="24"/>
        <v>90</v>
      </c>
      <c r="FD28" s="78">
        <f t="shared" si="24"/>
        <v>95</v>
      </c>
      <c r="FE28" s="78">
        <f t="shared" si="24"/>
        <v>100</v>
      </c>
      <c r="FF28" s="78">
        <f t="shared" si="24"/>
        <v>105</v>
      </c>
      <c r="FG28" s="78">
        <f t="shared" si="24"/>
        <v>110</v>
      </c>
      <c r="FH28" s="78"/>
      <c r="FI28" s="78"/>
      <c r="FJ28" s="78"/>
      <c r="FK28" s="78"/>
      <c r="FL28" s="78"/>
      <c r="FN28" s="80">
        <f>ER28/SUM(ER28:FL28)*100</f>
        <v>7.5342465753424657</v>
      </c>
      <c r="FO28" s="80">
        <f>ES28/SUM(ER28:FL28)*100</f>
        <v>7.1917808219178081</v>
      </c>
      <c r="FP28" s="80">
        <f>ET28/SUM(ER28:FL28)*100</f>
        <v>6.8493150684931505</v>
      </c>
      <c r="FQ28" s="80">
        <f>EU28/SUM(ER28:FL28)*100</f>
        <v>6.506849315068493</v>
      </c>
      <c r="FR28" s="80">
        <f>EV28/SUM(ER28:FL28)*100</f>
        <v>5.4794520547945202</v>
      </c>
      <c r="FS28" s="80">
        <f>EW28/SUM(ER28:FL28)*100</f>
        <v>5.8219178082191778</v>
      </c>
      <c r="FT28" s="80">
        <f>EX28/SUM(ER28:FL28)*100</f>
        <v>5.1369863013698627</v>
      </c>
      <c r="FU28" s="80">
        <f>EY28/SUM(ER28:FL28)*100</f>
        <v>4.7945205479452051</v>
      </c>
      <c r="FV28" s="80">
        <f>EZ28/SUM(ER28:FL28)*100</f>
        <v>5.1369863013698627</v>
      </c>
      <c r="FW28" s="80">
        <f>FA28/SUM(ER28:FL28)*100</f>
        <v>5.4794520547945202</v>
      </c>
      <c r="FX28" s="80">
        <f>FB28/SUM(ER28:FL28)*100</f>
        <v>5.8219178082191778</v>
      </c>
      <c r="FY28" s="80">
        <f>FC28/SUM(ER28:FL28)*100</f>
        <v>6.1643835616438354</v>
      </c>
      <c r="FZ28" s="80">
        <f>FD28/SUM(ER28:FL28)*100</f>
        <v>6.506849315068493</v>
      </c>
      <c r="GA28" s="80">
        <f>FE28/SUM(ER28:FL28)*100</f>
        <v>6.8493150684931505</v>
      </c>
      <c r="GB28" s="80">
        <f>FF28/SUM(ER28:FL28)*100</f>
        <v>7.1917808219178081</v>
      </c>
      <c r="GC28" s="80">
        <f>FG28/SUM(ER28:FL28)*100</f>
        <v>7.5342465753424657</v>
      </c>
      <c r="GD28" s="80">
        <f>FH28/SUM(ER28:FL28)*100</f>
        <v>0</v>
      </c>
      <c r="GE28" s="80">
        <f>FI28/SUM(ER28:FL28)*100</f>
        <v>0</v>
      </c>
      <c r="GF28" s="80">
        <f>FJ28/SUM(ER28:FL28)*100</f>
        <v>0</v>
      </c>
      <c r="GG28" s="80">
        <f>FK28/SUM(ER28:FL28)*100</f>
        <v>0</v>
      </c>
      <c r="GH28" s="80">
        <f>FL28/SUM(ER28:FL28)*100</f>
        <v>0</v>
      </c>
    </row>
    <row r="29" spans="1:190" ht="15.6" thickTop="1" thickBot="1" x14ac:dyDescent="0.35">
      <c r="A29" s="62">
        <f t="shared" si="3"/>
        <v>27</v>
      </c>
      <c r="B29" s="99" t="s">
        <v>114</v>
      </c>
      <c r="C29" s="62" t="str">
        <f t="shared" si="0"/>
        <v xml:space="preserve">27: PSA dry sieve 128mm - 1.4mm @ 1/2 phi intervals                            </v>
      </c>
      <c r="D29" s="63">
        <f t="shared" si="4"/>
        <v>1</v>
      </c>
      <c r="E29" s="62">
        <v>1</v>
      </c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4">
        <f t="shared" si="20"/>
        <v>15</v>
      </c>
      <c r="Z29" s="66" t="s">
        <v>244</v>
      </c>
      <c r="AA29" s="66" t="s">
        <v>245</v>
      </c>
      <c r="AB29" s="66" t="s">
        <v>246</v>
      </c>
      <c r="AC29" s="66" t="s">
        <v>247</v>
      </c>
      <c r="AD29" s="66" t="s">
        <v>149</v>
      </c>
      <c r="AE29" s="66" t="s">
        <v>248</v>
      </c>
      <c r="AF29" s="66" t="s">
        <v>150</v>
      </c>
      <c r="AG29" s="66" t="s">
        <v>249</v>
      </c>
      <c r="AH29" s="66" t="s">
        <v>151</v>
      </c>
      <c r="AI29" s="66" t="s">
        <v>152</v>
      </c>
      <c r="AJ29" s="66" t="s">
        <v>153</v>
      </c>
      <c r="AK29" s="66" t="s">
        <v>154</v>
      </c>
      <c r="AL29" s="66" t="s">
        <v>236</v>
      </c>
      <c r="AM29" s="66" t="s">
        <v>223</v>
      </c>
      <c r="AN29" s="66" t="s">
        <v>155</v>
      </c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71" t="s">
        <v>244</v>
      </c>
      <c r="BE29" s="71" t="s">
        <v>245</v>
      </c>
      <c r="BF29" s="71" t="s">
        <v>246</v>
      </c>
      <c r="BG29" s="71" t="s">
        <v>247</v>
      </c>
      <c r="BH29" s="71" t="s">
        <v>149</v>
      </c>
      <c r="BI29" s="71" t="s">
        <v>248</v>
      </c>
      <c r="BJ29" s="71" t="s">
        <v>150</v>
      </c>
      <c r="BK29" s="71" t="s">
        <v>249</v>
      </c>
      <c r="BL29" s="71" t="s">
        <v>151</v>
      </c>
      <c r="BM29" s="71" t="s">
        <v>152</v>
      </c>
      <c r="BN29" s="71" t="s">
        <v>153</v>
      </c>
      <c r="BO29" s="71" t="s">
        <v>154</v>
      </c>
      <c r="BP29" s="71" t="s">
        <v>236</v>
      </c>
      <c r="BQ29" s="71" t="s">
        <v>223</v>
      </c>
      <c r="BR29" s="71" t="s">
        <v>155</v>
      </c>
      <c r="BS29" s="71"/>
      <c r="BT29" s="71"/>
      <c r="BU29" s="71"/>
      <c r="BV29" s="71"/>
      <c r="BW29" s="71"/>
      <c r="BX29" s="71"/>
      <c r="BY29" s="71"/>
      <c r="BZ29" s="71" t="s">
        <v>370</v>
      </c>
      <c r="CA29" s="71" t="s">
        <v>371</v>
      </c>
      <c r="CB29" s="71" t="s">
        <v>372</v>
      </c>
      <c r="CC29" s="71" t="s">
        <v>373</v>
      </c>
      <c r="CD29" s="71" t="s">
        <v>374</v>
      </c>
      <c r="CE29" s="71" t="s">
        <v>375</v>
      </c>
      <c r="CF29" s="71" t="s">
        <v>376</v>
      </c>
      <c r="CG29" s="71" t="s">
        <v>377</v>
      </c>
      <c r="CH29" s="71" t="s">
        <v>378</v>
      </c>
      <c r="CI29" s="71" t="s">
        <v>379</v>
      </c>
      <c r="CJ29" s="71" t="s">
        <v>380</v>
      </c>
      <c r="CK29" s="71" t="s">
        <v>381</v>
      </c>
      <c r="CL29" s="71" t="s">
        <v>382</v>
      </c>
      <c r="CM29" s="71" t="s">
        <v>383</v>
      </c>
      <c r="CN29" s="71" t="s">
        <v>385</v>
      </c>
      <c r="CO29" s="71"/>
      <c r="CP29" s="71"/>
      <c r="CQ29" s="71"/>
      <c r="CR29" s="71"/>
      <c r="CS29" s="71"/>
      <c r="CT29" s="71"/>
      <c r="CU29" s="71"/>
      <c r="CV29" s="71"/>
      <c r="CW29" s="71"/>
      <c r="CX29" s="71"/>
      <c r="CY29" s="71"/>
      <c r="CZ29" s="71"/>
      <c r="DA29" s="71"/>
      <c r="DB29" s="71"/>
      <c r="DC29" s="74">
        <f t="shared" si="2"/>
        <v>27</v>
      </c>
      <c r="DD29">
        <v>110</v>
      </c>
      <c r="DE29">
        <v>105</v>
      </c>
      <c r="DF29">
        <v>100</v>
      </c>
      <c r="DG29">
        <v>95</v>
      </c>
      <c r="DH29">
        <v>80</v>
      </c>
      <c r="DI29">
        <v>85</v>
      </c>
      <c r="DJ29">
        <v>75</v>
      </c>
      <c r="DK29">
        <v>70</v>
      </c>
      <c r="DL29">
        <v>75</v>
      </c>
      <c r="DM29">
        <v>80</v>
      </c>
      <c r="DN29">
        <v>85</v>
      </c>
      <c r="DO29">
        <v>90</v>
      </c>
      <c r="DP29">
        <v>95</v>
      </c>
      <c r="DQ29">
        <v>100</v>
      </c>
      <c r="DR29">
        <v>105</v>
      </c>
      <c r="EH29" s="78">
        <f t="shared" ref="EH29:EI41" si="25">IF(       AND($A$14="TARE",$A$15="TARE"),IF(DD29&gt;0,DD29-VLOOKUP($C29,$B$14:$K$15,COLUMN()-31),0),    IF(UPPER($A$14)="TARE",IF(DD29&gt;0,DD29-DD$14,0),DD29)        )</f>
        <v>110</v>
      </c>
      <c r="EI29" s="78">
        <f t="shared" si="25"/>
        <v>105</v>
      </c>
      <c r="EJ29" s="78">
        <f t="shared" ref="EJ29" si="26">IF(       AND($A$14="TARE",$A$15="TARE"),IF(DF29&gt;0,DF29-VLOOKUP($C29,$B$14:$K$15,COLUMN()-31),0),    IF(UPPER($A$14)="TARE",IF(DF29&gt;0,DF29-DF$14,0),DF29)        )</f>
        <v>100</v>
      </c>
      <c r="EK29" s="78">
        <f t="shared" ref="EK29" si="27">IF(       AND($A$14="TARE",$A$15="TARE"),IF(DG29&gt;0,DG29-VLOOKUP($C29,$B$14:$K$15,COLUMN()-31),0),    IF(UPPER($A$14)="TARE",IF(DG29&gt;0,DG29-DG$14,0),DG29)        )</f>
        <v>95</v>
      </c>
      <c r="EL29" s="78">
        <f t="shared" ref="EL29" si="28">IF(       AND($A$14="TARE",$A$15="TARE"),IF(DH29&gt;0,DH29-VLOOKUP($C29,$B$14:$K$15,COLUMN()-31),0),    IF(UPPER($A$14)="TARE",IF(DH29&gt;0,DH29-DH$14,0),DH29)        )</f>
        <v>80</v>
      </c>
      <c r="EM29" s="78">
        <f t="shared" ref="EM29" si="29">IF(       AND($A$14="TARE",$A$15="TARE"),IF(DI29&gt;0,DI29-VLOOKUP($C29,$B$14:$K$15,COLUMN()-31),0),    IF(UPPER($A$14)="TARE",IF(DI29&gt;0,DI29-DI$14,0),DI29)        )</f>
        <v>85</v>
      </c>
      <c r="EN29" s="78">
        <f t="shared" ref="EN29" si="30">IF(       AND($A$14="TARE",$A$15="TARE"),IF(DJ29&gt;0,DJ29-VLOOKUP($C29,$B$14:$K$15,COLUMN()-31),0),    IF(UPPER($A$14)="TARE",IF(DJ29&gt;0,DJ29-DJ$14,0),DJ29)        )</f>
        <v>75</v>
      </c>
      <c r="EO29" s="78">
        <f t="shared" ref="EO29" si="31">IF(       AND($A$14="TARE",$A$15="TARE"),IF(DK29&gt;0,DK29-VLOOKUP($C29,$B$14:$K$15,COLUMN()-31),0),    IF(UPPER($A$14)="TARE",IF(DK29&gt;0,DK29-DK$14,0),DK29)        )</f>
        <v>70</v>
      </c>
      <c r="EP29" s="78">
        <f t="shared" ref="EP29" si="32">IF(       AND($A$14="TARE",$A$15="TARE"),IF(DL29&gt;0,DL29-VLOOKUP($C29,$B$14:$K$15,COLUMN()-31),0),    IF(UPPER($A$14)="TARE",IF(DL29&gt;0,DL29-DL$14,0),DL29)        )</f>
        <v>75</v>
      </c>
      <c r="EQ29" s="78">
        <f t="shared" ref="EQ29" si="33">IF(       AND($A$14="TARE",$A$15="TARE"),IF(DM29&gt;0,DM29-VLOOKUP($C29,$B$14:$K$15,COLUMN()-31),0),    IF(UPPER($A$14)="TARE",IF(DM29&gt;0,DM29-DM$14,0),DM29)        )</f>
        <v>80</v>
      </c>
      <c r="ER29" s="78">
        <f t="shared" ref="ER29" si="34">IF(       AND($A$14="TARE",$A$15="TARE"),IF(DN29&gt;0,DN29-VLOOKUP($C29,$B$14:$K$15,COLUMN()-31),0),    IF(UPPER($A$14)="TARE",IF(DN29&gt;0,DN29-DN$14,0),DN29)        )</f>
        <v>85</v>
      </c>
      <c r="ES29" s="78">
        <f t="shared" ref="ES29" si="35">IF(       AND($A$14="TARE",$A$15="TARE"),IF(DO29&gt;0,DO29-VLOOKUP($C29,$B$14:$K$15,COLUMN()-31),0),    IF(UPPER($A$14)="TARE",IF(DO29&gt;0,DO29-DO$14,0),DO29)        )</f>
        <v>90</v>
      </c>
      <c r="ET29" s="78">
        <f t="shared" ref="ET29" si="36">IF(       AND($A$14="TARE",$A$15="TARE"),IF(DP29&gt;0,DP29-VLOOKUP($C29,$B$14:$K$15,COLUMN()-31),0),    IF(UPPER($A$14)="TARE",IF(DP29&gt;0,DP29-DP$14,0),DP29)        )</f>
        <v>95</v>
      </c>
      <c r="EU29" s="78">
        <f t="shared" ref="EU29" si="37">IF(       AND($A$14="TARE",$A$15="TARE"),IF(DQ29&gt;0,DQ29-VLOOKUP($C29,$B$14:$K$15,COLUMN()-31),0),    IF(UPPER($A$14)="TARE",IF(DQ29&gt;0,DQ29-DQ$14,0),DQ29)        )</f>
        <v>100</v>
      </c>
      <c r="EV29" s="78">
        <f t="shared" ref="EV29" si="38">IF(       AND($A$14="TARE",$A$15="TARE"),IF(DR29&gt;0,DR29-VLOOKUP($C29,$B$14:$K$15,COLUMN()-31),0),    IF(UPPER($A$14)="TARE",IF(DR29&gt;0,DR29-DR$14,0),DR29)        )</f>
        <v>105</v>
      </c>
      <c r="EW29" s="78"/>
      <c r="EX29" s="78"/>
      <c r="EY29" s="78"/>
      <c r="EZ29" s="78"/>
      <c r="FA29" s="78"/>
      <c r="FB29" s="78"/>
      <c r="FD29" s="80">
        <f t="shared" ref="FD29:FD40" si="39">EH29/SUM(EH29:FB29)*100</f>
        <v>8.1481481481481488</v>
      </c>
      <c r="FE29" s="80">
        <f t="shared" ref="FE29:FE40" si="40">EI29/SUM(EH29:FB29)*100</f>
        <v>7.7777777777777777</v>
      </c>
      <c r="FF29" s="80">
        <f t="shared" ref="FF29:FF40" si="41">EJ29/SUM(EH29:FB29)*100</f>
        <v>7.4074074074074066</v>
      </c>
      <c r="FG29" s="80">
        <f t="shared" ref="FG29:FG40" si="42">EK29/SUM(EH29:FB29)*100</f>
        <v>7.0370370370370372</v>
      </c>
      <c r="FH29" s="80">
        <f t="shared" ref="FH29:FH40" si="43">EL29/SUM(EH29:FB29)*100</f>
        <v>5.9259259259259265</v>
      </c>
      <c r="FI29" s="80">
        <f t="shared" ref="FI29:FI40" si="44">EM29/SUM(EH29:FB29)*100</f>
        <v>6.2962962962962958</v>
      </c>
      <c r="FJ29" s="80">
        <f t="shared" ref="FJ29:FJ40" si="45">EN29/SUM(EH29:FB29)*100</f>
        <v>5.5555555555555554</v>
      </c>
      <c r="FK29" s="80">
        <f t="shared" ref="FK29:FK40" si="46">EO29/SUM(EH29:FB29)*100</f>
        <v>5.1851851851851851</v>
      </c>
      <c r="FL29" s="80">
        <f t="shared" ref="FL29:FL40" si="47">EP29/SUM(EH29:FB29)*100</f>
        <v>5.5555555555555554</v>
      </c>
      <c r="FM29" s="80">
        <f t="shared" ref="FM29:FM40" si="48">EQ29/SUM(EH29:FB29)*100</f>
        <v>5.9259259259259265</v>
      </c>
      <c r="FN29" s="80">
        <f t="shared" ref="FN29:FN40" si="49">ER29/SUM(EH29:FB29)*100</f>
        <v>6.2962962962962958</v>
      </c>
      <c r="FO29" s="80">
        <f t="shared" ref="FO29:FO40" si="50">ES29/SUM(EH29:FB29)*100</f>
        <v>6.666666666666667</v>
      </c>
      <c r="FP29" s="80">
        <f t="shared" ref="FP29:FP40" si="51">ET29/SUM(EH29:FB29)*100</f>
        <v>7.0370370370370372</v>
      </c>
      <c r="FQ29" s="80">
        <f t="shared" ref="FQ29:FQ40" si="52">EU29/SUM(EH29:FB29)*100</f>
        <v>7.4074074074074066</v>
      </c>
      <c r="FR29" s="80">
        <f t="shared" ref="FR29:FR40" si="53">EV29/SUM(EH29:FB29)*100</f>
        <v>7.7777777777777777</v>
      </c>
      <c r="FS29" s="80">
        <f t="shared" ref="FS29:FS40" si="54">EW29/SUM(EH29:FB29)*100</f>
        <v>0</v>
      </c>
      <c r="FT29" s="80">
        <f t="shared" ref="FT29:FT40" si="55">EX29/SUM(EH29:FB29)*100</f>
        <v>0</v>
      </c>
      <c r="FU29" s="80">
        <f t="shared" ref="FU29:FU40" si="56">EY29/SUM(EH29:FB29)*100</f>
        <v>0</v>
      </c>
      <c r="FV29" s="80">
        <f t="shared" ref="FV29:FV40" si="57">EZ29/SUM(EH29:FB29)*100</f>
        <v>0</v>
      </c>
      <c r="FW29" s="80">
        <f t="shared" ref="FW29:FW40" si="58">FA29/SUM(EH29:FB29)*100</f>
        <v>0</v>
      </c>
      <c r="FX29" s="80">
        <f t="shared" ref="FX29:FX40" si="59">FB29/SUM(EH29:FB29)*100</f>
        <v>0</v>
      </c>
    </row>
    <row r="30" spans="1:190" ht="15.6" thickTop="1" thickBot="1" x14ac:dyDescent="0.35">
      <c r="A30" s="62">
        <f t="shared" si="3"/>
        <v>28</v>
      </c>
      <c r="B30" s="99" t="s">
        <v>287</v>
      </c>
      <c r="C30" s="62" t="str">
        <f t="shared" si="0"/>
        <v xml:space="preserve">28: PSA dry sieve 32mm - 1mm @ 1/2 phi intervals                               </v>
      </c>
      <c r="D30" s="63">
        <f t="shared" si="4"/>
        <v>1</v>
      </c>
      <c r="E30" s="62">
        <v>1</v>
      </c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4">
        <f t="shared" si="20"/>
        <v>12</v>
      </c>
      <c r="Z30" s="66" t="s">
        <v>149</v>
      </c>
      <c r="AA30" s="66" t="s">
        <v>288</v>
      </c>
      <c r="AB30" s="66" t="s">
        <v>150</v>
      </c>
      <c r="AC30" s="66" t="s">
        <v>160</v>
      </c>
      <c r="AD30" s="66" t="s">
        <v>151</v>
      </c>
      <c r="AE30" s="66" t="s">
        <v>152</v>
      </c>
      <c r="AF30" s="66" t="s">
        <v>153</v>
      </c>
      <c r="AG30" s="66" t="s">
        <v>154</v>
      </c>
      <c r="AH30" s="66" t="s">
        <v>236</v>
      </c>
      <c r="AI30" s="66" t="s">
        <v>223</v>
      </c>
      <c r="AJ30" s="66" t="s">
        <v>162</v>
      </c>
      <c r="AK30" s="66" t="s">
        <v>155</v>
      </c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71" t="s">
        <v>149</v>
      </c>
      <c r="BE30" s="71" t="s">
        <v>288</v>
      </c>
      <c r="BF30" s="71" t="s">
        <v>150</v>
      </c>
      <c r="BG30" s="71" t="s">
        <v>160</v>
      </c>
      <c r="BH30" s="71" t="s">
        <v>151</v>
      </c>
      <c r="BI30" s="71" t="s">
        <v>152</v>
      </c>
      <c r="BJ30" s="71" t="s">
        <v>153</v>
      </c>
      <c r="BK30" s="71" t="s">
        <v>154</v>
      </c>
      <c r="BL30" s="71" t="s">
        <v>236</v>
      </c>
      <c r="BM30" s="71" t="s">
        <v>223</v>
      </c>
      <c r="BN30" s="71" t="s">
        <v>162</v>
      </c>
      <c r="BO30" s="71" t="s">
        <v>155</v>
      </c>
      <c r="BP30" s="71"/>
      <c r="BQ30" s="71"/>
      <c r="BR30" s="71"/>
      <c r="BS30" s="71"/>
      <c r="BT30" s="71"/>
      <c r="BU30" s="71"/>
      <c r="BV30" s="71"/>
      <c r="BW30" s="71"/>
      <c r="BX30" s="71"/>
      <c r="BY30" s="71"/>
      <c r="BZ30" s="71" t="s">
        <v>374</v>
      </c>
      <c r="CA30" s="71" t="s">
        <v>386</v>
      </c>
      <c r="CB30" s="71" t="s">
        <v>376</v>
      </c>
      <c r="CC30" s="71" t="s">
        <v>387</v>
      </c>
      <c r="CD30" s="71" t="s">
        <v>378</v>
      </c>
      <c r="CE30" s="71" t="s">
        <v>379</v>
      </c>
      <c r="CF30" s="71" t="s">
        <v>380</v>
      </c>
      <c r="CG30" s="71" t="s">
        <v>381</v>
      </c>
      <c r="CH30" s="71" t="s">
        <v>382</v>
      </c>
      <c r="CI30" s="71" t="s">
        <v>383</v>
      </c>
      <c r="CJ30" s="71" t="s">
        <v>365</v>
      </c>
      <c r="CK30" s="71" t="s">
        <v>385</v>
      </c>
      <c r="CL30" s="71"/>
      <c r="CM30" s="71"/>
      <c r="CN30" s="71"/>
      <c r="CO30" s="71"/>
      <c r="CP30" s="71"/>
      <c r="CQ30" s="71"/>
      <c r="CR30" s="71"/>
      <c r="CS30" s="71"/>
      <c r="CT30" s="71"/>
      <c r="CU30" s="71"/>
      <c r="CV30" s="71"/>
      <c r="CW30" s="71"/>
      <c r="CX30" s="71"/>
      <c r="CY30" s="71"/>
      <c r="CZ30" s="71"/>
      <c r="DA30" s="71"/>
      <c r="DB30" s="71"/>
      <c r="DC30" s="74">
        <f t="shared" si="2"/>
        <v>28</v>
      </c>
      <c r="DD30">
        <v>110</v>
      </c>
      <c r="DE30">
        <v>105</v>
      </c>
      <c r="DF30">
        <v>100</v>
      </c>
      <c r="DG30">
        <v>95</v>
      </c>
      <c r="DH30">
        <v>80</v>
      </c>
      <c r="DI30">
        <v>85</v>
      </c>
      <c r="DJ30">
        <v>75</v>
      </c>
      <c r="DK30">
        <v>70</v>
      </c>
      <c r="DL30">
        <v>75</v>
      </c>
      <c r="DM30">
        <v>80</v>
      </c>
      <c r="DN30">
        <v>85</v>
      </c>
      <c r="DO30">
        <v>90</v>
      </c>
      <c r="EH30" s="78">
        <f t="shared" si="25"/>
        <v>110</v>
      </c>
      <c r="EI30" s="78">
        <f t="shared" si="25"/>
        <v>105</v>
      </c>
      <c r="EJ30" s="78">
        <f t="shared" ref="EJ30" si="60">IF(       AND($A$14="TARE",$A$15="TARE"),IF(DF30&gt;0,DF30-VLOOKUP($C30,$B$14:$K$15,COLUMN()-31),0),    IF(UPPER($A$14)="TARE",IF(DF30&gt;0,DF30-DF$14,0),DF30)        )</f>
        <v>100</v>
      </c>
      <c r="EK30" s="78">
        <f t="shared" ref="EK30" si="61">IF(       AND($A$14="TARE",$A$15="TARE"),IF(DG30&gt;0,DG30-VLOOKUP($C30,$B$14:$K$15,COLUMN()-31),0),    IF(UPPER($A$14)="TARE",IF(DG30&gt;0,DG30-DG$14,0),DG30)        )</f>
        <v>95</v>
      </c>
      <c r="EL30" s="78">
        <f t="shared" ref="EL30" si="62">IF(       AND($A$14="TARE",$A$15="TARE"),IF(DH30&gt;0,DH30-VLOOKUP($C30,$B$14:$K$15,COLUMN()-31),0),    IF(UPPER($A$14)="TARE",IF(DH30&gt;0,DH30-DH$14,0),DH30)        )</f>
        <v>80</v>
      </c>
      <c r="EM30" s="78">
        <f t="shared" ref="EM30" si="63">IF(       AND($A$14="TARE",$A$15="TARE"),IF(DI30&gt;0,DI30-VLOOKUP($C30,$B$14:$K$15,COLUMN()-31),0),    IF(UPPER($A$14)="TARE",IF(DI30&gt;0,DI30-DI$14,0),DI30)        )</f>
        <v>85</v>
      </c>
      <c r="EN30" s="78">
        <f t="shared" ref="EN30" si="64">IF(       AND($A$14="TARE",$A$15="TARE"),IF(DJ30&gt;0,DJ30-VLOOKUP($C30,$B$14:$K$15,COLUMN()-31),0),    IF(UPPER($A$14)="TARE",IF(DJ30&gt;0,DJ30-DJ$14,0),DJ30)        )</f>
        <v>75</v>
      </c>
      <c r="EO30" s="78">
        <f t="shared" ref="EO30" si="65">IF(       AND($A$14="TARE",$A$15="TARE"),IF(DK30&gt;0,DK30-VLOOKUP($C30,$B$14:$K$15,COLUMN()-31),0),    IF(UPPER($A$14)="TARE",IF(DK30&gt;0,DK30-DK$14,0),DK30)        )</f>
        <v>70</v>
      </c>
      <c r="EP30" s="78">
        <f t="shared" ref="EP30" si="66">IF(       AND($A$14="TARE",$A$15="TARE"),IF(DL30&gt;0,DL30-VLOOKUP($C30,$B$14:$K$15,COLUMN()-31),0),    IF(UPPER($A$14)="TARE",IF(DL30&gt;0,DL30-DL$14,0),DL30)        )</f>
        <v>75</v>
      </c>
      <c r="EQ30" s="78">
        <f t="shared" ref="EQ30" si="67">IF(       AND($A$14="TARE",$A$15="TARE"),IF(DM30&gt;0,DM30-VLOOKUP($C30,$B$14:$K$15,COLUMN()-31),0),    IF(UPPER($A$14)="TARE",IF(DM30&gt;0,DM30-DM$14,0),DM30)        )</f>
        <v>80</v>
      </c>
      <c r="ER30" s="78">
        <f t="shared" ref="ER30" si="68">IF(       AND($A$14="TARE",$A$15="TARE"),IF(DN30&gt;0,DN30-VLOOKUP($C30,$B$14:$K$15,COLUMN()-31),0),    IF(UPPER($A$14)="TARE",IF(DN30&gt;0,DN30-DN$14,0),DN30)        )</f>
        <v>85</v>
      </c>
      <c r="ES30" s="78">
        <f t="shared" ref="ES30" si="69">IF(       AND($A$14="TARE",$A$15="TARE"),IF(DO30&gt;0,DO30-VLOOKUP($C30,$B$14:$K$15,COLUMN()-31),0),    IF(UPPER($A$14)="TARE",IF(DO30&gt;0,DO30-DO$14,0),DO30)        )</f>
        <v>90</v>
      </c>
      <c r="ET30" s="78"/>
      <c r="EU30" s="78"/>
      <c r="EV30" s="78"/>
      <c r="EW30" s="78"/>
      <c r="EX30" s="78"/>
      <c r="EY30" s="78"/>
      <c r="EZ30" s="78"/>
      <c r="FA30" s="78"/>
      <c r="FB30" s="78"/>
      <c r="FD30" s="80">
        <f t="shared" si="39"/>
        <v>10.476190476190476</v>
      </c>
      <c r="FE30" s="80">
        <f t="shared" si="40"/>
        <v>10</v>
      </c>
      <c r="FF30" s="80">
        <f t="shared" si="41"/>
        <v>9.5238095238095237</v>
      </c>
      <c r="FG30" s="80">
        <f t="shared" si="42"/>
        <v>9.0476190476190474</v>
      </c>
      <c r="FH30" s="80">
        <f t="shared" si="43"/>
        <v>7.6190476190476195</v>
      </c>
      <c r="FI30" s="80">
        <f t="shared" si="44"/>
        <v>8.0952380952380949</v>
      </c>
      <c r="FJ30" s="80">
        <f t="shared" si="45"/>
        <v>7.1428571428571423</v>
      </c>
      <c r="FK30" s="80">
        <f t="shared" si="46"/>
        <v>6.666666666666667</v>
      </c>
      <c r="FL30" s="80">
        <f t="shared" si="47"/>
        <v>7.1428571428571423</v>
      </c>
      <c r="FM30" s="80">
        <f t="shared" si="48"/>
        <v>7.6190476190476195</v>
      </c>
      <c r="FN30" s="80">
        <f t="shared" si="49"/>
        <v>8.0952380952380949</v>
      </c>
      <c r="FO30" s="80">
        <f t="shared" si="50"/>
        <v>8.5714285714285712</v>
      </c>
      <c r="FP30" s="80">
        <f t="shared" si="51"/>
        <v>0</v>
      </c>
      <c r="FQ30" s="80">
        <f t="shared" si="52"/>
        <v>0</v>
      </c>
      <c r="FR30" s="80">
        <f t="shared" si="53"/>
        <v>0</v>
      </c>
      <c r="FS30" s="80">
        <f t="shared" si="54"/>
        <v>0</v>
      </c>
      <c r="FT30" s="80">
        <f t="shared" si="55"/>
        <v>0</v>
      </c>
      <c r="FU30" s="80">
        <f t="shared" si="56"/>
        <v>0</v>
      </c>
      <c r="FV30" s="80">
        <f t="shared" si="57"/>
        <v>0</v>
      </c>
      <c r="FW30" s="80">
        <f t="shared" si="58"/>
        <v>0</v>
      </c>
      <c r="FX30" s="80">
        <f t="shared" si="59"/>
        <v>0</v>
      </c>
    </row>
    <row r="31" spans="1:190" ht="15.6" thickTop="1" thickBot="1" x14ac:dyDescent="0.35">
      <c r="A31" s="62">
        <f t="shared" si="3"/>
        <v>29</v>
      </c>
      <c r="B31" s="99" t="s">
        <v>113</v>
      </c>
      <c r="C31" s="62" t="str">
        <f t="shared" si="0"/>
        <v xml:space="preserve">29: PSA dry sieve 32mm - 1mm @ 1/4 phi intervals                               </v>
      </c>
      <c r="D31" s="63">
        <f t="shared" si="4"/>
        <v>1</v>
      </c>
      <c r="E31" s="62">
        <v>1</v>
      </c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4">
        <f t="shared" si="20"/>
        <v>19</v>
      </c>
      <c r="Z31" s="66" t="s">
        <v>149</v>
      </c>
      <c r="AA31" s="66" t="s">
        <v>150</v>
      </c>
      <c r="AB31" s="66" t="s">
        <v>238</v>
      </c>
      <c r="AC31" s="66" t="s">
        <v>160</v>
      </c>
      <c r="AD31" s="66" t="s">
        <v>239</v>
      </c>
      <c r="AE31" s="66" t="s">
        <v>151</v>
      </c>
      <c r="AF31" s="66" t="s">
        <v>240</v>
      </c>
      <c r="AG31" s="66" t="s">
        <v>152</v>
      </c>
      <c r="AH31" s="66" t="s">
        <v>234</v>
      </c>
      <c r="AI31" s="66" t="s">
        <v>153</v>
      </c>
      <c r="AJ31" s="66" t="s">
        <v>241</v>
      </c>
      <c r="AK31" s="66" t="s">
        <v>154</v>
      </c>
      <c r="AL31" s="66" t="s">
        <v>235</v>
      </c>
      <c r="AM31" s="66" t="s">
        <v>236</v>
      </c>
      <c r="AN31" s="66" t="s">
        <v>242</v>
      </c>
      <c r="AO31" s="66" t="s">
        <v>223</v>
      </c>
      <c r="AP31" s="66" t="s">
        <v>243</v>
      </c>
      <c r="AQ31" s="66" t="s">
        <v>162</v>
      </c>
      <c r="AR31" s="66" t="s">
        <v>155</v>
      </c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71" t="s">
        <v>149</v>
      </c>
      <c r="BE31" s="71" t="s">
        <v>150</v>
      </c>
      <c r="BF31" s="71" t="s">
        <v>238</v>
      </c>
      <c r="BG31" s="71" t="s">
        <v>160</v>
      </c>
      <c r="BH31" s="71" t="s">
        <v>239</v>
      </c>
      <c r="BI31" s="71" t="s">
        <v>151</v>
      </c>
      <c r="BJ31" s="71" t="s">
        <v>240</v>
      </c>
      <c r="BK31" s="71" t="s">
        <v>152</v>
      </c>
      <c r="BL31" s="71" t="s">
        <v>234</v>
      </c>
      <c r="BM31" s="71" t="s">
        <v>153</v>
      </c>
      <c r="BN31" s="71" t="s">
        <v>241</v>
      </c>
      <c r="BO31" s="71" t="s">
        <v>154</v>
      </c>
      <c r="BP31" s="71" t="s">
        <v>235</v>
      </c>
      <c r="BQ31" s="71" t="s">
        <v>236</v>
      </c>
      <c r="BR31" s="71" t="s">
        <v>242</v>
      </c>
      <c r="BS31" s="71" t="s">
        <v>223</v>
      </c>
      <c r="BT31" s="71" t="s">
        <v>243</v>
      </c>
      <c r="BU31" s="71" t="s">
        <v>162</v>
      </c>
      <c r="BV31" s="71" t="s">
        <v>155</v>
      </c>
      <c r="BW31" s="71"/>
      <c r="BX31" s="71"/>
      <c r="BY31" s="71"/>
      <c r="BZ31" s="71" t="s">
        <v>374</v>
      </c>
      <c r="CA31" s="71" t="s">
        <v>376</v>
      </c>
      <c r="CB31" s="71" t="s">
        <v>388</v>
      </c>
      <c r="CC31" s="71" t="s">
        <v>387</v>
      </c>
      <c r="CD31" s="71" t="s">
        <v>389</v>
      </c>
      <c r="CE31" s="71" t="s">
        <v>378</v>
      </c>
      <c r="CF31" s="71" t="s">
        <v>390</v>
      </c>
      <c r="CG31" s="71" t="s">
        <v>379</v>
      </c>
      <c r="CH31" s="71" t="s">
        <v>391</v>
      </c>
      <c r="CI31" s="71" t="s">
        <v>380</v>
      </c>
      <c r="CJ31" s="71" t="s">
        <v>392</v>
      </c>
      <c r="CK31" s="71" t="s">
        <v>381</v>
      </c>
      <c r="CL31" s="71" t="s">
        <v>393</v>
      </c>
      <c r="CM31" s="71" t="s">
        <v>382</v>
      </c>
      <c r="CN31" s="71" t="s">
        <v>394</v>
      </c>
      <c r="CO31" s="71" t="s">
        <v>383</v>
      </c>
      <c r="CP31" s="71" t="s">
        <v>395</v>
      </c>
      <c r="CQ31" s="71" t="s">
        <v>365</v>
      </c>
      <c r="CR31" s="71" t="s">
        <v>385</v>
      </c>
      <c r="CS31" s="71"/>
      <c r="CT31" s="71"/>
      <c r="CU31" s="71"/>
      <c r="CV31" s="71"/>
      <c r="CW31" s="71"/>
      <c r="CX31" s="71"/>
      <c r="CY31" s="71"/>
      <c r="CZ31" s="71"/>
      <c r="DA31" s="71"/>
      <c r="DB31" s="71"/>
      <c r="DC31" s="74">
        <f t="shared" si="2"/>
        <v>29</v>
      </c>
      <c r="DD31">
        <v>110</v>
      </c>
      <c r="DE31">
        <v>105</v>
      </c>
      <c r="DF31">
        <v>100</v>
      </c>
      <c r="DG31">
        <v>95</v>
      </c>
      <c r="DH31">
        <v>80</v>
      </c>
      <c r="DI31">
        <v>85</v>
      </c>
      <c r="DJ31">
        <v>75</v>
      </c>
      <c r="DK31">
        <v>70</v>
      </c>
      <c r="DL31">
        <v>75</v>
      </c>
      <c r="DM31">
        <v>80</v>
      </c>
      <c r="DN31">
        <v>85</v>
      </c>
      <c r="DO31">
        <v>90</v>
      </c>
      <c r="DP31">
        <v>95</v>
      </c>
      <c r="DQ31">
        <v>100</v>
      </c>
      <c r="DR31">
        <v>105</v>
      </c>
      <c r="DS31">
        <v>110</v>
      </c>
      <c r="DT31">
        <v>115</v>
      </c>
      <c r="DU31">
        <v>120</v>
      </c>
      <c r="DV31">
        <v>125</v>
      </c>
      <c r="EH31" s="78">
        <f t="shared" si="25"/>
        <v>110</v>
      </c>
      <c r="EI31" s="78">
        <f t="shared" si="25"/>
        <v>105</v>
      </c>
      <c r="EJ31" s="78">
        <f t="shared" ref="EJ31:EJ32" si="70">IF(       AND($A$14="TARE",$A$15="TARE"),IF(DF31&gt;0,DF31-VLOOKUP($C31,$B$14:$K$15,COLUMN()-31),0),    IF(UPPER($A$14)="TARE",IF(DF31&gt;0,DF31-DF$14,0),DF31)        )</f>
        <v>100</v>
      </c>
      <c r="EK31" s="78">
        <f t="shared" ref="EK31:EK32" si="71">IF(       AND($A$14="TARE",$A$15="TARE"),IF(DG31&gt;0,DG31-VLOOKUP($C31,$B$14:$K$15,COLUMN()-31),0),    IF(UPPER($A$14)="TARE",IF(DG31&gt;0,DG31-DG$14,0),DG31)        )</f>
        <v>95</v>
      </c>
      <c r="EL31" s="78">
        <f t="shared" ref="EL31:EL32" si="72">IF(       AND($A$14="TARE",$A$15="TARE"),IF(DH31&gt;0,DH31-VLOOKUP($C31,$B$14:$K$15,COLUMN()-31),0),    IF(UPPER($A$14)="TARE",IF(DH31&gt;0,DH31-DH$14,0),DH31)        )</f>
        <v>80</v>
      </c>
      <c r="EM31" s="78">
        <f t="shared" ref="EM31:EM32" si="73">IF(       AND($A$14="TARE",$A$15="TARE"),IF(DI31&gt;0,DI31-VLOOKUP($C31,$B$14:$K$15,COLUMN()-31),0),    IF(UPPER($A$14)="TARE",IF(DI31&gt;0,DI31-DI$14,0),DI31)        )</f>
        <v>85</v>
      </c>
      <c r="EN31" s="78">
        <f t="shared" ref="EN31:EN32" si="74">IF(       AND($A$14="TARE",$A$15="TARE"),IF(DJ31&gt;0,DJ31-VLOOKUP($C31,$B$14:$K$15,COLUMN()-31),0),    IF(UPPER($A$14)="TARE",IF(DJ31&gt;0,DJ31-DJ$14,0),DJ31)        )</f>
        <v>75</v>
      </c>
      <c r="EO31" s="78">
        <f t="shared" ref="EO31:EO32" si="75">IF(       AND($A$14="TARE",$A$15="TARE"),IF(DK31&gt;0,DK31-VLOOKUP($C31,$B$14:$K$15,COLUMN()-31),0),    IF(UPPER($A$14)="TARE",IF(DK31&gt;0,DK31-DK$14,0),DK31)        )</f>
        <v>70</v>
      </c>
      <c r="EP31" s="78">
        <f t="shared" ref="EP31:EP32" si="76">IF(       AND($A$14="TARE",$A$15="TARE"),IF(DL31&gt;0,DL31-VLOOKUP($C31,$B$14:$K$15,COLUMN()-31),0),    IF(UPPER($A$14)="TARE",IF(DL31&gt;0,DL31-DL$14,0),DL31)        )</f>
        <v>75</v>
      </c>
      <c r="EQ31" s="78">
        <f t="shared" ref="EQ31:EQ32" si="77">IF(       AND($A$14="TARE",$A$15="TARE"),IF(DM31&gt;0,DM31-VLOOKUP($C31,$B$14:$K$15,COLUMN()-31),0),    IF(UPPER($A$14)="TARE",IF(DM31&gt;0,DM31-DM$14,0),DM31)        )</f>
        <v>80</v>
      </c>
      <c r="ER31" s="78">
        <f t="shared" ref="ER31:ER32" si="78">IF(       AND($A$14="TARE",$A$15="TARE"),IF(DN31&gt;0,DN31-VLOOKUP($C31,$B$14:$K$15,COLUMN()-31),0),    IF(UPPER($A$14)="TARE",IF(DN31&gt;0,DN31-DN$14,0),DN31)        )</f>
        <v>85</v>
      </c>
      <c r="ES31" s="78">
        <f t="shared" ref="ES31:ES32" si="79">IF(       AND($A$14="TARE",$A$15="TARE"),IF(DO31&gt;0,DO31-VLOOKUP($C31,$B$14:$K$15,COLUMN()-31),0),    IF(UPPER($A$14)="TARE",IF(DO31&gt;0,DO31-DO$14,0),DO31)        )</f>
        <v>90</v>
      </c>
      <c r="ET31" s="78">
        <f t="shared" ref="ET31:ET32" si="80">IF(       AND($A$14="TARE",$A$15="TARE"),IF(DP31&gt;0,DP31-VLOOKUP($C31,$B$14:$K$15,COLUMN()-31),0),    IF(UPPER($A$14)="TARE",IF(DP31&gt;0,DP31-DP$14,0),DP31)        )</f>
        <v>95</v>
      </c>
      <c r="EU31" s="78">
        <f t="shared" ref="EU31:EU32" si="81">IF(       AND($A$14="TARE",$A$15="TARE"),IF(DQ31&gt;0,DQ31-VLOOKUP($C31,$B$14:$K$15,COLUMN()-31),0),    IF(UPPER($A$14)="TARE",IF(DQ31&gt;0,DQ31-DQ$14,0),DQ31)        )</f>
        <v>100</v>
      </c>
      <c r="EV31" s="78">
        <f t="shared" ref="EV31:EV32" si="82">IF(       AND($A$14="TARE",$A$15="TARE"),IF(DR31&gt;0,DR31-VLOOKUP($C31,$B$14:$K$15,COLUMN()-31),0),    IF(UPPER($A$14)="TARE",IF(DR31&gt;0,DR31-DR$14,0),DR31)        )</f>
        <v>105</v>
      </c>
      <c r="EW31" s="78">
        <f t="shared" ref="EW31" si="83">IF(       AND($A$14="TARE",$A$15="TARE"),IF(DS31&gt;0,DS31-VLOOKUP($C31,$B$14:$K$15,COLUMN()-31),0),    IF(UPPER($A$14)="TARE",IF(DS31&gt;0,DS31-DS$14,0),DS31)        )</f>
        <v>110</v>
      </c>
      <c r="EX31" s="78">
        <f t="shared" ref="EX31" si="84">IF(       AND($A$14="TARE",$A$15="TARE"),IF(DT31&gt;0,DT31-VLOOKUP($C31,$B$14:$K$15,COLUMN()-31),0),    IF(UPPER($A$14)="TARE",IF(DT31&gt;0,DT31-DT$14,0),DT31)        )</f>
        <v>115</v>
      </c>
      <c r="EY31" s="78">
        <f t="shared" ref="EY31" si="85">IF(       AND($A$14="TARE",$A$15="TARE"),IF(DU31&gt;0,DU31-VLOOKUP($C31,$B$14:$K$15,COLUMN()-31),0),    IF(UPPER($A$14)="TARE",IF(DU31&gt;0,DU31-DU$14,0),DU31)        )</f>
        <v>120</v>
      </c>
      <c r="EZ31" s="78">
        <f t="shared" ref="EZ31" si="86">IF(       AND($A$14="TARE",$A$15="TARE"),IF(DV31&gt;0,DV31-VLOOKUP($C31,$B$14:$K$15,COLUMN()-31),0),    IF(UPPER($A$14)="TARE",IF(DV31&gt;0,DV31-DV$14,0),DV31)        )</f>
        <v>125</v>
      </c>
      <c r="FA31" s="78"/>
      <c r="FB31" s="78"/>
      <c r="FD31" s="80">
        <f t="shared" si="39"/>
        <v>6.0439560439560438</v>
      </c>
      <c r="FE31" s="80">
        <f t="shared" si="40"/>
        <v>5.7692307692307692</v>
      </c>
      <c r="FF31" s="80">
        <f t="shared" si="41"/>
        <v>5.4945054945054945</v>
      </c>
      <c r="FG31" s="80">
        <f t="shared" si="42"/>
        <v>5.2197802197802199</v>
      </c>
      <c r="FH31" s="80">
        <f t="shared" si="43"/>
        <v>4.395604395604396</v>
      </c>
      <c r="FI31" s="80">
        <f t="shared" si="44"/>
        <v>4.6703296703296706</v>
      </c>
      <c r="FJ31" s="80">
        <f t="shared" si="45"/>
        <v>4.1208791208791204</v>
      </c>
      <c r="FK31" s="80">
        <f t="shared" si="46"/>
        <v>3.8461538461538463</v>
      </c>
      <c r="FL31" s="80">
        <f t="shared" si="47"/>
        <v>4.1208791208791204</v>
      </c>
      <c r="FM31" s="80">
        <f t="shared" si="48"/>
        <v>4.395604395604396</v>
      </c>
      <c r="FN31" s="80">
        <f t="shared" si="49"/>
        <v>4.6703296703296706</v>
      </c>
      <c r="FO31" s="80">
        <f t="shared" si="50"/>
        <v>4.9450549450549453</v>
      </c>
      <c r="FP31" s="80">
        <f t="shared" si="51"/>
        <v>5.2197802197802199</v>
      </c>
      <c r="FQ31" s="80">
        <f t="shared" si="52"/>
        <v>5.4945054945054945</v>
      </c>
      <c r="FR31" s="80">
        <f t="shared" si="53"/>
        <v>5.7692307692307692</v>
      </c>
      <c r="FS31" s="80">
        <f t="shared" si="54"/>
        <v>6.0439560439560438</v>
      </c>
      <c r="FT31" s="80">
        <f t="shared" si="55"/>
        <v>6.3186813186813184</v>
      </c>
      <c r="FU31" s="80">
        <f t="shared" si="56"/>
        <v>6.593406593406594</v>
      </c>
      <c r="FV31" s="80">
        <f t="shared" si="57"/>
        <v>6.8681318681318686</v>
      </c>
      <c r="FW31" s="80">
        <f t="shared" si="58"/>
        <v>0</v>
      </c>
      <c r="FX31" s="80">
        <f t="shared" si="59"/>
        <v>0</v>
      </c>
    </row>
    <row r="32" spans="1:190" ht="15.6" thickTop="1" thickBot="1" x14ac:dyDescent="0.35">
      <c r="A32" s="62">
        <f t="shared" si="3"/>
        <v>30</v>
      </c>
      <c r="B32" s="99" t="s">
        <v>112</v>
      </c>
      <c r="C32" s="62" t="str">
        <f t="shared" si="0"/>
        <v xml:space="preserve">30: PSA dry sieve 32mm - 0.71mm @ 1/4 phi intervals                            </v>
      </c>
      <c r="D32" s="63">
        <f t="shared" si="4"/>
        <v>1</v>
      </c>
      <c r="E32" s="62">
        <v>1</v>
      </c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4">
        <f t="shared" si="20"/>
        <v>14</v>
      </c>
      <c r="Z32" s="66" t="s">
        <v>149</v>
      </c>
      <c r="AA32" s="66" t="s">
        <v>150</v>
      </c>
      <c r="AB32" s="66" t="s">
        <v>160</v>
      </c>
      <c r="AC32" s="66" t="s">
        <v>151</v>
      </c>
      <c r="AD32" s="66" t="s">
        <v>152</v>
      </c>
      <c r="AE32" s="66" t="s">
        <v>234</v>
      </c>
      <c r="AF32" s="66" t="s">
        <v>153</v>
      </c>
      <c r="AG32" s="66" t="s">
        <v>154</v>
      </c>
      <c r="AH32" s="66" t="s">
        <v>235</v>
      </c>
      <c r="AI32" s="66" t="s">
        <v>236</v>
      </c>
      <c r="AJ32" s="66" t="s">
        <v>223</v>
      </c>
      <c r="AK32" s="66" t="s">
        <v>162</v>
      </c>
      <c r="AL32" s="66" t="s">
        <v>237</v>
      </c>
      <c r="AM32" s="66" t="s">
        <v>155</v>
      </c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71" t="s">
        <v>149</v>
      </c>
      <c r="BE32" s="71" t="s">
        <v>150</v>
      </c>
      <c r="BF32" s="71" t="s">
        <v>160</v>
      </c>
      <c r="BG32" s="71" t="s">
        <v>151</v>
      </c>
      <c r="BH32" s="71" t="s">
        <v>152</v>
      </c>
      <c r="BI32" s="71" t="s">
        <v>234</v>
      </c>
      <c r="BJ32" s="71" t="s">
        <v>153</v>
      </c>
      <c r="BK32" s="71" t="s">
        <v>154</v>
      </c>
      <c r="BL32" s="71" t="s">
        <v>235</v>
      </c>
      <c r="BM32" s="71" t="s">
        <v>236</v>
      </c>
      <c r="BN32" s="71" t="s">
        <v>223</v>
      </c>
      <c r="BO32" s="71" t="s">
        <v>162</v>
      </c>
      <c r="BP32" s="71" t="s">
        <v>237</v>
      </c>
      <c r="BQ32" s="71" t="s">
        <v>155</v>
      </c>
      <c r="BR32" s="71"/>
      <c r="BS32" s="71"/>
      <c r="BT32" s="71"/>
      <c r="BU32" s="71"/>
      <c r="BV32" s="71"/>
      <c r="BW32" s="71"/>
      <c r="BX32" s="71"/>
      <c r="BY32" s="71"/>
      <c r="BZ32" s="71" t="s">
        <v>374</v>
      </c>
      <c r="CA32" s="71" t="s">
        <v>376</v>
      </c>
      <c r="CB32" s="71" t="s">
        <v>387</v>
      </c>
      <c r="CC32" s="71" t="s">
        <v>378</v>
      </c>
      <c r="CD32" s="71" t="s">
        <v>379</v>
      </c>
      <c r="CE32" s="71" t="s">
        <v>391</v>
      </c>
      <c r="CF32" s="71" t="s">
        <v>380</v>
      </c>
      <c r="CG32" s="71" t="s">
        <v>381</v>
      </c>
      <c r="CH32" s="71" t="s">
        <v>393</v>
      </c>
      <c r="CI32" s="71" t="s">
        <v>382</v>
      </c>
      <c r="CJ32" s="71" t="s">
        <v>383</v>
      </c>
      <c r="CK32" s="71" t="s">
        <v>365</v>
      </c>
      <c r="CL32" s="71" t="s">
        <v>396</v>
      </c>
      <c r="CM32" s="71" t="s">
        <v>385</v>
      </c>
      <c r="CN32" s="71"/>
      <c r="CO32" s="71"/>
      <c r="CP32" s="71"/>
      <c r="CQ32" s="71"/>
      <c r="CR32" s="71"/>
      <c r="CS32" s="71"/>
      <c r="CT32" s="71"/>
      <c r="CU32" s="71"/>
      <c r="CV32" s="71"/>
      <c r="CW32" s="71"/>
      <c r="CX32" s="71"/>
      <c r="CY32" s="71"/>
      <c r="CZ32" s="71"/>
      <c r="DA32" s="71"/>
      <c r="DB32" s="71"/>
      <c r="DC32" s="74">
        <f t="shared" si="2"/>
        <v>30</v>
      </c>
      <c r="DD32">
        <v>110</v>
      </c>
      <c r="DE32">
        <v>105</v>
      </c>
      <c r="DF32">
        <v>100</v>
      </c>
      <c r="DG32">
        <v>95</v>
      </c>
      <c r="DH32">
        <v>80</v>
      </c>
      <c r="DI32">
        <v>85</v>
      </c>
      <c r="DJ32">
        <v>75</v>
      </c>
      <c r="DK32">
        <v>70</v>
      </c>
      <c r="DL32">
        <v>75</v>
      </c>
      <c r="DM32">
        <v>80</v>
      </c>
      <c r="DN32">
        <v>85</v>
      </c>
      <c r="DO32">
        <v>90</v>
      </c>
      <c r="DP32">
        <v>95</v>
      </c>
      <c r="DQ32">
        <v>100</v>
      </c>
      <c r="DR32">
        <v>105</v>
      </c>
      <c r="EH32" s="78">
        <f t="shared" si="25"/>
        <v>110</v>
      </c>
      <c r="EI32" s="78">
        <f t="shared" si="25"/>
        <v>105</v>
      </c>
      <c r="EJ32" s="78">
        <f t="shared" si="70"/>
        <v>100</v>
      </c>
      <c r="EK32" s="78">
        <f t="shared" si="71"/>
        <v>95</v>
      </c>
      <c r="EL32" s="78">
        <f t="shared" si="72"/>
        <v>80</v>
      </c>
      <c r="EM32" s="78">
        <f t="shared" si="73"/>
        <v>85</v>
      </c>
      <c r="EN32" s="78">
        <f t="shared" si="74"/>
        <v>75</v>
      </c>
      <c r="EO32" s="78">
        <f t="shared" si="75"/>
        <v>70</v>
      </c>
      <c r="EP32" s="78">
        <f t="shared" si="76"/>
        <v>75</v>
      </c>
      <c r="EQ32" s="78">
        <f t="shared" si="77"/>
        <v>80</v>
      </c>
      <c r="ER32" s="78">
        <f t="shared" si="78"/>
        <v>85</v>
      </c>
      <c r="ES32" s="78">
        <f t="shared" si="79"/>
        <v>90</v>
      </c>
      <c r="ET32" s="78">
        <f t="shared" si="80"/>
        <v>95</v>
      </c>
      <c r="EU32" s="78">
        <f t="shared" si="81"/>
        <v>100</v>
      </c>
      <c r="EV32" s="78">
        <f t="shared" si="82"/>
        <v>105</v>
      </c>
      <c r="EW32" s="78"/>
      <c r="EX32" s="78"/>
      <c r="EY32" s="78"/>
      <c r="EZ32" s="78"/>
      <c r="FA32" s="78"/>
      <c r="FB32" s="78"/>
      <c r="FD32" s="80">
        <f t="shared" si="39"/>
        <v>8.1481481481481488</v>
      </c>
      <c r="FE32" s="80">
        <f t="shared" si="40"/>
        <v>7.7777777777777777</v>
      </c>
      <c r="FF32" s="80">
        <f t="shared" si="41"/>
        <v>7.4074074074074066</v>
      </c>
      <c r="FG32" s="80">
        <f t="shared" si="42"/>
        <v>7.0370370370370372</v>
      </c>
      <c r="FH32" s="80">
        <f t="shared" si="43"/>
        <v>5.9259259259259265</v>
      </c>
      <c r="FI32" s="80">
        <f t="shared" si="44"/>
        <v>6.2962962962962958</v>
      </c>
      <c r="FJ32" s="80">
        <f t="shared" si="45"/>
        <v>5.5555555555555554</v>
      </c>
      <c r="FK32" s="80">
        <f t="shared" si="46"/>
        <v>5.1851851851851851</v>
      </c>
      <c r="FL32" s="80">
        <f t="shared" si="47"/>
        <v>5.5555555555555554</v>
      </c>
      <c r="FM32" s="80">
        <f t="shared" si="48"/>
        <v>5.9259259259259265</v>
      </c>
      <c r="FN32" s="80">
        <f t="shared" si="49"/>
        <v>6.2962962962962958</v>
      </c>
      <c r="FO32" s="80">
        <f t="shared" si="50"/>
        <v>6.666666666666667</v>
      </c>
      <c r="FP32" s="80">
        <f t="shared" si="51"/>
        <v>7.0370370370370372</v>
      </c>
      <c r="FQ32" s="80">
        <f t="shared" si="52"/>
        <v>7.4074074074074066</v>
      </c>
      <c r="FR32" s="80">
        <f t="shared" si="53"/>
        <v>7.7777777777777777</v>
      </c>
      <c r="FS32" s="80">
        <f t="shared" si="54"/>
        <v>0</v>
      </c>
      <c r="FT32" s="80">
        <f t="shared" si="55"/>
        <v>0</v>
      </c>
      <c r="FU32" s="80">
        <f t="shared" si="56"/>
        <v>0</v>
      </c>
      <c r="FV32" s="80">
        <f t="shared" si="57"/>
        <v>0</v>
      </c>
      <c r="FW32" s="80">
        <f t="shared" si="58"/>
        <v>0</v>
      </c>
      <c r="FX32" s="80">
        <f t="shared" si="59"/>
        <v>0</v>
      </c>
    </row>
    <row r="33" spans="1:180" ht="15.6" thickTop="1" thickBot="1" x14ac:dyDescent="0.35">
      <c r="A33" s="62">
        <f t="shared" si="3"/>
        <v>31</v>
      </c>
      <c r="B33" s="99" t="s">
        <v>289</v>
      </c>
      <c r="C33" s="62" t="str">
        <f t="shared" si="0"/>
        <v>31: PSA dry sieve 32-8@ 1-phi then 1/2-phi below 8mm 32 - 2mm + pan</v>
      </c>
      <c r="D33" s="63">
        <f t="shared" si="4"/>
        <v>1</v>
      </c>
      <c r="E33" s="62">
        <v>1</v>
      </c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4">
        <f t="shared" si="20"/>
        <v>8</v>
      </c>
      <c r="Z33" s="66" t="s">
        <v>149</v>
      </c>
      <c r="AA33" s="66" t="s">
        <v>156</v>
      </c>
      <c r="AB33" s="66" t="s">
        <v>157</v>
      </c>
      <c r="AC33" s="66" t="s">
        <v>152</v>
      </c>
      <c r="AD33" s="66" t="s">
        <v>158</v>
      </c>
      <c r="AE33" s="66" t="s">
        <v>154</v>
      </c>
      <c r="AF33" s="66" t="s">
        <v>159</v>
      </c>
      <c r="AG33" s="66" t="s">
        <v>155</v>
      </c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71" t="s">
        <v>149</v>
      </c>
      <c r="BE33" s="71" t="s">
        <v>156</v>
      </c>
      <c r="BF33" s="71" t="s">
        <v>157</v>
      </c>
      <c r="BG33" s="71" t="s">
        <v>152</v>
      </c>
      <c r="BH33" s="71" t="s">
        <v>158</v>
      </c>
      <c r="BI33" s="71" t="s">
        <v>154</v>
      </c>
      <c r="BJ33" s="71" t="s">
        <v>159</v>
      </c>
      <c r="BK33" s="71" t="s">
        <v>155</v>
      </c>
      <c r="BL33" s="71"/>
      <c r="BM33" s="71"/>
      <c r="BN33" s="71"/>
      <c r="BO33" s="71"/>
      <c r="BP33" s="71"/>
      <c r="BQ33" s="71"/>
      <c r="BR33" s="71"/>
      <c r="BS33" s="71"/>
      <c r="BT33" s="71"/>
      <c r="BU33" s="71"/>
      <c r="BV33" s="71"/>
      <c r="BW33" s="71"/>
      <c r="BX33" s="71"/>
      <c r="BY33" s="71"/>
      <c r="BZ33" s="71" t="s">
        <v>374</v>
      </c>
      <c r="CA33" s="71" t="s">
        <v>361</v>
      </c>
      <c r="CB33" s="71" t="s">
        <v>362</v>
      </c>
      <c r="CC33" s="71" t="s">
        <v>379</v>
      </c>
      <c r="CD33" s="71" t="s">
        <v>363</v>
      </c>
      <c r="CE33" s="71" t="s">
        <v>381</v>
      </c>
      <c r="CF33" s="71" t="s">
        <v>364</v>
      </c>
      <c r="CG33" s="71" t="s">
        <v>385</v>
      </c>
      <c r="CH33" s="71"/>
      <c r="CI33" s="71"/>
      <c r="CJ33" s="71"/>
      <c r="CK33" s="71"/>
      <c r="CL33" s="71"/>
      <c r="CM33" s="71"/>
      <c r="CN33" s="71"/>
      <c r="CO33" s="71"/>
      <c r="CP33" s="71"/>
      <c r="CQ33" s="71"/>
      <c r="CR33" s="71"/>
      <c r="CS33" s="71"/>
      <c r="CT33" s="71"/>
      <c r="CU33" s="71"/>
      <c r="CV33" s="71"/>
      <c r="CW33" s="71"/>
      <c r="CX33" s="71"/>
      <c r="CY33" s="71"/>
      <c r="CZ33" s="71"/>
      <c r="DA33" s="71"/>
      <c r="DB33" s="71"/>
      <c r="DC33" s="74">
        <f t="shared" si="2"/>
        <v>31</v>
      </c>
      <c r="DD33">
        <v>110</v>
      </c>
      <c r="DE33">
        <v>105</v>
      </c>
      <c r="DF33">
        <v>100</v>
      </c>
      <c r="DG33">
        <v>95</v>
      </c>
      <c r="DH33">
        <v>80</v>
      </c>
      <c r="DI33">
        <v>85</v>
      </c>
      <c r="DJ33">
        <v>75</v>
      </c>
      <c r="DK33">
        <v>70</v>
      </c>
      <c r="EH33" s="78">
        <f t="shared" si="25"/>
        <v>110</v>
      </c>
      <c r="EI33" s="78">
        <f t="shared" si="25"/>
        <v>105</v>
      </c>
      <c r="EJ33" s="78">
        <f t="shared" ref="EJ33:EJ34" si="87">IF(       AND($A$14="TARE",$A$15="TARE"),IF(DF33&gt;0,DF33-VLOOKUP($C33,$B$14:$K$15,COLUMN()-31),0),    IF(UPPER($A$14)="TARE",IF(DF33&gt;0,DF33-DF$14,0),DF33)        )</f>
        <v>100</v>
      </c>
      <c r="EK33" s="78">
        <f t="shared" ref="EK33:EK34" si="88">IF(       AND($A$14="TARE",$A$15="TARE"),IF(DG33&gt;0,DG33-VLOOKUP($C33,$B$14:$K$15,COLUMN()-31),0),    IF(UPPER($A$14)="TARE",IF(DG33&gt;0,DG33-DG$14,0),DG33)        )</f>
        <v>95</v>
      </c>
      <c r="EL33" s="78">
        <f t="shared" ref="EL33:EL34" si="89">IF(       AND($A$14="TARE",$A$15="TARE"),IF(DH33&gt;0,DH33-VLOOKUP($C33,$B$14:$K$15,COLUMN()-31),0),    IF(UPPER($A$14)="TARE",IF(DH33&gt;0,DH33-DH$14,0),DH33)        )</f>
        <v>80</v>
      </c>
      <c r="EM33" s="78">
        <f t="shared" ref="EM33:EM34" si="90">IF(       AND($A$14="TARE",$A$15="TARE"),IF(DI33&gt;0,DI33-VLOOKUP($C33,$B$14:$K$15,COLUMN()-31),0),    IF(UPPER($A$14)="TARE",IF(DI33&gt;0,DI33-DI$14,0),DI33)        )</f>
        <v>85</v>
      </c>
      <c r="EN33" s="78">
        <f t="shared" ref="EN33:EN34" si="91">IF(       AND($A$14="TARE",$A$15="TARE"),IF(DJ33&gt;0,DJ33-VLOOKUP($C33,$B$14:$K$15,COLUMN()-31),0),    IF(UPPER($A$14)="TARE",IF(DJ33&gt;0,DJ33-DJ$14,0),DJ33)        )</f>
        <v>75</v>
      </c>
      <c r="EO33" s="78">
        <f t="shared" ref="EO33:EO34" si="92">IF(       AND($A$14="TARE",$A$15="TARE"),IF(DK33&gt;0,DK33-VLOOKUP($C33,$B$14:$K$15,COLUMN()-31),0),    IF(UPPER($A$14)="TARE",IF(DK33&gt;0,DK33-DK$14,0),DK33)        )</f>
        <v>70</v>
      </c>
      <c r="EP33" s="78"/>
      <c r="EQ33" s="78"/>
      <c r="ER33" s="78"/>
      <c r="ES33" s="78"/>
      <c r="ET33" s="78"/>
      <c r="EU33" s="78"/>
      <c r="EV33" s="78"/>
      <c r="EW33" s="78"/>
      <c r="EX33" s="78"/>
      <c r="EY33" s="78"/>
      <c r="EZ33" s="78"/>
      <c r="FA33" s="78"/>
      <c r="FB33" s="78"/>
      <c r="FD33" s="80">
        <f t="shared" si="39"/>
        <v>15.277777777777779</v>
      </c>
      <c r="FE33" s="80">
        <f t="shared" si="40"/>
        <v>14.583333333333334</v>
      </c>
      <c r="FF33" s="80">
        <f t="shared" si="41"/>
        <v>13.888888888888889</v>
      </c>
      <c r="FG33" s="80">
        <f t="shared" si="42"/>
        <v>13.194444444444445</v>
      </c>
      <c r="FH33" s="80">
        <f t="shared" si="43"/>
        <v>11.111111111111111</v>
      </c>
      <c r="FI33" s="80">
        <f t="shared" si="44"/>
        <v>11.805555555555555</v>
      </c>
      <c r="FJ33" s="80">
        <f t="shared" si="45"/>
        <v>10.416666666666668</v>
      </c>
      <c r="FK33" s="80">
        <f t="shared" si="46"/>
        <v>9.7222222222222232</v>
      </c>
      <c r="FL33" s="80">
        <f t="shared" si="47"/>
        <v>0</v>
      </c>
      <c r="FM33" s="80">
        <f t="shared" si="48"/>
        <v>0</v>
      </c>
      <c r="FN33" s="80">
        <f t="shared" si="49"/>
        <v>0</v>
      </c>
      <c r="FO33" s="80">
        <f t="shared" si="50"/>
        <v>0</v>
      </c>
      <c r="FP33" s="80">
        <f t="shared" si="51"/>
        <v>0</v>
      </c>
      <c r="FQ33" s="80">
        <f t="shared" si="52"/>
        <v>0</v>
      </c>
      <c r="FR33" s="80">
        <f t="shared" si="53"/>
        <v>0</v>
      </c>
      <c r="FS33" s="80">
        <f t="shared" si="54"/>
        <v>0</v>
      </c>
      <c r="FT33" s="80">
        <f t="shared" si="55"/>
        <v>0</v>
      </c>
      <c r="FU33" s="80">
        <f t="shared" si="56"/>
        <v>0</v>
      </c>
      <c r="FV33" s="80">
        <f t="shared" si="57"/>
        <v>0</v>
      </c>
      <c r="FW33" s="80">
        <f t="shared" si="58"/>
        <v>0</v>
      </c>
      <c r="FX33" s="80">
        <f t="shared" si="59"/>
        <v>0</v>
      </c>
    </row>
    <row r="34" spans="1:180" ht="15.6" thickTop="1" thickBot="1" x14ac:dyDescent="0.35">
      <c r="A34" s="62">
        <f t="shared" si="3"/>
        <v>32</v>
      </c>
      <c r="B34" s="99" t="s">
        <v>290</v>
      </c>
      <c r="C34" s="62" t="str">
        <f t="shared" si="0"/>
        <v xml:space="preserve">32: PSA dry sieve 16mm-2mm @ 1/2-phi + pan    </v>
      </c>
      <c r="D34" s="63">
        <f t="shared" si="4"/>
        <v>1</v>
      </c>
      <c r="E34" s="62">
        <v>1</v>
      </c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4">
        <f t="shared" si="20"/>
        <v>8</v>
      </c>
      <c r="Z34" s="66" t="s">
        <v>156</v>
      </c>
      <c r="AA34" s="66" t="s">
        <v>160</v>
      </c>
      <c r="AB34" s="66" t="s">
        <v>157</v>
      </c>
      <c r="AC34" s="66" t="s">
        <v>152</v>
      </c>
      <c r="AD34" s="66" t="s">
        <v>158</v>
      </c>
      <c r="AE34" s="66" t="s">
        <v>154</v>
      </c>
      <c r="AF34" s="66" t="s">
        <v>159</v>
      </c>
      <c r="AG34" s="66" t="s">
        <v>155</v>
      </c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71" t="s">
        <v>156</v>
      </c>
      <c r="BE34" s="71" t="s">
        <v>160</v>
      </c>
      <c r="BF34" s="71" t="s">
        <v>157</v>
      </c>
      <c r="BG34" s="71" t="s">
        <v>152</v>
      </c>
      <c r="BH34" s="71" t="s">
        <v>158</v>
      </c>
      <c r="BI34" s="71" t="s">
        <v>154</v>
      </c>
      <c r="BJ34" s="71" t="s">
        <v>159</v>
      </c>
      <c r="BK34" s="71" t="s">
        <v>155</v>
      </c>
      <c r="BL34" s="71"/>
      <c r="BM34" s="71"/>
      <c r="BN34" s="71"/>
      <c r="BO34" s="71"/>
      <c r="BP34" s="71"/>
      <c r="BQ34" s="71"/>
      <c r="BR34" s="71"/>
      <c r="BS34" s="71"/>
      <c r="BT34" s="71"/>
      <c r="BU34" s="71"/>
      <c r="BV34" s="71"/>
      <c r="BW34" s="71"/>
      <c r="BX34" s="71"/>
      <c r="BY34" s="71"/>
      <c r="BZ34" s="71" t="s">
        <v>361</v>
      </c>
      <c r="CA34" s="71" t="s">
        <v>387</v>
      </c>
      <c r="CB34" s="71" t="s">
        <v>362</v>
      </c>
      <c r="CC34" s="71" t="s">
        <v>379</v>
      </c>
      <c r="CD34" s="71" t="s">
        <v>363</v>
      </c>
      <c r="CE34" s="71" t="s">
        <v>381</v>
      </c>
      <c r="CF34" s="71" t="s">
        <v>364</v>
      </c>
      <c r="CG34" s="71" t="s">
        <v>385</v>
      </c>
      <c r="CH34" s="71"/>
      <c r="CI34" s="71"/>
      <c r="CJ34" s="71"/>
      <c r="CK34" s="71"/>
      <c r="CL34" s="71"/>
      <c r="CM34" s="71"/>
      <c r="CN34" s="71"/>
      <c r="CO34" s="71"/>
      <c r="CP34" s="71"/>
      <c r="CQ34" s="71"/>
      <c r="CR34" s="71"/>
      <c r="CS34" s="71"/>
      <c r="CT34" s="71"/>
      <c r="CU34" s="71"/>
      <c r="CV34" s="71"/>
      <c r="CW34" s="71"/>
      <c r="CX34" s="71"/>
      <c r="CY34" s="71"/>
      <c r="CZ34" s="71"/>
      <c r="DA34" s="71"/>
      <c r="DB34" s="71"/>
      <c r="DC34" s="74">
        <f t="shared" si="2"/>
        <v>32</v>
      </c>
      <c r="DD34">
        <v>110</v>
      </c>
      <c r="DE34">
        <v>105</v>
      </c>
      <c r="DF34">
        <v>100</v>
      </c>
      <c r="DG34">
        <v>95</v>
      </c>
      <c r="DH34">
        <v>80</v>
      </c>
      <c r="DI34">
        <v>85</v>
      </c>
      <c r="DJ34">
        <v>75</v>
      </c>
      <c r="DK34">
        <v>70</v>
      </c>
      <c r="EH34" s="78">
        <f t="shared" si="25"/>
        <v>110</v>
      </c>
      <c r="EI34" s="78">
        <f t="shared" si="25"/>
        <v>105</v>
      </c>
      <c r="EJ34" s="78">
        <f t="shared" si="87"/>
        <v>100</v>
      </c>
      <c r="EK34" s="78">
        <f t="shared" si="88"/>
        <v>95</v>
      </c>
      <c r="EL34" s="78">
        <f t="shared" si="89"/>
        <v>80</v>
      </c>
      <c r="EM34" s="78">
        <f t="shared" si="90"/>
        <v>85</v>
      </c>
      <c r="EN34" s="78">
        <f t="shared" si="91"/>
        <v>75</v>
      </c>
      <c r="EO34" s="78">
        <f t="shared" si="92"/>
        <v>70</v>
      </c>
      <c r="EP34" s="78"/>
      <c r="EQ34" s="78"/>
      <c r="ER34" s="78"/>
      <c r="ES34" s="78"/>
      <c r="ET34" s="78"/>
      <c r="EU34" s="78"/>
      <c r="EV34" s="78"/>
      <c r="EW34" s="78"/>
      <c r="EX34" s="78"/>
      <c r="EY34" s="78"/>
      <c r="EZ34" s="78"/>
      <c r="FA34" s="78"/>
      <c r="FB34" s="78"/>
      <c r="FD34" s="80">
        <f t="shared" si="39"/>
        <v>15.277777777777779</v>
      </c>
      <c r="FE34" s="80">
        <f t="shared" si="40"/>
        <v>14.583333333333334</v>
      </c>
      <c r="FF34" s="80">
        <f t="shared" si="41"/>
        <v>13.888888888888889</v>
      </c>
      <c r="FG34" s="80">
        <f t="shared" si="42"/>
        <v>13.194444444444445</v>
      </c>
      <c r="FH34" s="80">
        <f t="shared" si="43"/>
        <v>11.111111111111111</v>
      </c>
      <c r="FI34" s="80">
        <f t="shared" si="44"/>
        <v>11.805555555555555</v>
      </c>
      <c r="FJ34" s="80">
        <f t="shared" si="45"/>
        <v>10.416666666666668</v>
      </c>
      <c r="FK34" s="80">
        <f t="shared" si="46"/>
        <v>9.7222222222222232</v>
      </c>
      <c r="FL34" s="80">
        <f t="shared" si="47"/>
        <v>0</v>
      </c>
      <c r="FM34" s="80">
        <f t="shared" si="48"/>
        <v>0</v>
      </c>
      <c r="FN34" s="80">
        <f t="shared" si="49"/>
        <v>0</v>
      </c>
      <c r="FO34" s="80">
        <f t="shared" si="50"/>
        <v>0</v>
      </c>
      <c r="FP34" s="80">
        <f t="shared" si="51"/>
        <v>0</v>
      </c>
      <c r="FQ34" s="80">
        <f t="shared" si="52"/>
        <v>0</v>
      </c>
      <c r="FR34" s="80">
        <f t="shared" si="53"/>
        <v>0</v>
      </c>
      <c r="FS34" s="80">
        <f t="shared" si="54"/>
        <v>0</v>
      </c>
      <c r="FT34" s="80">
        <f t="shared" si="55"/>
        <v>0</v>
      </c>
      <c r="FU34" s="80">
        <f t="shared" si="56"/>
        <v>0</v>
      </c>
      <c r="FV34" s="80">
        <f t="shared" si="57"/>
        <v>0</v>
      </c>
      <c r="FW34" s="80">
        <f t="shared" si="58"/>
        <v>0</v>
      </c>
      <c r="FX34" s="80">
        <f t="shared" si="59"/>
        <v>0</v>
      </c>
    </row>
    <row r="35" spans="1:180" ht="15.6" thickTop="1" thickBot="1" x14ac:dyDescent="0.35">
      <c r="A35" s="62">
        <f t="shared" si="3"/>
        <v>33</v>
      </c>
      <c r="B35" s="99" t="s">
        <v>90</v>
      </c>
      <c r="C35" s="62" t="str">
        <f t="shared" si="0"/>
        <v xml:space="preserve">33: PSA dry sieve (whole-phi): 32 - 0.125mm + pan general                      </v>
      </c>
      <c r="D35" s="63">
        <f t="shared" si="4"/>
        <v>1</v>
      </c>
      <c r="E35" s="62">
        <v>1</v>
      </c>
      <c r="F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4">
        <f t="shared" si="20"/>
        <v>10</v>
      </c>
      <c r="Z35" s="66" t="s">
        <v>161</v>
      </c>
      <c r="AA35" s="66" t="s">
        <v>156</v>
      </c>
      <c r="AB35" s="66" t="s">
        <v>157</v>
      </c>
      <c r="AC35" s="66" t="s">
        <v>158</v>
      </c>
      <c r="AD35" s="66" t="s">
        <v>159</v>
      </c>
      <c r="AE35" s="66" t="s">
        <v>162</v>
      </c>
      <c r="AF35" s="66" t="s">
        <v>163</v>
      </c>
      <c r="AG35" s="66" t="s">
        <v>164</v>
      </c>
      <c r="AH35" s="66" t="s">
        <v>165</v>
      </c>
      <c r="AI35" s="66" t="s">
        <v>155</v>
      </c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71" t="s">
        <v>161</v>
      </c>
      <c r="BE35" s="71" t="s">
        <v>156</v>
      </c>
      <c r="BF35" s="71" t="s">
        <v>157</v>
      </c>
      <c r="BG35" s="71" t="s">
        <v>158</v>
      </c>
      <c r="BH35" s="71" t="s">
        <v>159</v>
      </c>
      <c r="BI35" s="71" t="s">
        <v>162</v>
      </c>
      <c r="BJ35" s="71" t="s">
        <v>163</v>
      </c>
      <c r="BK35" s="71" t="s">
        <v>164</v>
      </c>
      <c r="BL35" s="71" t="s">
        <v>165</v>
      </c>
      <c r="BM35" s="71" t="s">
        <v>155</v>
      </c>
      <c r="BN35" s="71"/>
      <c r="BO35" s="71"/>
      <c r="BP35" s="71"/>
      <c r="BQ35" s="71"/>
      <c r="BR35" s="71"/>
      <c r="BS35" s="71"/>
      <c r="BT35" s="71"/>
      <c r="BU35" s="71"/>
      <c r="BV35" s="71"/>
      <c r="BW35" s="71"/>
      <c r="BX35" s="71"/>
      <c r="BY35" s="71"/>
      <c r="BZ35" s="71" t="s">
        <v>360</v>
      </c>
      <c r="CA35" s="71" t="s">
        <v>361</v>
      </c>
      <c r="CB35" s="71" t="s">
        <v>362</v>
      </c>
      <c r="CC35" s="71" t="s">
        <v>363</v>
      </c>
      <c r="CD35" s="71" t="s">
        <v>364</v>
      </c>
      <c r="CE35" s="71" t="s">
        <v>365</v>
      </c>
      <c r="CF35" s="71" t="s">
        <v>366</v>
      </c>
      <c r="CG35" s="71" t="s">
        <v>367</v>
      </c>
      <c r="CH35" s="71" t="s">
        <v>368</v>
      </c>
      <c r="CI35" s="71" t="s">
        <v>385</v>
      </c>
      <c r="CJ35" s="71"/>
      <c r="CK35" s="71"/>
      <c r="CL35" s="71"/>
      <c r="CM35" s="71"/>
      <c r="CN35" s="71"/>
      <c r="CO35" s="71"/>
      <c r="CP35" s="71"/>
      <c r="CQ35" s="71"/>
      <c r="CR35" s="71"/>
      <c r="CS35" s="71"/>
      <c r="CT35" s="71"/>
      <c r="CU35" s="71"/>
      <c r="CV35" s="71"/>
      <c r="CW35" s="71"/>
      <c r="CX35" s="71"/>
      <c r="CY35" s="71"/>
      <c r="CZ35" s="71"/>
      <c r="DA35" s="71"/>
      <c r="DB35" s="71"/>
      <c r="DC35" s="74">
        <f t="shared" si="2"/>
        <v>33</v>
      </c>
      <c r="DD35">
        <v>110</v>
      </c>
      <c r="DE35">
        <v>105</v>
      </c>
      <c r="DF35">
        <v>100</v>
      </c>
      <c r="DG35">
        <v>95</v>
      </c>
      <c r="DH35">
        <v>80</v>
      </c>
      <c r="DI35">
        <v>85</v>
      </c>
      <c r="DJ35">
        <v>75</v>
      </c>
      <c r="DK35">
        <v>70</v>
      </c>
      <c r="DL35">
        <v>75</v>
      </c>
      <c r="DM35">
        <v>80</v>
      </c>
      <c r="EH35" s="78">
        <f t="shared" si="25"/>
        <v>110</v>
      </c>
      <c r="EI35" s="78">
        <f t="shared" si="25"/>
        <v>105</v>
      </c>
      <c r="EJ35" s="78">
        <f t="shared" ref="EJ35" si="93">IF(       AND($A$14="TARE",$A$15="TARE"),IF(DF35&gt;0,DF35-VLOOKUP($C35,$B$14:$K$15,COLUMN()-31),0),    IF(UPPER($A$14)="TARE",IF(DF35&gt;0,DF35-DF$14,0),DF35)        )</f>
        <v>100</v>
      </c>
      <c r="EK35" s="78">
        <f t="shared" ref="EK35" si="94">IF(       AND($A$14="TARE",$A$15="TARE"),IF(DG35&gt;0,DG35-VLOOKUP($C35,$B$14:$K$15,COLUMN()-31),0),    IF(UPPER($A$14)="TARE",IF(DG35&gt;0,DG35-DG$14,0),DG35)        )</f>
        <v>95</v>
      </c>
      <c r="EL35" s="78">
        <f t="shared" ref="EL35" si="95">IF(       AND($A$14="TARE",$A$15="TARE"),IF(DH35&gt;0,DH35-VLOOKUP($C35,$B$14:$K$15,COLUMN()-31),0),    IF(UPPER($A$14)="TARE",IF(DH35&gt;0,DH35-DH$14,0),DH35)        )</f>
        <v>80</v>
      </c>
      <c r="EM35" s="78">
        <f t="shared" ref="EM35" si="96">IF(       AND($A$14="TARE",$A$15="TARE"),IF(DI35&gt;0,DI35-VLOOKUP($C35,$B$14:$K$15,COLUMN()-31),0),    IF(UPPER($A$14)="TARE",IF(DI35&gt;0,DI35-DI$14,0),DI35)        )</f>
        <v>85</v>
      </c>
      <c r="EN35" s="78">
        <f t="shared" ref="EN35" si="97">IF(       AND($A$14="TARE",$A$15="TARE"),IF(DJ35&gt;0,DJ35-VLOOKUP($C35,$B$14:$K$15,COLUMN()-31),0),    IF(UPPER($A$14)="TARE",IF(DJ35&gt;0,DJ35-DJ$14,0),DJ35)        )</f>
        <v>75</v>
      </c>
      <c r="EO35" s="78">
        <f t="shared" ref="EO35" si="98">IF(       AND($A$14="TARE",$A$15="TARE"),IF(DK35&gt;0,DK35-VLOOKUP($C35,$B$14:$K$15,COLUMN()-31),0),    IF(UPPER($A$14)="TARE",IF(DK35&gt;0,DK35-DK$14,0),DK35)        )</f>
        <v>70</v>
      </c>
      <c r="EP35" s="78">
        <f t="shared" ref="EP35" si="99">IF(       AND($A$14="TARE",$A$15="TARE"),IF(DL35&gt;0,DL35-VLOOKUP($C35,$B$14:$K$15,COLUMN()-31),0),    IF(UPPER($A$14)="TARE",IF(DL35&gt;0,DL35-DL$14,0),DL35)        )</f>
        <v>75</v>
      </c>
      <c r="EQ35" s="78">
        <f t="shared" ref="EQ35" si="100">IF(       AND($A$14="TARE",$A$15="TARE"),IF(DM35&gt;0,DM35-VLOOKUP($C35,$B$14:$K$15,COLUMN()-31),0),    IF(UPPER($A$14)="TARE",IF(DM35&gt;0,DM35-DM$14,0),DM35)        )</f>
        <v>80</v>
      </c>
      <c r="ER35" s="78"/>
      <c r="ES35" s="78"/>
      <c r="ET35" s="78"/>
      <c r="EU35" s="78"/>
      <c r="EV35" s="78"/>
      <c r="EW35" s="78"/>
      <c r="EX35" s="78"/>
      <c r="EY35" s="78"/>
      <c r="EZ35" s="78"/>
      <c r="FA35" s="78"/>
      <c r="FB35" s="78"/>
      <c r="FD35" s="80">
        <f t="shared" si="39"/>
        <v>12.571428571428573</v>
      </c>
      <c r="FE35" s="80">
        <f t="shared" si="40"/>
        <v>12</v>
      </c>
      <c r="FF35" s="80">
        <f t="shared" si="41"/>
        <v>11.428571428571429</v>
      </c>
      <c r="FG35" s="80">
        <f t="shared" si="42"/>
        <v>10.857142857142858</v>
      </c>
      <c r="FH35" s="80">
        <f t="shared" si="43"/>
        <v>9.1428571428571423</v>
      </c>
      <c r="FI35" s="80">
        <f t="shared" si="44"/>
        <v>9.7142857142857135</v>
      </c>
      <c r="FJ35" s="80">
        <f t="shared" si="45"/>
        <v>8.5714285714285712</v>
      </c>
      <c r="FK35" s="80">
        <f t="shared" si="46"/>
        <v>8</v>
      </c>
      <c r="FL35" s="80">
        <f t="shared" si="47"/>
        <v>8.5714285714285712</v>
      </c>
      <c r="FM35" s="80">
        <f t="shared" si="48"/>
        <v>9.1428571428571423</v>
      </c>
      <c r="FN35" s="80">
        <f t="shared" si="49"/>
        <v>0</v>
      </c>
      <c r="FO35" s="80">
        <f t="shared" si="50"/>
        <v>0</v>
      </c>
      <c r="FP35" s="80">
        <f t="shared" si="51"/>
        <v>0</v>
      </c>
      <c r="FQ35" s="80">
        <f t="shared" si="52"/>
        <v>0</v>
      </c>
      <c r="FR35" s="80">
        <f t="shared" si="53"/>
        <v>0</v>
      </c>
      <c r="FS35" s="80">
        <f t="shared" si="54"/>
        <v>0</v>
      </c>
      <c r="FT35" s="80">
        <f t="shared" si="55"/>
        <v>0</v>
      </c>
      <c r="FU35" s="80">
        <f t="shared" si="56"/>
        <v>0</v>
      </c>
      <c r="FV35" s="80">
        <f t="shared" si="57"/>
        <v>0</v>
      </c>
      <c r="FW35" s="80">
        <f t="shared" si="58"/>
        <v>0</v>
      </c>
      <c r="FX35" s="80">
        <f t="shared" si="59"/>
        <v>0</v>
      </c>
    </row>
    <row r="36" spans="1:180" ht="15.6" thickTop="1" thickBot="1" x14ac:dyDescent="0.35">
      <c r="A36" s="62">
        <f t="shared" si="3"/>
        <v>34</v>
      </c>
      <c r="B36" s="99" t="s">
        <v>120</v>
      </c>
      <c r="C36" s="62" t="str">
        <f t="shared" si="0"/>
        <v xml:space="preserve">34: PSA dry sieve 16-1mm @ whole phi                                            </v>
      </c>
      <c r="D36" s="63">
        <f t="shared" si="4"/>
        <v>1</v>
      </c>
      <c r="E36" s="62">
        <v>1</v>
      </c>
      <c r="F36" s="62"/>
      <c r="G36" s="62"/>
      <c r="H36" s="62"/>
      <c r="I36" s="62"/>
      <c r="J36" s="62"/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4">
        <f t="shared" si="20"/>
        <v>6</v>
      </c>
      <c r="Z36" s="66" t="s">
        <v>150</v>
      </c>
      <c r="AA36" s="66" t="s">
        <v>151</v>
      </c>
      <c r="AB36" s="66" t="s">
        <v>153</v>
      </c>
      <c r="AC36" s="66" t="s">
        <v>236</v>
      </c>
      <c r="AD36" s="66" t="s">
        <v>225</v>
      </c>
      <c r="AE36" s="66" t="s">
        <v>155</v>
      </c>
      <c r="AF36" s="66"/>
      <c r="AG36" s="6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71" t="s">
        <v>150</v>
      </c>
      <c r="BE36" s="71" t="s">
        <v>151</v>
      </c>
      <c r="BF36" s="71" t="s">
        <v>153</v>
      </c>
      <c r="BG36" s="71" t="s">
        <v>236</v>
      </c>
      <c r="BH36" s="71" t="s">
        <v>225</v>
      </c>
      <c r="BI36" s="71" t="s">
        <v>155</v>
      </c>
      <c r="BJ36" s="71"/>
      <c r="BK36" s="71"/>
      <c r="BL36" s="71"/>
      <c r="BM36" s="71"/>
      <c r="BN36" s="71"/>
      <c r="BO36" s="71"/>
      <c r="BP36" s="71"/>
      <c r="BQ36" s="71"/>
      <c r="BR36" s="71"/>
      <c r="BS36" s="71"/>
      <c r="BT36" s="71"/>
      <c r="BU36" s="71"/>
      <c r="BV36" s="71"/>
      <c r="BW36" s="71"/>
      <c r="BX36" s="71"/>
      <c r="BY36" s="71"/>
      <c r="BZ36" s="71" t="s">
        <v>376</v>
      </c>
      <c r="CA36" s="71" t="s">
        <v>378</v>
      </c>
      <c r="CB36" s="71" t="s">
        <v>380</v>
      </c>
      <c r="CC36" s="71" t="s">
        <v>382</v>
      </c>
      <c r="CD36" s="71" t="s">
        <v>384</v>
      </c>
      <c r="CE36" s="71" t="s">
        <v>385</v>
      </c>
      <c r="CF36" s="71"/>
      <c r="CG36" s="71"/>
      <c r="CH36" s="71"/>
      <c r="CI36" s="71"/>
      <c r="CJ36" s="71"/>
      <c r="CK36" s="71"/>
      <c r="CL36" s="71"/>
      <c r="CM36" s="71"/>
      <c r="CN36" s="71"/>
      <c r="CO36" s="71"/>
      <c r="CP36" s="71"/>
      <c r="CQ36" s="71"/>
      <c r="CR36" s="71"/>
      <c r="CS36" s="71"/>
      <c r="CT36" s="71"/>
      <c r="CU36" s="71"/>
      <c r="CV36" s="71"/>
      <c r="CW36" s="71"/>
      <c r="CX36" s="71"/>
      <c r="CY36" s="71"/>
      <c r="CZ36" s="71"/>
      <c r="DA36" s="71"/>
      <c r="DB36" s="71"/>
      <c r="DC36" s="74">
        <f t="shared" si="2"/>
        <v>34</v>
      </c>
      <c r="DD36">
        <v>110</v>
      </c>
      <c r="DE36">
        <v>105</v>
      </c>
      <c r="DF36">
        <v>100</v>
      </c>
      <c r="DG36">
        <v>95</v>
      </c>
      <c r="DH36">
        <v>80</v>
      </c>
      <c r="DI36">
        <v>85</v>
      </c>
      <c r="DJ36">
        <v>75</v>
      </c>
      <c r="DK36">
        <v>70</v>
      </c>
      <c r="DL36">
        <v>75</v>
      </c>
      <c r="DM36">
        <v>80</v>
      </c>
      <c r="DN36">
        <v>85</v>
      </c>
      <c r="DO36">
        <v>90</v>
      </c>
      <c r="DP36">
        <v>95</v>
      </c>
      <c r="DQ36">
        <v>100</v>
      </c>
      <c r="DR36">
        <v>105</v>
      </c>
      <c r="DS36">
        <v>110</v>
      </c>
      <c r="EH36" s="78">
        <f t="shared" si="25"/>
        <v>110</v>
      </c>
      <c r="EI36" s="78">
        <f t="shared" si="25"/>
        <v>105</v>
      </c>
      <c r="EJ36" s="78">
        <f t="shared" ref="EJ36" si="101">IF(       AND($A$14="TARE",$A$15="TARE"),IF(DF36&gt;0,DF36-VLOOKUP($C36,$B$14:$K$15,COLUMN()-31),0),    IF(UPPER($A$14)="TARE",IF(DF36&gt;0,DF36-DF$14,0),DF36)        )</f>
        <v>100</v>
      </c>
      <c r="EK36" s="78">
        <f t="shared" ref="EK36" si="102">IF(       AND($A$14="TARE",$A$15="TARE"),IF(DG36&gt;0,DG36-VLOOKUP($C36,$B$14:$K$15,COLUMN()-31),0),    IF(UPPER($A$14)="TARE",IF(DG36&gt;0,DG36-DG$14,0),DG36)        )</f>
        <v>95</v>
      </c>
      <c r="EL36" s="78">
        <f t="shared" ref="EL36" si="103">IF(       AND($A$14="TARE",$A$15="TARE"),IF(DH36&gt;0,DH36-VLOOKUP($C36,$B$14:$K$15,COLUMN()-31),0),    IF(UPPER($A$14)="TARE",IF(DH36&gt;0,DH36-DH$14,0),DH36)        )</f>
        <v>80</v>
      </c>
      <c r="EM36" s="78">
        <f t="shared" ref="EM36" si="104">IF(       AND($A$14="TARE",$A$15="TARE"),IF(DI36&gt;0,DI36-VLOOKUP($C36,$B$14:$K$15,COLUMN()-31),0),    IF(UPPER($A$14)="TARE",IF(DI36&gt;0,DI36-DI$14,0),DI36)        )</f>
        <v>85</v>
      </c>
      <c r="EN36" s="78">
        <f t="shared" ref="EN36" si="105">IF(       AND($A$14="TARE",$A$15="TARE"),IF(DJ36&gt;0,DJ36-VLOOKUP($C36,$B$14:$K$15,COLUMN()-31),0),    IF(UPPER($A$14)="TARE",IF(DJ36&gt;0,DJ36-DJ$14,0),DJ36)        )</f>
        <v>75</v>
      </c>
      <c r="EO36" s="78">
        <f t="shared" ref="EO36" si="106">IF(       AND($A$14="TARE",$A$15="TARE"),IF(DK36&gt;0,DK36-VLOOKUP($C36,$B$14:$K$15,COLUMN()-31),0),    IF(UPPER($A$14)="TARE",IF(DK36&gt;0,DK36-DK$14,0),DK36)        )</f>
        <v>70</v>
      </c>
      <c r="EP36" s="78">
        <f t="shared" ref="EP36" si="107">IF(       AND($A$14="TARE",$A$15="TARE"),IF(DL36&gt;0,DL36-VLOOKUP($C36,$B$14:$K$15,COLUMN()-31),0),    IF(UPPER($A$14)="TARE",IF(DL36&gt;0,DL36-DL$14,0),DL36)        )</f>
        <v>75</v>
      </c>
      <c r="EQ36" s="78">
        <f t="shared" ref="EQ36" si="108">IF(       AND($A$14="TARE",$A$15="TARE"),IF(DM36&gt;0,DM36-VLOOKUP($C36,$B$14:$K$15,COLUMN()-31),0),    IF(UPPER($A$14)="TARE",IF(DM36&gt;0,DM36-DM$14,0),DM36)        )</f>
        <v>80</v>
      </c>
      <c r="ER36" s="78">
        <f t="shared" ref="ER36" si="109">IF(       AND($A$14="TARE",$A$15="TARE"),IF(DN36&gt;0,DN36-VLOOKUP($C36,$B$14:$K$15,COLUMN()-31),0),    IF(UPPER($A$14)="TARE",IF(DN36&gt;0,DN36-DN$14,0),DN36)        )</f>
        <v>85</v>
      </c>
      <c r="ES36" s="78">
        <f t="shared" ref="ES36" si="110">IF(       AND($A$14="TARE",$A$15="TARE"),IF(DO36&gt;0,DO36-VLOOKUP($C36,$B$14:$K$15,COLUMN()-31),0),    IF(UPPER($A$14)="TARE",IF(DO36&gt;0,DO36-DO$14,0),DO36)        )</f>
        <v>90</v>
      </c>
      <c r="ET36" s="78">
        <f t="shared" ref="ET36" si="111">IF(       AND($A$14="TARE",$A$15="TARE"),IF(DP36&gt;0,DP36-VLOOKUP($C36,$B$14:$K$15,COLUMN()-31),0),    IF(UPPER($A$14)="TARE",IF(DP36&gt;0,DP36-DP$14,0),DP36)        )</f>
        <v>95</v>
      </c>
      <c r="EU36" s="78">
        <f t="shared" ref="EU36" si="112">IF(       AND($A$14="TARE",$A$15="TARE"),IF(DQ36&gt;0,DQ36-VLOOKUP($C36,$B$14:$K$15,COLUMN()-31),0),    IF(UPPER($A$14)="TARE",IF(DQ36&gt;0,DQ36-DQ$14,0),DQ36)        )</f>
        <v>100</v>
      </c>
      <c r="EV36" s="78">
        <f t="shared" ref="EV36" si="113">IF(       AND($A$14="TARE",$A$15="TARE"),IF(DR36&gt;0,DR36-VLOOKUP($C36,$B$14:$K$15,COLUMN()-31),0),    IF(UPPER($A$14)="TARE",IF(DR36&gt;0,DR36-DR$14,0),DR36)        )</f>
        <v>105</v>
      </c>
      <c r="EW36" s="78">
        <f t="shared" ref="EW36" si="114">IF(       AND($A$14="TARE",$A$15="TARE"),IF(DS36&gt;0,DS36-VLOOKUP($C36,$B$14:$K$15,COLUMN()-31),0),    IF(UPPER($A$14)="TARE",IF(DS36&gt;0,DS36-DS$14,0),DS36)        )</f>
        <v>110</v>
      </c>
      <c r="EX36" s="78"/>
      <c r="EY36" s="78"/>
      <c r="EZ36" s="78"/>
      <c r="FA36" s="78"/>
      <c r="FB36" s="78"/>
      <c r="FD36" s="80">
        <f t="shared" si="39"/>
        <v>7.5342465753424657</v>
      </c>
      <c r="FE36" s="80">
        <f t="shared" si="40"/>
        <v>7.1917808219178081</v>
      </c>
      <c r="FF36" s="80">
        <f t="shared" si="41"/>
        <v>6.8493150684931505</v>
      </c>
      <c r="FG36" s="80">
        <f t="shared" si="42"/>
        <v>6.506849315068493</v>
      </c>
      <c r="FH36" s="80">
        <f t="shared" si="43"/>
        <v>5.4794520547945202</v>
      </c>
      <c r="FI36" s="80">
        <f t="shared" si="44"/>
        <v>5.8219178082191778</v>
      </c>
      <c r="FJ36" s="80">
        <f t="shared" si="45"/>
        <v>5.1369863013698627</v>
      </c>
      <c r="FK36" s="80">
        <f t="shared" si="46"/>
        <v>4.7945205479452051</v>
      </c>
      <c r="FL36" s="80">
        <f t="shared" si="47"/>
        <v>5.1369863013698627</v>
      </c>
      <c r="FM36" s="80">
        <f t="shared" si="48"/>
        <v>5.4794520547945202</v>
      </c>
      <c r="FN36" s="80">
        <f t="shared" si="49"/>
        <v>5.8219178082191778</v>
      </c>
      <c r="FO36" s="80">
        <f t="shared" si="50"/>
        <v>6.1643835616438354</v>
      </c>
      <c r="FP36" s="80">
        <f t="shared" si="51"/>
        <v>6.506849315068493</v>
      </c>
      <c r="FQ36" s="80">
        <f t="shared" si="52"/>
        <v>6.8493150684931505</v>
      </c>
      <c r="FR36" s="80">
        <f t="shared" si="53"/>
        <v>7.1917808219178081</v>
      </c>
      <c r="FS36" s="80">
        <f t="shared" si="54"/>
        <v>7.5342465753424657</v>
      </c>
      <c r="FT36" s="80">
        <f t="shared" si="55"/>
        <v>0</v>
      </c>
      <c r="FU36" s="80">
        <f t="shared" si="56"/>
        <v>0</v>
      </c>
      <c r="FV36" s="80">
        <f t="shared" si="57"/>
        <v>0</v>
      </c>
      <c r="FW36" s="80">
        <f t="shared" si="58"/>
        <v>0</v>
      </c>
      <c r="FX36" s="80">
        <f t="shared" si="59"/>
        <v>0</v>
      </c>
    </row>
    <row r="37" spans="1:180" ht="15.6" thickTop="1" thickBot="1" x14ac:dyDescent="0.35">
      <c r="A37" s="62">
        <f t="shared" si="3"/>
        <v>35</v>
      </c>
      <c r="B37" s="99" t="s">
        <v>115</v>
      </c>
      <c r="C37" s="62" t="str">
        <f t="shared" si="0"/>
        <v xml:space="preserve">35: PSA dry sieve 16-1mm @ 1/2 phi                                             </v>
      </c>
      <c r="D37" s="63">
        <f t="shared" si="4"/>
        <v>1</v>
      </c>
      <c r="E37" s="62">
        <v>1</v>
      </c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4">
        <f t="shared" si="20"/>
        <v>10</v>
      </c>
      <c r="Z37" s="66" t="s">
        <v>150</v>
      </c>
      <c r="AA37" s="66" t="s">
        <v>160</v>
      </c>
      <c r="AB37" s="66" t="s">
        <v>151</v>
      </c>
      <c r="AC37" s="66" t="s">
        <v>152</v>
      </c>
      <c r="AD37" s="66" t="s">
        <v>153</v>
      </c>
      <c r="AE37" s="66" t="s">
        <v>154</v>
      </c>
      <c r="AF37" s="66" t="s">
        <v>236</v>
      </c>
      <c r="AG37" s="66" t="s">
        <v>223</v>
      </c>
      <c r="AH37" s="66" t="s">
        <v>225</v>
      </c>
      <c r="AI37" s="66" t="s">
        <v>155</v>
      </c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71" t="s">
        <v>150</v>
      </c>
      <c r="BE37" s="71" t="s">
        <v>160</v>
      </c>
      <c r="BF37" s="71" t="s">
        <v>151</v>
      </c>
      <c r="BG37" s="71" t="s">
        <v>152</v>
      </c>
      <c r="BH37" s="71" t="s">
        <v>153</v>
      </c>
      <c r="BI37" s="71" t="s">
        <v>154</v>
      </c>
      <c r="BJ37" s="71" t="s">
        <v>236</v>
      </c>
      <c r="BK37" s="71" t="s">
        <v>223</v>
      </c>
      <c r="BL37" s="71" t="s">
        <v>225</v>
      </c>
      <c r="BM37" s="71" t="s">
        <v>155</v>
      </c>
      <c r="BN37" s="71"/>
      <c r="BO37" s="71"/>
      <c r="BP37" s="71"/>
      <c r="BQ37" s="71"/>
      <c r="BR37" s="71"/>
      <c r="BS37" s="71"/>
      <c r="BT37" s="71"/>
      <c r="BU37" s="71"/>
      <c r="BV37" s="71"/>
      <c r="BW37" s="71"/>
      <c r="BX37" s="71"/>
      <c r="BY37" s="71"/>
      <c r="BZ37" s="71" t="s">
        <v>376</v>
      </c>
      <c r="CA37" s="71" t="s">
        <v>387</v>
      </c>
      <c r="CB37" s="71" t="s">
        <v>378</v>
      </c>
      <c r="CC37" s="71" t="s">
        <v>379</v>
      </c>
      <c r="CD37" s="71" t="s">
        <v>380</v>
      </c>
      <c r="CE37" s="71" t="s">
        <v>381</v>
      </c>
      <c r="CF37" s="71" t="s">
        <v>382</v>
      </c>
      <c r="CG37" s="71" t="s">
        <v>383</v>
      </c>
      <c r="CH37" s="71" t="s">
        <v>384</v>
      </c>
      <c r="CI37" s="71" t="s">
        <v>385</v>
      </c>
      <c r="CJ37" s="71"/>
      <c r="CK37" s="71"/>
      <c r="CL37" s="71"/>
      <c r="CM37" s="71"/>
      <c r="CN37" s="71"/>
      <c r="CO37" s="71"/>
      <c r="CP37" s="71"/>
      <c r="CQ37" s="71"/>
      <c r="CR37" s="71"/>
      <c r="CS37" s="71"/>
      <c r="CT37" s="71"/>
      <c r="CU37" s="71"/>
      <c r="CV37" s="71"/>
      <c r="CW37" s="71"/>
      <c r="CX37" s="71"/>
      <c r="CY37" s="71"/>
      <c r="CZ37" s="71"/>
      <c r="DA37" s="71"/>
      <c r="DB37" s="71"/>
      <c r="DC37" s="74">
        <f t="shared" si="2"/>
        <v>35</v>
      </c>
      <c r="DD37">
        <v>110</v>
      </c>
      <c r="DE37">
        <v>105</v>
      </c>
      <c r="DF37">
        <v>100</v>
      </c>
      <c r="DG37">
        <v>95</v>
      </c>
      <c r="DH37">
        <v>80</v>
      </c>
      <c r="DI37">
        <v>85</v>
      </c>
      <c r="EH37" s="78">
        <f t="shared" si="25"/>
        <v>110</v>
      </c>
      <c r="EI37" s="78">
        <f t="shared" si="25"/>
        <v>105</v>
      </c>
      <c r="EJ37" s="78">
        <f t="shared" ref="EJ37" si="115">IF(       AND($A$14="TARE",$A$15="TARE"),IF(DF37&gt;0,DF37-VLOOKUP($C37,$B$14:$K$15,COLUMN()-31),0),    IF(UPPER($A$14)="TARE",IF(DF37&gt;0,DF37-DF$14,0),DF37)        )</f>
        <v>100</v>
      </c>
      <c r="EK37" s="78">
        <f t="shared" ref="EK37" si="116">IF(       AND($A$14="TARE",$A$15="TARE"),IF(DG37&gt;0,DG37-VLOOKUP($C37,$B$14:$K$15,COLUMN()-31),0),    IF(UPPER($A$14)="TARE",IF(DG37&gt;0,DG37-DG$14,0),DG37)        )</f>
        <v>95</v>
      </c>
      <c r="EL37" s="78">
        <f t="shared" ref="EL37" si="117">IF(       AND($A$14="TARE",$A$15="TARE"),IF(DH37&gt;0,DH37-VLOOKUP($C37,$B$14:$K$15,COLUMN()-31),0),    IF(UPPER($A$14)="TARE",IF(DH37&gt;0,DH37-DH$14,0),DH37)        )</f>
        <v>80</v>
      </c>
      <c r="EM37" s="78">
        <f t="shared" ref="EM37" si="118">IF(       AND($A$14="TARE",$A$15="TARE"),IF(DI37&gt;0,DI37-VLOOKUP($C37,$B$14:$K$15,COLUMN()-31),0),    IF(UPPER($A$14)="TARE",IF(DI37&gt;0,DI37-DI$14,0),DI37)        )</f>
        <v>85</v>
      </c>
      <c r="EN37" s="78"/>
      <c r="EO37" s="78"/>
      <c r="EP37" s="78"/>
      <c r="EQ37" s="78"/>
      <c r="ER37" s="78"/>
      <c r="ES37" s="78"/>
      <c r="ET37" s="78"/>
      <c r="EU37" s="78"/>
      <c r="EV37" s="78"/>
      <c r="EW37" s="78"/>
      <c r="EX37" s="78"/>
      <c r="EY37" s="78"/>
      <c r="EZ37" s="78"/>
      <c r="FA37" s="78"/>
      <c r="FB37" s="78"/>
      <c r="FD37" s="80">
        <f t="shared" si="39"/>
        <v>19.130434782608695</v>
      </c>
      <c r="FE37" s="80">
        <f t="shared" si="40"/>
        <v>18.260869565217391</v>
      </c>
      <c r="FF37" s="80">
        <f t="shared" si="41"/>
        <v>17.391304347826086</v>
      </c>
      <c r="FG37" s="80">
        <f t="shared" si="42"/>
        <v>16.521739130434781</v>
      </c>
      <c r="FH37" s="80">
        <f t="shared" si="43"/>
        <v>13.913043478260869</v>
      </c>
      <c r="FI37" s="80">
        <f t="shared" si="44"/>
        <v>14.782608695652174</v>
      </c>
      <c r="FJ37" s="80">
        <f t="shared" si="45"/>
        <v>0</v>
      </c>
      <c r="FK37" s="80">
        <f t="shared" si="46"/>
        <v>0</v>
      </c>
      <c r="FL37" s="80">
        <f t="shared" si="47"/>
        <v>0</v>
      </c>
      <c r="FM37" s="80">
        <f t="shared" si="48"/>
        <v>0</v>
      </c>
      <c r="FN37" s="80">
        <f t="shared" si="49"/>
        <v>0</v>
      </c>
      <c r="FO37" s="80">
        <f t="shared" si="50"/>
        <v>0</v>
      </c>
      <c r="FP37" s="80">
        <f t="shared" si="51"/>
        <v>0</v>
      </c>
      <c r="FQ37" s="80">
        <f t="shared" si="52"/>
        <v>0</v>
      </c>
      <c r="FR37" s="80">
        <f t="shared" si="53"/>
        <v>0</v>
      </c>
      <c r="FS37" s="80">
        <f t="shared" si="54"/>
        <v>0</v>
      </c>
      <c r="FT37" s="80">
        <f t="shared" si="55"/>
        <v>0</v>
      </c>
      <c r="FU37" s="80">
        <f t="shared" si="56"/>
        <v>0</v>
      </c>
      <c r="FV37" s="80">
        <f t="shared" si="57"/>
        <v>0</v>
      </c>
      <c r="FW37" s="80">
        <f t="shared" si="58"/>
        <v>0</v>
      </c>
      <c r="FX37" s="80">
        <f t="shared" si="59"/>
        <v>0</v>
      </c>
    </row>
    <row r="38" spans="1:180" ht="15.6" thickTop="1" thickBot="1" x14ac:dyDescent="0.35">
      <c r="A38" s="62">
        <f t="shared" si="3"/>
        <v>36</v>
      </c>
      <c r="B38" s="99" t="s">
        <v>116</v>
      </c>
      <c r="C38" s="62" t="str">
        <f t="shared" si="0"/>
        <v xml:space="preserve">36: PSA dry sieve 16mm - 1mm @ 1/4 phi intervals                               </v>
      </c>
      <c r="D38" s="63">
        <f t="shared" si="4"/>
        <v>1</v>
      </c>
      <c r="E38" s="62">
        <v>1</v>
      </c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4">
        <f t="shared" si="20"/>
        <v>18</v>
      </c>
      <c r="Z38" s="66" t="s">
        <v>150</v>
      </c>
      <c r="AA38" s="66" t="s">
        <v>238</v>
      </c>
      <c r="AB38" s="66" t="s">
        <v>160</v>
      </c>
      <c r="AC38" s="66" t="s">
        <v>239</v>
      </c>
      <c r="AD38" s="66" t="s">
        <v>151</v>
      </c>
      <c r="AE38" s="66" t="s">
        <v>240</v>
      </c>
      <c r="AF38" s="66" t="s">
        <v>152</v>
      </c>
      <c r="AG38" s="66" t="s">
        <v>234</v>
      </c>
      <c r="AH38" s="66" t="s">
        <v>153</v>
      </c>
      <c r="AI38" s="66" t="s">
        <v>241</v>
      </c>
      <c r="AJ38" s="66" t="s">
        <v>154</v>
      </c>
      <c r="AK38" s="66" t="s">
        <v>235</v>
      </c>
      <c r="AL38" s="66" t="s">
        <v>236</v>
      </c>
      <c r="AM38" s="66" t="s">
        <v>242</v>
      </c>
      <c r="AN38" s="66" t="s">
        <v>223</v>
      </c>
      <c r="AO38" s="66" t="s">
        <v>243</v>
      </c>
      <c r="AP38" s="66" t="s">
        <v>162</v>
      </c>
      <c r="AQ38" s="66" t="s">
        <v>155</v>
      </c>
      <c r="AR38" s="66"/>
      <c r="AS38" s="66"/>
      <c r="AT38" s="66"/>
      <c r="AU38" s="66"/>
      <c r="AV38" s="66"/>
      <c r="AW38" s="66"/>
      <c r="AX38" s="66"/>
      <c r="AY38" s="66"/>
      <c r="AZ38" s="66"/>
      <c r="BA38" s="66"/>
      <c r="BB38" s="66"/>
      <c r="BC38" s="66"/>
      <c r="BD38" s="71" t="s">
        <v>150</v>
      </c>
      <c r="BE38" s="71" t="s">
        <v>238</v>
      </c>
      <c r="BF38" s="71" t="s">
        <v>160</v>
      </c>
      <c r="BG38" s="71" t="s">
        <v>239</v>
      </c>
      <c r="BH38" s="71" t="s">
        <v>151</v>
      </c>
      <c r="BI38" s="71" t="s">
        <v>240</v>
      </c>
      <c r="BJ38" s="71" t="s">
        <v>152</v>
      </c>
      <c r="BK38" s="71" t="s">
        <v>234</v>
      </c>
      <c r="BL38" s="71" t="s">
        <v>153</v>
      </c>
      <c r="BM38" s="71" t="s">
        <v>241</v>
      </c>
      <c r="BN38" s="71" t="s">
        <v>154</v>
      </c>
      <c r="BO38" s="71" t="s">
        <v>235</v>
      </c>
      <c r="BP38" s="71" t="s">
        <v>236</v>
      </c>
      <c r="BQ38" s="71" t="s">
        <v>242</v>
      </c>
      <c r="BR38" s="71" t="s">
        <v>223</v>
      </c>
      <c r="BS38" s="71" t="s">
        <v>243</v>
      </c>
      <c r="BT38" s="71" t="s">
        <v>162</v>
      </c>
      <c r="BU38" s="71" t="s">
        <v>155</v>
      </c>
      <c r="BV38" s="71"/>
      <c r="BW38" s="71"/>
      <c r="BX38" s="71"/>
      <c r="BY38" s="71"/>
      <c r="BZ38" s="71" t="s">
        <v>376</v>
      </c>
      <c r="CA38" s="71" t="s">
        <v>388</v>
      </c>
      <c r="CB38" s="71" t="s">
        <v>387</v>
      </c>
      <c r="CC38" s="71" t="s">
        <v>389</v>
      </c>
      <c r="CD38" s="71" t="s">
        <v>378</v>
      </c>
      <c r="CE38" s="71" t="s">
        <v>390</v>
      </c>
      <c r="CF38" s="71" t="s">
        <v>379</v>
      </c>
      <c r="CG38" s="71" t="s">
        <v>391</v>
      </c>
      <c r="CH38" s="71" t="s">
        <v>380</v>
      </c>
      <c r="CI38" s="71" t="s">
        <v>392</v>
      </c>
      <c r="CJ38" s="71" t="s">
        <v>381</v>
      </c>
      <c r="CK38" s="71" t="s">
        <v>393</v>
      </c>
      <c r="CL38" s="71" t="s">
        <v>382</v>
      </c>
      <c r="CM38" s="71" t="s">
        <v>394</v>
      </c>
      <c r="CN38" s="71" t="s">
        <v>383</v>
      </c>
      <c r="CO38" s="71" t="s">
        <v>395</v>
      </c>
      <c r="CP38" s="71" t="s">
        <v>365</v>
      </c>
      <c r="CQ38" s="71" t="s">
        <v>385</v>
      </c>
      <c r="CR38" s="71"/>
      <c r="CS38" s="71"/>
      <c r="CT38" s="71"/>
      <c r="CU38" s="71"/>
      <c r="CV38" s="71"/>
      <c r="CW38" s="71"/>
      <c r="CX38" s="71"/>
      <c r="CY38" s="71"/>
      <c r="CZ38" s="71"/>
      <c r="DA38" s="71"/>
      <c r="DB38" s="71"/>
      <c r="DC38" s="74">
        <f t="shared" si="2"/>
        <v>36</v>
      </c>
      <c r="DD38">
        <v>110</v>
      </c>
      <c r="DE38">
        <v>105</v>
      </c>
      <c r="DF38">
        <v>100</v>
      </c>
      <c r="DG38">
        <v>95</v>
      </c>
      <c r="DH38">
        <v>80</v>
      </c>
      <c r="DI38">
        <v>85</v>
      </c>
      <c r="DJ38">
        <v>75</v>
      </c>
      <c r="DK38">
        <v>70</v>
      </c>
      <c r="DL38">
        <v>75</v>
      </c>
      <c r="DM38">
        <v>80</v>
      </c>
      <c r="DN38">
        <v>85</v>
      </c>
      <c r="DO38">
        <v>90</v>
      </c>
      <c r="DP38">
        <v>95</v>
      </c>
      <c r="DQ38">
        <v>100</v>
      </c>
      <c r="DR38">
        <v>105</v>
      </c>
      <c r="DS38">
        <v>110</v>
      </c>
      <c r="DT38">
        <v>115</v>
      </c>
      <c r="DU38">
        <v>120</v>
      </c>
      <c r="EH38" s="78">
        <f t="shared" si="25"/>
        <v>110</v>
      </c>
      <c r="EI38" s="78">
        <f t="shared" si="25"/>
        <v>105</v>
      </c>
      <c r="EJ38" s="78">
        <f t="shared" ref="EJ38" si="119">IF(       AND($A$14="TARE",$A$15="TARE"),IF(DF38&gt;0,DF38-VLOOKUP($C38,$B$14:$K$15,COLUMN()-31),0),    IF(UPPER($A$14)="TARE",IF(DF38&gt;0,DF38-DF$14,0),DF38)        )</f>
        <v>100</v>
      </c>
      <c r="EK38" s="78">
        <f t="shared" ref="EK38" si="120">IF(       AND($A$14="TARE",$A$15="TARE"),IF(DG38&gt;0,DG38-VLOOKUP($C38,$B$14:$K$15,COLUMN()-31),0),    IF(UPPER($A$14)="TARE",IF(DG38&gt;0,DG38-DG$14,0),DG38)        )</f>
        <v>95</v>
      </c>
      <c r="EL38" s="78">
        <f t="shared" ref="EL38" si="121">IF(       AND($A$14="TARE",$A$15="TARE"),IF(DH38&gt;0,DH38-VLOOKUP($C38,$B$14:$K$15,COLUMN()-31),0),    IF(UPPER($A$14)="TARE",IF(DH38&gt;0,DH38-DH$14,0),DH38)        )</f>
        <v>80</v>
      </c>
      <c r="EM38" s="78">
        <f t="shared" ref="EM38" si="122">IF(       AND($A$14="TARE",$A$15="TARE"),IF(DI38&gt;0,DI38-VLOOKUP($C38,$B$14:$K$15,COLUMN()-31),0),    IF(UPPER($A$14)="TARE",IF(DI38&gt;0,DI38-DI$14,0),DI38)        )</f>
        <v>85</v>
      </c>
      <c r="EN38" s="78">
        <f t="shared" ref="EN38" si="123">IF(       AND($A$14="TARE",$A$15="TARE"),IF(DJ38&gt;0,DJ38-VLOOKUP($C38,$B$14:$K$15,COLUMN()-31),0),    IF(UPPER($A$14)="TARE",IF(DJ38&gt;0,DJ38-DJ$14,0),DJ38)        )</f>
        <v>75</v>
      </c>
      <c r="EO38" s="78">
        <f t="shared" ref="EO38" si="124">IF(       AND($A$14="TARE",$A$15="TARE"),IF(DK38&gt;0,DK38-VLOOKUP($C38,$B$14:$K$15,COLUMN()-31),0),    IF(UPPER($A$14)="TARE",IF(DK38&gt;0,DK38-DK$14,0),DK38)        )</f>
        <v>70</v>
      </c>
      <c r="EP38" s="78">
        <f t="shared" ref="EP38" si="125">IF(       AND($A$14="TARE",$A$15="TARE"),IF(DL38&gt;0,DL38-VLOOKUP($C38,$B$14:$K$15,COLUMN()-31),0),    IF(UPPER($A$14)="TARE",IF(DL38&gt;0,DL38-DL$14,0),DL38)        )</f>
        <v>75</v>
      </c>
      <c r="EQ38" s="78">
        <f t="shared" ref="EQ38" si="126">IF(       AND($A$14="TARE",$A$15="TARE"),IF(DM38&gt;0,DM38-VLOOKUP($C38,$B$14:$K$15,COLUMN()-31),0),    IF(UPPER($A$14)="TARE",IF(DM38&gt;0,DM38-DM$14,0),DM38)        )</f>
        <v>80</v>
      </c>
      <c r="ER38" s="78">
        <f t="shared" ref="ER38" si="127">IF(       AND($A$14="TARE",$A$15="TARE"),IF(DN38&gt;0,DN38-VLOOKUP($C38,$B$14:$K$15,COLUMN()-31),0),    IF(UPPER($A$14)="TARE",IF(DN38&gt;0,DN38-DN$14,0),DN38)        )</f>
        <v>85</v>
      </c>
      <c r="ES38" s="78">
        <f t="shared" ref="ES38" si="128">IF(       AND($A$14="TARE",$A$15="TARE"),IF(DO38&gt;0,DO38-VLOOKUP($C38,$B$14:$K$15,COLUMN()-31),0),    IF(UPPER($A$14)="TARE",IF(DO38&gt;0,DO38-DO$14,0),DO38)        )</f>
        <v>90</v>
      </c>
      <c r="ET38" s="78">
        <f t="shared" ref="ET38" si="129">IF(       AND($A$14="TARE",$A$15="TARE"),IF(DP38&gt;0,DP38-VLOOKUP($C38,$B$14:$K$15,COLUMN()-31),0),    IF(UPPER($A$14)="TARE",IF(DP38&gt;0,DP38-DP$14,0),DP38)        )</f>
        <v>95</v>
      </c>
      <c r="EU38" s="78">
        <f t="shared" ref="EU38" si="130">IF(       AND($A$14="TARE",$A$15="TARE"),IF(DQ38&gt;0,DQ38-VLOOKUP($C38,$B$14:$K$15,COLUMN()-31),0),    IF(UPPER($A$14)="TARE",IF(DQ38&gt;0,DQ38-DQ$14,0),DQ38)        )</f>
        <v>100</v>
      </c>
      <c r="EV38" s="78">
        <f t="shared" ref="EV38" si="131">IF(       AND($A$14="TARE",$A$15="TARE"),IF(DR38&gt;0,DR38-VLOOKUP($C38,$B$14:$K$15,COLUMN()-31),0),    IF(UPPER($A$14)="TARE",IF(DR38&gt;0,DR38-DR$14,0),DR38)        )</f>
        <v>105</v>
      </c>
      <c r="EW38" s="78">
        <f t="shared" ref="EW38" si="132">IF(       AND($A$14="TARE",$A$15="TARE"),IF(DS38&gt;0,DS38-VLOOKUP($C38,$B$14:$K$15,COLUMN()-31),0),    IF(UPPER($A$14)="TARE",IF(DS38&gt;0,DS38-DS$14,0),DS38)        )</f>
        <v>110</v>
      </c>
      <c r="EX38" s="78">
        <f t="shared" ref="EX38" si="133">IF(       AND($A$14="TARE",$A$15="TARE"),IF(DT38&gt;0,DT38-VLOOKUP($C38,$B$14:$K$15,COLUMN()-31),0),    IF(UPPER($A$14)="TARE",IF(DT38&gt;0,DT38-DT$14,0),DT38)        )</f>
        <v>115</v>
      </c>
      <c r="EY38" s="78">
        <f t="shared" ref="EY38" si="134">IF(       AND($A$14="TARE",$A$15="TARE"),IF(DU38&gt;0,DU38-VLOOKUP($C38,$B$14:$K$15,COLUMN()-31),0),    IF(UPPER($A$14)="TARE",IF(DU38&gt;0,DU38-DU$14,0),DU38)        )</f>
        <v>120</v>
      </c>
      <c r="EZ38" s="78"/>
      <c r="FA38" s="78"/>
      <c r="FB38" s="78"/>
      <c r="FD38" s="80">
        <f t="shared" si="39"/>
        <v>6.4896755162241888</v>
      </c>
      <c r="FE38" s="80">
        <f t="shared" si="40"/>
        <v>6.1946902654867255</v>
      </c>
      <c r="FF38" s="80">
        <f t="shared" si="41"/>
        <v>5.8997050147492622</v>
      </c>
      <c r="FG38" s="80">
        <f t="shared" si="42"/>
        <v>5.6047197640117989</v>
      </c>
      <c r="FH38" s="80">
        <f t="shared" si="43"/>
        <v>4.71976401179941</v>
      </c>
      <c r="FI38" s="80">
        <f t="shared" si="44"/>
        <v>5.0147492625368733</v>
      </c>
      <c r="FJ38" s="80">
        <f t="shared" si="45"/>
        <v>4.4247787610619467</v>
      </c>
      <c r="FK38" s="80">
        <f t="shared" si="46"/>
        <v>4.1297935103244834</v>
      </c>
      <c r="FL38" s="80">
        <f t="shared" si="47"/>
        <v>4.4247787610619467</v>
      </c>
      <c r="FM38" s="80">
        <f t="shared" si="48"/>
        <v>4.71976401179941</v>
      </c>
      <c r="FN38" s="80">
        <f t="shared" si="49"/>
        <v>5.0147492625368733</v>
      </c>
      <c r="FO38" s="80">
        <f t="shared" si="50"/>
        <v>5.3097345132743365</v>
      </c>
      <c r="FP38" s="80">
        <f t="shared" si="51"/>
        <v>5.6047197640117989</v>
      </c>
      <c r="FQ38" s="80">
        <f t="shared" si="52"/>
        <v>5.8997050147492622</v>
      </c>
      <c r="FR38" s="80">
        <f t="shared" si="53"/>
        <v>6.1946902654867255</v>
      </c>
      <c r="FS38" s="80">
        <f t="shared" si="54"/>
        <v>6.4896755162241888</v>
      </c>
      <c r="FT38" s="80">
        <f t="shared" si="55"/>
        <v>6.7846607669616521</v>
      </c>
      <c r="FU38" s="80">
        <f t="shared" si="56"/>
        <v>7.0796460176991154</v>
      </c>
      <c r="FV38" s="80">
        <f t="shared" si="57"/>
        <v>0</v>
      </c>
      <c r="FW38" s="80">
        <f t="shared" si="58"/>
        <v>0</v>
      </c>
      <c r="FX38" s="80">
        <f t="shared" si="59"/>
        <v>0</v>
      </c>
    </row>
    <row r="39" spans="1:180" ht="15.6" thickTop="1" thickBot="1" x14ac:dyDescent="0.35">
      <c r="A39" s="62">
        <f t="shared" si="3"/>
        <v>37</v>
      </c>
      <c r="B39" s="99" t="s">
        <v>117</v>
      </c>
      <c r="C39" s="62" t="str">
        <f t="shared" si="0"/>
        <v xml:space="preserve">37: PSA dry sieve 16-1.4mm +pan @ 1/2 phi                                      </v>
      </c>
      <c r="D39" s="63">
        <f t="shared" si="4"/>
        <v>1</v>
      </c>
      <c r="E39" s="62">
        <v>1</v>
      </c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4">
        <f t="shared" si="20"/>
        <v>9</v>
      </c>
      <c r="Z39" s="66" t="s">
        <v>150</v>
      </c>
      <c r="AA39" s="66" t="s">
        <v>160</v>
      </c>
      <c r="AB39" s="66" t="s">
        <v>151</v>
      </c>
      <c r="AC39" s="66" t="s">
        <v>152</v>
      </c>
      <c r="AD39" s="66" t="s">
        <v>153</v>
      </c>
      <c r="AE39" s="66" t="s">
        <v>154</v>
      </c>
      <c r="AF39" s="66" t="s">
        <v>236</v>
      </c>
      <c r="AG39" s="66" t="s">
        <v>223</v>
      </c>
      <c r="AH39" s="66" t="s">
        <v>155</v>
      </c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71" t="s">
        <v>150</v>
      </c>
      <c r="BE39" s="71" t="s">
        <v>160</v>
      </c>
      <c r="BF39" s="71" t="s">
        <v>151</v>
      </c>
      <c r="BG39" s="71" t="s">
        <v>152</v>
      </c>
      <c r="BH39" s="71" t="s">
        <v>153</v>
      </c>
      <c r="BI39" s="71" t="s">
        <v>154</v>
      </c>
      <c r="BJ39" s="71" t="s">
        <v>236</v>
      </c>
      <c r="BK39" s="71" t="s">
        <v>223</v>
      </c>
      <c r="BL39" s="71" t="s">
        <v>155</v>
      </c>
      <c r="BM39" s="71"/>
      <c r="BN39" s="71"/>
      <c r="BO39" s="71"/>
      <c r="BP39" s="71"/>
      <c r="BQ39" s="71"/>
      <c r="BR39" s="71"/>
      <c r="BS39" s="71"/>
      <c r="BT39" s="71"/>
      <c r="BU39" s="71"/>
      <c r="BV39" s="71"/>
      <c r="BW39" s="71"/>
      <c r="BX39" s="71"/>
      <c r="BY39" s="71"/>
      <c r="BZ39" s="71" t="s">
        <v>376</v>
      </c>
      <c r="CA39" s="71" t="s">
        <v>387</v>
      </c>
      <c r="CB39" s="71" t="s">
        <v>378</v>
      </c>
      <c r="CC39" s="71" t="s">
        <v>379</v>
      </c>
      <c r="CD39" s="71" t="s">
        <v>380</v>
      </c>
      <c r="CE39" s="71" t="s">
        <v>381</v>
      </c>
      <c r="CF39" s="71" t="s">
        <v>382</v>
      </c>
      <c r="CG39" s="71" t="s">
        <v>383</v>
      </c>
      <c r="CH39" s="71" t="s">
        <v>385</v>
      </c>
      <c r="CI39" s="71"/>
      <c r="CJ39" s="71"/>
      <c r="CK39" s="71"/>
      <c r="CL39" s="71"/>
      <c r="CM39" s="71"/>
      <c r="CN39" s="71"/>
      <c r="CO39" s="71"/>
      <c r="CP39" s="71"/>
      <c r="CQ39" s="71"/>
      <c r="CR39" s="71"/>
      <c r="CS39" s="71"/>
      <c r="CT39" s="71"/>
      <c r="CU39" s="71"/>
      <c r="CV39" s="71"/>
      <c r="CW39" s="71"/>
      <c r="CX39" s="71"/>
      <c r="CY39" s="71"/>
      <c r="CZ39" s="71"/>
      <c r="DA39" s="71"/>
      <c r="DB39" s="71"/>
      <c r="DC39" s="74">
        <f t="shared" si="2"/>
        <v>37</v>
      </c>
      <c r="DD39">
        <v>110</v>
      </c>
      <c r="DE39">
        <v>105</v>
      </c>
      <c r="DF39">
        <v>100</v>
      </c>
      <c r="DG39">
        <v>95</v>
      </c>
      <c r="DH39">
        <v>80</v>
      </c>
      <c r="DI39">
        <v>85</v>
      </c>
      <c r="DJ39">
        <v>75</v>
      </c>
      <c r="DK39">
        <v>70</v>
      </c>
      <c r="DL39">
        <v>75</v>
      </c>
      <c r="EH39" s="78">
        <f t="shared" si="25"/>
        <v>110</v>
      </c>
      <c r="EI39" s="78">
        <f t="shared" si="25"/>
        <v>105</v>
      </c>
      <c r="EJ39" s="78">
        <f t="shared" ref="EJ39" si="135">IF(       AND($A$14="TARE",$A$15="TARE"),IF(DF39&gt;0,DF39-VLOOKUP($C39,$B$14:$K$15,COLUMN()-31),0),    IF(UPPER($A$14)="TARE",IF(DF39&gt;0,DF39-DF$14,0),DF39)        )</f>
        <v>100</v>
      </c>
      <c r="EK39" s="78">
        <f t="shared" ref="EK39" si="136">IF(       AND($A$14="TARE",$A$15="TARE"),IF(DG39&gt;0,DG39-VLOOKUP($C39,$B$14:$K$15,COLUMN()-31),0),    IF(UPPER($A$14)="TARE",IF(DG39&gt;0,DG39-DG$14,0),DG39)        )</f>
        <v>95</v>
      </c>
      <c r="EL39" s="78">
        <f t="shared" ref="EL39" si="137">IF(       AND($A$14="TARE",$A$15="TARE"),IF(DH39&gt;0,DH39-VLOOKUP($C39,$B$14:$K$15,COLUMN()-31),0),    IF(UPPER($A$14)="TARE",IF(DH39&gt;0,DH39-DH$14,0),DH39)        )</f>
        <v>80</v>
      </c>
      <c r="EM39" s="78">
        <f t="shared" ref="EM39" si="138">IF(       AND($A$14="TARE",$A$15="TARE"),IF(DI39&gt;0,DI39-VLOOKUP($C39,$B$14:$K$15,COLUMN()-31),0),    IF(UPPER($A$14)="TARE",IF(DI39&gt;0,DI39-DI$14,0),DI39)        )</f>
        <v>85</v>
      </c>
      <c r="EN39" s="78">
        <f t="shared" ref="EN39" si="139">IF(       AND($A$14="TARE",$A$15="TARE"),IF(DJ39&gt;0,DJ39-VLOOKUP($C39,$B$14:$K$15,COLUMN()-31),0),    IF(UPPER($A$14)="TARE",IF(DJ39&gt;0,DJ39-DJ$14,0),DJ39)        )</f>
        <v>75</v>
      </c>
      <c r="EO39" s="78">
        <f t="shared" ref="EO39" si="140">IF(       AND($A$14="TARE",$A$15="TARE"),IF(DK39&gt;0,DK39-VLOOKUP($C39,$B$14:$K$15,COLUMN()-31),0),    IF(UPPER($A$14)="TARE",IF(DK39&gt;0,DK39-DK$14,0),DK39)        )</f>
        <v>70</v>
      </c>
      <c r="EP39" s="78">
        <f t="shared" ref="EP39" si="141">IF(       AND($A$14="TARE",$A$15="TARE"),IF(DL39&gt;0,DL39-VLOOKUP($C39,$B$14:$K$15,COLUMN()-31),0),    IF(UPPER($A$14)="TARE",IF(DL39&gt;0,DL39-DL$14,0),DL39)        )</f>
        <v>75</v>
      </c>
      <c r="EQ39" s="78"/>
      <c r="ER39" s="78"/>
      <c r="ES39" s="78"/>
      <c r="ET39" s="78"/>
      <c r="EU39" s="78"/>
      <c r="EV39" s="78"/>
      <c r="EW39" s="78"/>
      <c r="EX39" s="78"/>
      <c r="EY39" s="78"/>
      <c r="EZ39" s="78"/>
      <c r="FA39" s="78"/>
      <c r="FB39" s="78"/>
      <c r="FD39" s="80">
        <f t="shared" si="39"/>
        <v>13.836477987421384</v>
      </c>
      <c r="FE39" s="80">
        <f t="shared" si="40"/>
        <v>13.20754716981132</v>
      </c>
      <c r="FF39" s="80">
        <f t="shared" si="41"/>
        <v>12.578616352201259</v>
      </c>
      <c r="FG39" s="80">
        <f t="shared" si="42"/>
        <v>11.949685534591195</v>
      </c>
      <c r="FH39" s="80">
        <f t="shared" si="43"/>
        <v>10.062893081761008</v>
      </c>
      <c r="FI39" s="80">
        <f t="shared" si="44"/>
        <v>10.691823899371069</v>
      </c>
      <c r="FJ39" s="80">
        <f t="shared" si="45"/>
        <v>9.433962264150944</v>
      </c>
      <c r="FK39" s="80">
        <f t="shared" si="46"/>
        <v>8.8050314465408803</v>
      </c>
      <c r="FL39" s="80">
        <f t="shared" si="47"/>
        <v>9.433962264150944</v>
      </c>
      <c r="FM39" s="80">
        <f t="shared" si="48"/>
        <v>0</v>
      </c>
      <c r="FN39" s="80">
        <f t="shared" si="49"/>
        <v>0</v>
      </c>
      <c r="FO39" s="80">
        <f t="shared" si="50"/>
        <v>0</v>
      </c>
      <c r="FP39" s="80">
        <f t="shared" si="51"/>
        <v>0</v>
      </c>
      <c r="FQ39" s="80">
        <f t="shared" si="52"/>
        <v>0</v>
      </c>
      <c r="FR39" s="80">
        <f t="shared" si="53"/>
        <v>0</v>
      </c>
      <c r="FS39" s="80">
        <f t="shared" si="54"/>
        <v>0</v>
      </c>
      <c r="FT39" s="80">
        <f t="shared" si="55"/>
        <v>0</v>
      </c>
      <c r="FU39" s="80">
        <f t="shared" si="56"/>
        <v>0</v>
      </c>
      <c r="FV39" s="80">
        <f t="shared" si="57"/>
        <v>0</v>
      </c>
      <c r="FW39" s="80">
        <f t="shared" si="58"/>
        <v>0</v>
      </c>
      <c r="FX39" s="80">
        <f t="shared" si="59"/>
        <v>0</v>
      </c>
    </row>
    <row r="40" spans="1:180" ht="15.6" thickTop="1" thickBot="1" x14ac:dyDescent="0.35">
      <c r="A40" s="62">
        <f t="shared" si="3"/>
        <v>38</v>
      </c>
      <c r="B40" s="99" t="s">
        <v>118</v>
      </c>
      <c r="C40" s="62" t="str">
        <f t="shared" si="0"/>
        <v xml:space="preserve">38: PSA dry sieve 8-1mm + pan @ 1/2 phi                                        </v>
      </c>
      <c r="D40" s="63">
        <f t="shared" si="4"/>
        <v>1</v>
      </c>
      <c r="E40" s="62">
        <v>1</v>
      </c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4">
        <f t="shared" si="20"/>
        <v>8</v>
      </c>
      <c r="Z40" s="66" t="s">
        <v>151</v>
      </c>
      <c r="AA40" s="66" t="s">
        <v>152</v>
      </c>
      <c r="AB40" s="66" t="s">
        <v>153</v>
      </c>
      <c r="AC40" s="66" t="s">
        <v>154</v>
      </c>
      <c r="AD40" s="66" t="s">
        <v>236</v>
      </c>
      <c r="AE40" s="66" t="s">
        <v>223</v>
      </c>
      <c r="AF40" s="66" t="s">
        <v>162</v>
      </c>
      <c r="AG40" s="66" t="s">
        <v>155</v>
      </c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71" t="s">
        <v>151</v>
      </c>
      <c r="BE40" s="71" t="s">
        <v>152</v>
      </c>
      <c r="BF40" s="71" t="s">
        <v>153</v>
      </c>
      <c r="BG40" s="71" t="s">
        <v>154</v>
      </c>
      <c r="BH40" s="71" t="s">
        <v>236</v>
      </c>
      <c r="BI40" s="71" t="s">
        <v>223</v>
      </c>
      <c r="BJ40" s="71" t="s">
        <v>162</v>
      </c>
      <c r="BK40" s="71" t="s">
        <v>155</v>
      </c>
      <c r="BL40" s="71"/>
      <c r="BM40" s="71"/>
      <c r="BN40" s="71"/>
      <c r="BO40" s="71"/>
      <c r="BP40" s="71"/>
      <c r="BQ40" s="71"/>
      <c r="BR40" s="71"/>
      <c r="BS40" s="71"/>
      <c r="BT40" s="71"/>
      <c r="BU40" s="71"/>
      <c r="BV40" s="71"/>
      <c r="BW40" s="71"/>
      <c r="BX40" s="71"/>
      <c r="BY40" s="71"/>
      <c r="BZ40" s="71" t="s">
        <v>378</v>
      </c>
      <c r="CA40" s="71" t="s">
        <v>379</v>
      </c>
      <c r="CB40" s="71" t="s">
        <v>380</v>
      </c>
      <c r="CC40" s="71" t="s">
        <v>381</v>
      </c>
      <c r="CD40" s="71" t="s">
        <v>382</v>
      </c>
      <c r="CE40" s="71" t="s">
        <v>383</v>
      </c>
      <c r="CF40" s="71" t="s">
        <v>365</v>
      </c>
      <c r="CG40" s="71" t="s">
        <v>385</v>
      </c>
      <c r="CH40" s="71"/>
      <c r="CI40" s="71"/>
      <c r="CJ40" s="71"/>
      <c r="CK40" s="71"/>
      <c r="CL40" s="71"/>
      <c r="CM40" s="71"/>
      <c r="CN40" s="71"/>
      <c r="CO40" s="71"/>
      <c r="CP40" s="71"/>
      <c r="CQ40" s="71"/>
      <c r="CR40" s="71"/>
      <c r="CS40" s="71"/>
      <c r="CT40" s="71"/>
      <c r="CU40" s="71"/>
      <c r="CV40" s="71"/>
      <c r="CW40" s="71"/>
      <c r="CX40" s="71"/>
      <c r="CY40" s="71"/>
      <c r="CZ40" s="71"/>
      <c r="DA40" s="71"/>
      <c r="DB40" s="71"/>
      <c r="DC40" s="74">
        <f t="shared" si="2"/>
        <v>38</v>
      </c>
      <c r="DD40">
        <v>110</v>
      </c>
      <c r="DE40">
        <v>105</v>
      </c>
      <c r="DF40">
        <v>100</v>
      </c>
      <c r="DG40">
        <v>95</v>
      </c>
      <c r="DH40">
        <v>80</v>
      </c>
      <c r="DI40">
        <v>85</v>
      </c>
      <c r="DJ40">
        <v>75</v>
      </c>
      <c r="DK40">
        <v>70</v>
      </c>
      <c r="EH40" s="78">
        <f t="shared" si="25"/>
        <v>110</v>
      </c>
      <c r="EI40" s="78">
        <f t="shared" si="25"/>
        <v>105</v>
      </c>
      <c r="EJ40" s="78">
        <f t="shared" ref="EJ40" si="142">IF(       AND($A$14="TARE",$A$15="TARE"),IF(DF40&gt;0,DF40-VLOOKUP($C40,$B$14:$K$15,COLUMN()-31),0),    IF(UPPER($A$14)="TARE",IF(DF40&gt;0,DF40-DF$14,0),DF40)        )</f>
        <v>100</v>
      </c>
      <c r="EK40" s="78">
        <f t="shared" ref="EK40" si="143">IF(       AND($A$14="TARE",$A$15="TARE"),IF(DG40&gt;0,DG40-VLOOKUP($C40,$B$14:$K$15,COLUMN()-31),0),    IF(UPPER($A$14)="TARE",IF(DG40&gt;0,DG40-DG$14,0),DG40)        )</f>
        <v>95</v>
      </c>
      <c r="EL40" s="78">
        <f t="shared" ref="EL40" si="144">IF(       AND($A$14="TARE",$A$15="TARE"),IF(DH40&gt;0,DH40-VLOOKUP($C40,$B$14:$K$15,COLUMN()-31),0),    IF(UPPER($A$14)="TARE",IF(DH40&gt;0,DH40-DH$14,0),DH40)        )</f>
        <v>80</v>
      </c>
      <c r="EM40" s="78">
        <f t="shared" ref="EM40" si="145">IF(       AND($A$14="TARE",$A$15="TARE"),IF(DI40&gt;0,DI40-VLOOKUP($C40,$B$14:$K$15,COLUMN()-31),0),    IF(UPPER($A$14)="TARE",IF(DI40&gt;0,DI40-DI$14,0),DI40)        )</f>
        <v>85</v>
      </c>
      <c r="EN40" s="78">
        <f t="shared" ref="EN40" si="146">IF(       AND($A$14="TARE",$A$15="TARE"),IF(DJ40&gt;0,DJ40-VLOOKUP($C40,$B$14:$K$15,COLUMN()-31),0),    IF(UPPER($A$14)="TARE",IF(DJ40&gt;0,DJ40-DJ$14,0),DJ40)        )</f>
        <v>75</v>
      </c>
      <c r="EO40" s="78">
        <f t="shared" ref="EO40" si="147">IF(       AND($A$14="TARE",$A$15="TARE"),IF(DK40&gt;0,DK40-VLOOKUP($C40,$B$14:$K$15,COLUMN()-31),0),    IF(UPPER($A$14)="TARE",IF(DK40&gt;0,DK40-DK$14,0),DK40)        )</f>
        <v>70</v>
      </c>
      <c r="EP40" s="78"/>
      <c r="EQ40" s="78"/>
      <c r="ER40" s="78"/>
      <c r="ES40" s="78"/>
      <c r="ET40" s="78"/>
      <c r="EU40" s="78"/>
      <c r="EV40" s="78"/>
      <c r="EW40" s="78"/>
      <c r="EX40" s="78"/>
      <c r="EY40" s="78"/>
      <c r="EZ40" s="78"/>
      <c r="FA40" s="78"/>
      <c r="FB40" s="78"/>
      <c r="FD40" s="80">
        <f t="shared" si="39"/>
        <v>15.277777777777779</v>
      </c>
      <c r="FE40" s="80">
        <f t="shared" si="40"/>
        <v>14.583333333333334</v>
      </c>
      <c r="FF40" s="80">
        <f t="shared" si="41"/>
        <v>13.888888888888889</v>
      </c>
      <c r="FG40" s="80">
        <f t="shared" si="42"/>
        <v>13.194444444444445</v>
      </c>
      <c r="FH40" s="80">
        <f t="shared" si="43"/>
        <v>11.111111111111111</v>
      </c>
      <c r="FI40" s="80">
        <f t="shared" si="44"/>
        <v>11.805555555555555</v>
      </c>
      <c r="FJ40" s="80">
        <f t="shared" si="45"/>
        <v>10.416666666666668</v>
      </c>
      <c r="FK40" s="80">
        <f t="shared" si="46"/>
        <v>9.7222222222222232</v>
      </c>
      <c r="FL40" s="80">
        <f t="shared" si="47"/>
        <v>0</v>
      </c>
      <c r="FM40" s="80">
        <f t="shared" si="48"/>
        <v>0</v>
      </c>
      <c r="FN40" s="80">
        <f t="shared" si="49"/>
        <v>0</v>
      </c>
      <c r="FO40" s="80">
        <f t="shared" si="50"/>
        <v>0</v>
      </c>
      <c r="FP40" s="80">
        <f t="shared" si="51"/>
        <v>0</v>
      </c>
      <c r="FQ40" s="80">
        <f t="shared" si="52"/>
        <v>0</v>
      </c>
      <c r="FR40" s="80">
        <f t="shared" si="53"/>
        <v>0</v>
      </c>
      <c r="FS40" s="80">
        <f t="shared" si="54"/>
        <v>0</v>
      </c>
      <c r="FT40" s="80">
        <f t="shared" si="55"/>
        <v>0</v>
      </c>
      <c r="FU40" s="80">
        <f t="shared" si="56"/>
        <v>0</v>
      </c>
      <c r="FV40" s="80">
        <f t="shared" si="57"/>
        <v>0</v>
      </c>
      <c r="FW40" s="80">
        <f t="shared" si="58"/>
        <v>0</v>
      </c>
      <c r="FX40" s="80">
        <f t="shared" si="59"/>
        <v>0</v>
      </c>
    </row>
    <row r="41" spans="1:180" ht="15.6" thickTop="1" thickBot="1" x14ac:dyDescent="0.35">
      <c r="A41" s="62">
        <f t="shared" si="3"/>
        <v>39</v>
      </c>
      <c r="B41" s="99" t="s">
        <v>267</v>
      </c>
      <c r="C41" s="62" t="str">
        <f t="shared" si="0"/>
        <v xml:space="preserve">39: Initial weights » then dry sieve 8-1mm + pan @ 1/2 phi                        </v>
      </c>
      <c r="D41" s="63">
        <f t="shared" si="4"/>
        <v>2</v>
      </c>
      <c r="E41" s="62">
        <v>1</v>
      </c>
      <c r="F41" s="62">
        <v>2</v>
      </c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4">
        <f t="shared" si="20"/>
        <v>8</v>
      </c>
      <c r="Z41" s="66" t="s">
        <v>250</v>
      </c>
      <c r="AA41" s="66" t="s">
        <v>151</v>
      </c>
      <c r="AB41" s="66" t="s">
        <v>152</v>
      </c>
      <c r="AC41" s="66" t="s">
        <v>153</v>
      </c>
      <c r="AD41" s="66" t="s">
        <v>154</v>
      </c>
      <c r="AE41" s="66" t="s">
        <v>236</v>
      </c>
      <c r="AF41" s="66" t="s">
        <v>223</v>
      </c>
      <c r="AG41" s="66" t="s">
        <v>155</v>
      </c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71" t="s">
        <v>250</v>
      </c>
      <c r="BE41" s="71" t="s">
        <v>151</v>
      </c>
      <c r="BF41" s="71" t="s">
        <v>152</v>
      </c>
      <c r="BG41" s="71" t="s">
        <v>153</v>
      </c>
      <c r="BH41" s="71" t="s">
        <v>154</v>
      </c>
      <c r="BI41" s="71" t="s">
        <v>236</v>
      </c>
      <c r="BJ41" s="71" t="s">
        <v>223</v>
      </c>
      <c r="BK41" s="71" t="s">
        <v>155</v>
      </c>
      <c r="BL41" s="71"/>
      <c r="BM41" s="71"/>
      <c r="BN41" s="71"/>
      <c r="BO41" s="71"/>
      <c r="BP41" s="71"/>
      <c r="BQ41" s="71"/>
      <c r="BR41" s="71"/>
      <c r="BS41" s="71"/>
      <c r="BT41" s="71"/>
      <c r="BU41" s="71"/>
      <c r="BV41" s="71"/>
      <c r="BW41" s="71"/>
      <c r="BX41" s="71"/>
      <c r="BY41" s="71"/>
      <c r="BZ41" s="71" t="s">
        <v>378</v>
      </c>
      <c r="CA41" s="71" t="s">
        <v>379</v>
      </c>
      <c r="CB41" s="71" t="s">
        <v>380</v>
      </c>
      <c r="CC41" s="71" t="s">
        <v>381</v>
      </c>
      <c r="CD41" s="71" t="s">
        <v>382</v>
      </c>
      <c r="CE41" s="71" t="s">
        <v>383</v>
      </c>
      <c r="CF41" s="71" t="s">
        <v>385</v>
      </c>
      <c r="CG41" s="71"/>
      <c r="CH41" s="71"/>
      <c r="CI41" s="71"/>
      <c r="CJ41" s="71"/>
      <c r="CK41" s="71"/>
      <c r="CL41" s="71"/>
      <c r="CM41" s="71"/>
      <c r="CN41" s="71"/>
      <c r="CO41" s="71"/>
      <c r="CP41" s="71"/>
      <c r="CQ41" s="71"/>
      <c r="CR41" s="71"/>
      <c r="CS41" s="71"/>
      <c r="CT41" s="71"/>
      <c r="CU41" s="71"/>
      <c r="CV41" s="71"/>
      <c r="CW41" s="71"/>
      <c r="CX41" s="71"/>
      <c r="CY41" s="71"/>
      <c r="CZ41" s="71"/>
      <c r="DA41" s="71"/>
      <c r="DB41" s="71"/>
      <c r="DC41" s="74">
        <f t="shared" si="2"/>
        <v>39</v>
      </c>
      <c r="DD41">
        <v>110</v>
      </c>
      <c r="DE41">
        <v>105</v>
      </c>
      <c r="DF41">
        <v>100</v>
      </c>
      <c r="DG41">
        <v>95</v>
      </c>
      <c r="DH41">
        <v>80</v>
      </c>
      <c r="DI41">
        <v>85</v>
      </c>
      <c r="DJ41">
        <v>75</v>
      </c>
      <c r="DK41">
        <v>70</v>
      </c>
      <c r="EH41" s="78">
        <v>611</v>
      </c>
      <c r="EI41" s="78">
        <f t="shared" si="25"/>
        <v>105</v>
      </c>
      <c r="EJ41" s="78">
        <f t="shared" ref="EJ41" si="148">IF(       AND($A$14="TARE",$A$15="TARE"),IF(DF41&gt;0,DF41-VLOOKUP($C41,$B$14:$K$15,COLUMN()-31),0),    IF(UPPER($A$14)="TARE",IF(DF41&gt;0,DF41-DF$14,0),DF41)        )</f>
        <v>100</v>
      </c>
      <c r="EK41" s="78">
        <f t="shared" ref="EK41" si="149">IF(       AND($A$14="TARE",$A$15="TARE"),IF(DG41&gt;0,DG41-VLOOKUP($C41,$B$14:$K$15,COLUMN()-31),0),    IF(UPPER($A$14)="TARE",IF(DG41&gt;0,DG41-DG$14,0),DG41)        )</f>
        <v>95</v>
      </c>
      <c r="EL41" s="78">
        <f t="shared" ref="EL41" si="150">IF(       AND($A$14="TARE",$A$15="TARE"),IF(DH41&gt;0,DH41-VLOOKUP($C41,$B$14:$K$15,COLUMN()-31),0),    IF(UPPER($A$14)="TARE",IF(DH41&gt;0,DH41-DH$14,0),DH41)        )</f>
        <v>80</v>
      </c>
      <c r="EM41" s="78">
        <f t="shared" ref="EM41" si="151">IF(       AND($A$14="TARE",$A$15="TARE"),IF(DI41&gt;0,DI41-VLOOKUP($C41,$B$14:$K$15,COLUMN()-31),0),    IF(UPPER($A$14)="TARE",IF(DI41&gt;0,DI41-DI$14,0),DI41)        )</f>
        <v>85</v>
      </c>
      <c r="EN41" s="78">
        <f t="shared" ref="EN41" si="152">IF(       AND($A$14="TARE",$A$15="TARE"),IF(DJ41&gt;0,DJ41-VLOOKUP($C41,$B$14:$K$15,COLUMN()-31),0),    IF(UPPER($A$14)="TARE",IF(DJ41&gt;0,DJ41-DJ$14,0),DJ41)        )</f>
        <v>75</v>
      </c>
      <c r="EO41" s="78">
        <f t="shared" ref="EO41" si="153">IF(       AND($A$14="TARE",$A$15="TARE"),IF(DK41&gt;0,DK41-VLOOKUP($C41,$B$14:$K$15,COLUMN()-31),0),    IF(UPPER($A$14)="TARE",IF(DK41&gt;0,DK41-DK$14,0),DK41)        )</f>
        <v>70</v>
      </c>
      <c r="FD41" s="80">
        <f>EI41/EH41*100</f>
        <v>17.184942716857609</v>
      </c>
      <c r="FE41" s="80">
        <f>EJ41/EH41*100</f>
        <v>16.366612111292962</v>
      </c>
      <c r="FF41" s="80">
        <f>EK41/EH41*100</f>
        <v>15.548281505728315</v>
      </c>
      <c r="FG41" s="80">
        <f>EL41/EH41*100</f>
        <v>13.093289689034371</v>
      </c>
      <c r="FH41" s="80">
        <f>EM41/EH41*100</f>
        <v>13.911620294599016</v>
      </c>
      <c r="FI41" s="80">
        <f>EN41/EH41*100</f>
        <v>12.274959083469723</v>
      </c>
      <c r="FJ41" s="80">
        <f>EO41/EH41*100</f>
        <v>11.456628477905074</v>
      </c>
      <c r="FK41" s="80">
        <f>EP41/EH41*100</f>
        <v>0</v>
      </c>
      <c r="FL41" s="80">
        <f>EQ41/EH41*100</f>
        <v>0</v>
      </c>
      <c r="FM41" s="80">
        <f>ER41/EH41*100</f>
        <v>0</v>
      </c>
      <c r="FN41" s="80">
        <f>ES41/EH41*100</f>
        <v>0</v>
      </c>
      <c r="FO41" s="80">
        <f>ET41/EH41*100</f>
        <v>0</v>
      </c>
      <c r="FP41" s="80">
        <f>EU41/EH41*100</f>
        <v>0</v>
      </c>
      <c r="FQ41" s="80">
        <f>EV41/EH41*100</f>
        <v>0</v>
      </c>
      <c r="FR41" s="80">
        <f>EW41/EH41*100</f>
        <v>0</v>
      </c>
      <c r="FS41" s="80">
        <f>EX41/EH41*100</f>
        <v>0</v>
      </c>
      <c r="FT41" s="80">
        <f>EY41/EH41*100</f>
        <v>0</v>
      </c>
      <c r="FU41" s="80">
        <f>EZ41/EH41*100</f>
        <v>0</v>
      </c>
      <c r="FV41" s="80">
        <f>FA41/EH41*100</f>
        <v>0</v>
      </c>
      <c r="FW41" s="80">
        <f>FB41/EH41*100</f>
        <v>0</v>
      </c>
      <c r="FX41" s="80">
        <f>FC41/EH41*100</f>
        <v>0</v>
      </c>
    </row>
    <row r="42" spans="1:180" ht="15.6" thickTop="1" thickBot="1" x14ac:dyDescent="0.35">
      <c r="A42" s="62">
        <f t="shared" si="3"/>
        <v>40</v>
      </c>
      <c r="B42" s="99" t="s">
        <v>119</v>
      </c>
      <c r="C42" s="62" t="str">
        <f t="shared" si="0"/>
        <v xml:space="preserve">40: psa DRY SIEVE 4-0.063MM + PAN SANDS @ WHOLE PHI                            </v>
      </c>
      <c r="D42" s="63">
        <f t="shared" si="4"/>
        <v>1</v>
      </c>
      <c r="E42" s="62">
        <v>1</v>
      </c>
      <c r="F42" s="62"/>
      <c r="G42" s="62"/>
      <c r="H42" s="62"/>
      <c r="I42" s="62"/>
      <c r="J42" s="62"/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4">
        <f t="shared" si="20"/>
        <v>8</v>
      </c>
      <c r="Z42" s="66" t="s">
        <v>158</v>
      </c>
      <c r="AA42" s="66" t="s">
        <v>159</v>
      </c>
      <c r="AB42" s="66" t="s">
        <v>162</v>
      </c>
      <c r="AC42" s="66" t="s">
        <v>163</v>
      </c>
      <c r="AD42" s="66" t="s">
        <v>164</v>
      </c>
      <c r="AE42" s="66" t="s">
        <v>165</v>
      </c>
      <c r="AF42" s="66" t="s">
        <v>168</v>
      </c>
      <c r="AG42" s="66" t="s">
        <v>155</v>
      </c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71" t="s">
        <v>158</v>
      </c>
      <c r="BE42" s="71" t="s">
        <v>159</v>
      </c>
      <c r="BF42" s="71" t="s">
        <v>162</v>
      </c>
      <c r="BG42" s="71" t="s">
        <v>163</v>
      </c>
      <c r="BH42" s="71" t="s">
        <v>164</v>
      </c>
      <c r="BI42" s="71" t="s">
        <v>165</v>
      </c>
      <c r="BJ42" s="71" t="s">
        <v>168</v>
      </c>
      <c r="BK42" s="71" t="s">
        <v>155</v>
      </c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/>
      <c r="BZ42" s="71" t="s">
        <v>363</v>
      </c>
      <c r="CA42" s="71" t="s">
        <v>364</v>
      </c>
      <c r="CB42" s="71" t="s">
        <v>365</v>
      </c>
      <c r="CC42" s="71" t="s">
        <v>366</v>
      </c>
      <c r="CD42" s="71" t="s">
        <v>367</v>
      </c>
      <c r="CE42" s="71" t="s">
        <v>368</v>
      </c>
      <c r="CF42" s="71" t="s">
        <v>369</v>
      </c>
      <c r="CG42" s="71" t="s">
        <v>385</v>
      </c>
      <c r="CH42" s="71"/>
      <c r="CI42" s="71"/>
      <c r="CJ42" s="71"/>
      <c r="CK42" s="71"/>
      <c r="CL42" s="71"/>
      <c r="CM42" s="71"/>
      <c r="CN42" s="71"/>
      <c r="CO42" s="71"/>
      <c r="CP42" s="71"/>
      <c r="CQ42" s="71"/>
      <c r="CR42" s="71"/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4">
        <f t="shared" si="2"/>
        <v>40</v>
      </c>
      <c r="DD42">
        <v>110</v>
      </c>
      <c r="DE42">
        <v>105</v>
      </c>
      <c r="DF42">
        <v>100</v>
      </c>
      <c r="DG42">
        <v>95</v>
      </c>
      <c r="DH42">
        <v>80</v>
      </c>
      <c r="DI42">
        <v>85</v>
      </c>
      <c r="DJ42">
        <v>75</v>
      </c>
      <c r="DK42">
        <v>70</v>
      </c>
      <c r="EH42" s="78">
        <f>IF(       AND($A$14="TARE",$A$15="TARE"),IF(DD42&gt;0,DD42-VLOOKUP($C42,$B$14:$K$15,COLUMN()-31),0),    IF(UPPER($A$14)="TARE",IF(DD42&gt;0,DD42-DD$14,0),DD42)        )</f>
        <v>110</v>
      </c>
      <c r="EI42" s="78">
        <f t="shared" ref="EI42:EO43" si="154">IF(       AND($A$14="TARE",$A$15="TARE"),IF(DE42&gt;0,DE42-VLOOKUP($C42,$B$14:$K$15,COLUMN()-31),0),    IF(UPPER($A$14)="TARE",IF(DE42&gt;0,DE42-DE$14,0),DE42)        )</f>
        <v>105</v>
      </c>
      <c r="EJ42" s="78">
        <f t="shared" ref="EJ42" si="155">IF(       AND($A$14="TARE",$A$15="TARE"),IF(DF42&gt;0,DF42-VLOOKUP($C42,$B$14:$K$15,COLUMN()-31),0),    IF(UPPER($A$14)="TARE",IF(DF42&gt;0,DF42-DF$14,0),DF42)        )</f>
        <v>100</v>
      </c>
      <c r="EK42" s="78">
        <f t="shared" ref="EK42" si="156">IF(       AND($A$14="TARE",$A$15="TARE"),IF(DG42&gt;0,DG42-VLOOKUP($C42,$B$14:$K$15,COLUMN()-31),0),    IF(UPPER($A$14)="TARE",IF(DG42&gt;0,DG42-DG$14,0),DG42)        )</f>
        <v>95</v>
      </c>
      <c r="EL42" s="78">
        <f t="shared" ref="EL42" si="157">IF(       AND($A$14="TARE",$A$15="TARE"),IF(DH42&gt;0,DH42-VLOOKUP($C42,$B$14:$K$15,COLUMN()-31),0),    IF(UPPER($A$14)="TARE",IF(DH42&gt;0,DH42-DH$14,0),DH42)        )</f>
        <v>80</v>
      </c>
      <c r="EM42" s="78">
        <f t="shared" ref="EM42" si="158">IF(       AND($A$14="TARE",$A$15="TARE"),IF(DI42&gt;0,DI42-VLOOKUP($C42,$B$14:$K$15,COLUMN()-31),0),    IF(UPPER($A$14)="TARE",IF(DI42&gt;0,DI42-DI$14,0),DI42)        )</f>
        <v>85</v>
      </c>
      <c r="EN42" s="78">
        <f t="shared" ref="EN42" si="159">IF(       AND($A$14="TARE",$A$15="TARE"),IF(DJ42&gt;0,DJ42-VLOOKUP($C42,$B$14:$K$15,COLUMN()-31),0),    IF(UPPER($A$14)="TARE",IF(DJ42&gt;0,DJ42-DJ$14,0),DJ42)        )</f>
        <v>75</v>
      </c>
      <c r="EO42" s="78">
        <f t="shared" ref="EO42" si="160">IF(       AND($A$14="TARE",$A$15="TARE"),IF(DK42&gt;0,DK42-VLOOKUP($C42,$B$14:$K$15,COLUMN()-31),0),    IF(UPPER($A$14)="TARE",IF(DK42&gt;0,DK42-DK$14,0),DK42)        )</f>
        <v>70</v>
      </c>
      <c r="FD42" s="80">
        <f>EH42/SUM(EH42:FB42)*100</f>
        <v>15.277777777777779</v>
      </c>
      <c r="FE42" s="80">
        <f>EI42/SUM(EH42:FB42)*100</f>
        <v>14.583333333333334</v>
      </c>
      <c r="FF42" s="80">
        <f>EJ42/SUM(EH42:FB42)*100</f>
        <v>13.888888888888889</v>
      </c>
      <c r="FG42" s="80">
        <f>EK42/SUM(EH42:FB42)*100</f>
        <v>13.194444444444445</v>
      </c>
      <c r="FH42" s="80">
        <f>EL42/SUM(EH42:FB42)*100</f>
        <v>11.111111111111111</v>
      </c>
      <c r="FI42" s="80">
        <f>EM42/SUM(EH42:FB42)*100</f>
        <v>11.805555555555555</v>
      </c>
      <c r="FJ42" s="80">
        <f>EN42/SUM(EH42:FB42)*100</f>
        <v>10.416666666666668</v>
      </c>
      <c r="FK42" s="80">
        <f>EO42/SUM(EH42:FB42)*100</f>
        <v>9.7222222222222232</v>
      </c>
      <c r="FL42" s="80">
        <f>EP42/SUM(EH42:FB42)*100</f>
        <v>0</v>
      </c>
      <c r="FM42" s="80">
        <f>EQ42/SUM(EH42:FB42)*100</f>
        <v>0</v>
      </c>
      <c r="FN42" s="80">
        <f>ER42/SUM(EH42:FB42)*100</f>
        <v>0</v>
      </c>
      <c r="FO42" s="80">
        <f>ES42/SUM(EH42:FB42)*100</f>
        <v>0</v>
      </c>
      <c r="FP42" s="80">
        <f>ET42/SUM(EH42:FB42)*100</f>
        <v>0</v>
      </c>
      <c r="FQ42" s="80">
        <f>EU42/SUM(EH42:FB42)*100</f>
        <v>0</v>
      </c>
      <c r="FR42" s="80">
        <f>EV42/SUM(EH42:FB42)*100</f>
        <v>0</v>
      </c>
      <c r="FS42" s="80">
        <f>EW42/SUM(EH42:FB42)*100</f>
        <v>0</v>
      </c>
      <c r="FT42" s="80">
        <f>EX42/SUM(EH42:FB42)*100</f>
        <v>0</v>
      </c>
      <c r="FU42" s="80">
        <f>EY42/SUM(EH42:FB42)*100</f>
        <v>0</v>
      </c>
      <c r="FV42" s="80">
        <f>EZ42/SUM(EH42:FB42)*100</f>
        <v>0</v>
      </c>
      <c r="FW42" s="80">
        <f>FA42/SUM(EH42:FB42)*100</f>
        <v>0</v>
      </c>
      <c r="FX42" s="80">
        <f>FB42/SUM(EH42:FB42)*100</f>
        <v>0</v>
      </c>
    </row>
    <row r="43" spans="1:180" ht="15.6" thickTop="1" thickBot="1" x14ac:dyDescent="0.35">
      <c r="A43" s="62">
        <f t="shared" si="3"/>
        <v>41</v>
      </c>
      <c r="B43" s="99" t="s">
        <v>111</v>
      </c>
      <c r="C43" s="62" t="str">
        <f t="shared" si="0"/>
        <v xml:space="preserve">41: PSA dry sieve : 1.4-0.063mm + pan general @ half-phi                       </v>
      </c>
      <c r="D43" s="63">
        <f t="shared" si="4"/>
        <v>1</v>
      </c>
      <c r="E43" s="62">
        <v>1</v>
      </c>
      <c r="F43" s="62"/>
      <c r="G43" s="62"/>
      <c r="H43" s="62"/>
      <c r="I43" s="62"/>
      <c r="J43" s="62"/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4">
        <f t="shared" si="20"/>
        <v>11</v>
      </c>
      <c r="Z43" s="66" t="s">
        <v>223</v>
      </c>
      <c r="AA43" s="66" t="s">
        <v>225</v>
      </c>
      <c r="AB43" s="66" t="s">
        <v>226</v>
      </c>
      <c r="AC43" s="66" t="s">
        <v>227</v>
      </c>
      <c r="AD43" s="66" t="s">
        <v>228</v>
      </c>
      <c r="AE43" s="66" t="s">
        <v>229</v>
      </c>
      <c r="AF43" s="66" t="s">
        <v>230</v>
      </c>
      <c r="AG43" s="66" t="s">
        <v>231</v>
      </c>
      <c r="AH43" s="66" t="s">
        <v>232</v>
      </c>
      <c r="AI43" s="66" t="s">
        <v>233</v>
      </c>
      <c r="AJ43" s="66" t="s">
        <v>155</v>
      </c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71" t="s">
        <v>223</v>
      </c>
      <c r="BE43" s="71" t="s">
        <v>225</v>
      </c>
      <c r="BF43" s="71" t="s">
        <v>226</v>
      </c>
      <c r="BG43" s="71" t="s">
        <v>227</v>
      </c>
      <c r="BH43" s="71" t="s">
        <v>228</v>
      </c>
      <c r="BI43" s="71" t="s">
        <v>229</v>
      </c>
      <c r="BJ43" s="71" t="s">
        <v>230</v>
      </c>
      <c r="BK43" s="71" t="s">
        <v>231</v>
      </c>
      <c r="BL43" s="71" t="s">
        <v>232</v>
      </c>
      <c r="BM43" s="71" t="s">
        <v>233</v>
      </c>
      <c r="BN43" s="71" t="s">
        <v>155</v>
      </c>
      <c r="BO43" s="71"/>
      <c r="BP43" s="71"/>
      <c r="BQ43" s="71"/>
      <c r="BR43" s="71"/>
      <c r="BS43" s="71"/>
      <c r="BT43" s="71"/>
      <c r="BU43" s="71"/>
      <c r="BV43" s="71"/>
      <c r="BW43" s="71"/>
      <c r="BX43" s="71"/>
      <c r="BY43" s="71"/>
      <c r="BZ43" s="71" t="s">
        <v>383</v>
      </c>
      <c r="CA43" s="71" t="s">
        <v>384</v>
      </c>
      <c r="CB43" s="71" t="s">
        <v>397</v>
      </c>
      <c r="CC43" s="71" t="s">
        <v>398</v>
      </c>
      <c r="CD43" s="71" t="s">
        <v>399</v>
      </c>
      <c r="CE43" s="71" t="s">
        <v>400</v>
      </c>
      <c r="CF43" s="71" t="s">
        <v>401</v>
      </c>
      <c r="CG43" s="71" t="s">
        <v>402</v>
      </c>
      <c r="CH43" s="71" t="s">
        <v>403</v>
      </c>
      <c r="CI43" s="71" t="s">
        <v>404</v>
      </c>
      <c r="CJ43" s="71" t="s">
        <v>385</v>
      </c>
      <c r="CK43" s="71"/>
      <c r="CL43" s="71"/>
      <c r="CM43" s="71"/>
      <c r="CN43" s="71"/>
      <c r="CO43" s="71"/>
      <c r="CP43" s="71"/>
      <c r="CQ43" s="71"/>
      <c r="CR43" s="71"/>
      <c r="CS43" s="71"/>
      <c r="CT43" s="71"/>
      <c r="CU43" s="71"/>
      <c r="CV43" s="71"/>
      <c r="CW43" s="71"/>
      <c r="CX43" s="71"/>
      <c r="CY43" s="71"/>
      <c r="CZ43" s="71"/>
      <c r="DA43" s="71"/>
      <c r="DB43" s="71"/>
      <c r="DC43" s="74">
        <f t="shared" si="2"/>
        <v>41</v>
      </c>
      <c r="DD43">
        <v>110</v>
      </c>
      <c r="DE43">
        <v>105</v>
      </c>
      <c r="DF43">
        <v>100</v>
      </c>
      <c r="DG43">
        <v>95</v>
      </c>
      <c r="DH43">
        <v>80</v>
      </c>
      <c r="DI43">
        <v>85</v>
      </c>
      <c r="DJ43">
        <v>75</v>
      </c>
      <c r="DK43">
        <v>70</v>
      </c>
      <c r="DL43">
        <v>75</v>
      </c>
      <c r="DM43">
        <v>80</v>
      </c>
      <c r="DN43">
        <v>85</v>
      </c>
      <c r="EH43" s="78">
        <f>IF(       AND($A$14="TARE",$A$15="TARE"),IF(DD43&gt;0,DD43-VLOOKUP($C43,$B$14:$K$15,COLUMN()-31),0),    IF(UPPER($A$14)="TARE",IF(DD43&gt;0,DD43-DD$14,0),DD43)        )</f>
        <v>110</v>
      </c>
      <c r="EI43" s="78">
        <f t="shared" si="154"/>
        <v>105</v>
      </c>
      <c r="EJ43" s="78">
        <f t="shared" si="154"/>
        <v>100</v>
      </c>
      <c r="EK43" s="78">
        <f t="shared" si="154"/>
        <v>95</v>
      </c>
      <c r="EL43" s="78">
        <f t="shared" si="154"/>
        <v>80</v>
      </c>
      <c r="EM43" s="78">
        <f t="shared" si="154"/>
        <v>85</v>
      </c>
      <c r="EN43" s="78">
        <f t="shared" si="154"/>
        <v>75</v>
      </c>
      <c r="EO43" s="78">
        <f t="shared" si="154"/>
        <v>70</v>
      </c>
      <c r="EP43" s="78">
        <f t="shared" ref="EP43:ER43" si="161">IF(       AND($A$14="TARE",$A$15="TARE"),IF(DL43&gt;0,DL43-VLOOKUP($C43,$B$14:$K$15,COLUMN()-31),0),    IF(UPPER($A$14)="TARE",IF(DL43&gt;0,DL43-DL$14,0),DL43)        )</f>
        <v>75</v>
      </c>
      <c r="EQ43" s="78">
        <f t="shared" si="161"/>
        <v>80</v>
      </c>
      <c r="ER43" s="78">
        <f t="shared" si="161"/>
        <v>85</v>
      </c>
      <c r="FD43" s="80">
        <f>EH43/SUM(EH43:FB43)*100</f>
        <v>11.458333333333332</v>
      </c>
      <c r="FE43" s="80">
        <f>EI43/SUM(EH43:FB43)*100</f>
        <v>10.9375</v>
      </c>
      <c r="FF43" s="80">
        <f>EJ43/SUM(EH43:FB43)*100</f>
        <v>10.416666666666668</v>
      </c>
      <c r="FG43" s="80">
        <f>EK43/SUM(EH43:FB43)*100</f>
        <v>9.8958333333333321</v>
      </c>
      <c r="FH43" s="80">
        <f>EL43/SUM(EH43:FB43)*100</f>
        <v>8.3333333333333321</v>
      </c>
      <c r="FI43" s="80">
        <f>EM43/SUM(EH43:FB43)*100</f>
        <v>8.8541666666666679</v>
      </c>
      <c r="FJ43" s="80">
        <f>EN43/SUM(EH43:FB43)*100</f>
        <v>7.8125</v>
      </c>
      <c r="FK43" s="80">
        <f>EO43/SUM(EH43:FB43)*100</f>
        <v>7.291666666666667</v>
      </c>
      <c r="FL43" s="80">
        <f>EP43/SUM(EH43:FB43)*100</f>
        <v>7.8125</v>
      </c>
      <c r="FM43" s="80">
        <f>EQ43/SUM(EH43:FB43)*100</f>
        <v>8.3333333333333321</v>
      </c>
      <c r="FN43" s="80">
        <f>ER43/SUM(EH43:FB43)*100</f>
        <v>8.8541666666666679</v>
      </c>
      <c r="FO43" s="80">
        <f>ES43/SUM(EH43:FB43)*100</f>
        <v>0</v>
      </c>
      <c r="FP43" s="80">
        <f>ET43/SUM(EH43:FB43)*100</f>
        <v>0</v>
      </c>
      <c r="FQ43" s="80">
        <f>EU43/SUM(EH43:FB43)*100</f>
        <v>0</v>
      </c>
      <c r="FR43" s="80">
        <f>EV43/SUM(EH43:FB43)*100</f>
        <v>0</v>
      </c>
      <c r="FS43" s="80">
        <f>EW43/SUM(EH43:FB43)*100</f>
        <v>0</v>
      </c>
      <c r="FT43" s="80">
        <f>EX43/SUM(EH43:FB43)*100</f>
        <v>0</v>
      </c>
      <c r="FU43" s="80">
        <f>EY43/SUM(EH43:FB43)*100</f>
        <v>0</v>
      </c>
      <c r="FV43" s="80">
        <f>EZ43/SUM(EH43:FB43)*100</f>
        <v>0</v>
      </c>
      <c r="FW43" s="80">
        <f>FA43/SUM(EH43:FB43)*100</f>
        <v>0</v>
      </c>
      <c r="FX43" s="80">
        <f>FB43/SUM(EH43:FB43)*100</f>
        <v>0</v>
      </c>
    </row>
    <row r="44" spans="1:180" ht="15.6" thickTop="1" thickBot="1" x14ac:dyDescent="0.35">
      <c r="A44" s="62">
        <f t="shared" si="3"/>
        <v>42</v>
      </c>
      <c r="B44" s="99" t="s">
        <v>91</v>
      </c>
      <c r="C44" s="62" t="str">
        <f t="shared" si="0"/>
        <v>42: PSA wet siv (phi): MT » MT+dry samp » MT_beakers 32 - 0.063mm &gt; dry beakers</v>
      </c>
      <c r="D44" s="63">
        <f t="shared" si="4"/>
        <v>2</v>
      </c>
      <c r="E44" s="62">
        <v>1</v>
      </c>
      <c r="F44" s="62">
        <v>13</v>
      </c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4">
        <f t="shared" si="20"/>
        <v>22</v>
      </c>
      <c r="Z44" s="66" t="s">
        <v>166</v>
      </c>
      <c r="AA44" s="66" t="s">
        <v>167</v>
      </c>
      <c r="AB44" s="66" t="s">
        <v>461</v>
      </c>
      <c r="AC44" s="66" t="s">
        <v>462</v>
      </c>
      <c r="AD44" s="66" t="s">
        <v>463</v>
      </c>
      <c r="AE44" s="66" t="s">
        <v>464</v>
      </c>
      <c r="AF44" s="66" t="s">
        <v>465</v>
      </c>
      <c r="AG44" s="66" t="s">
        <v>466</v>
      </c>
      <c r="AH44" s="66" t="s">
        <v>467</v>
      </c>
      <c r="AI44" s="66" t="s">
        <v>468</v>
      </c>
      <c r="AJ44" s="66" t="s">
        <v>469</v>
      </c>
      <c r="AK44" s="66" t="s">
        <v>470</v>
      </c>
      <c r="AL44" s="66" t="s">
        <v>471</v>
      </c>
      <c r="AM44" s="66" t="s">
        <v>472</v>
      </c>
      <c r="AN44" s="66" t="s">
        <v>473</v>
      </c>
      <c r="AO44" s="66" t="s">
        <v>474</v>
      </c>
      <c r="AP44" s="66" t="s">
        <v>475</v>
      </c>
      <c r="AQ44" s="66" t="s">
        <v>476</v>
      </c>
      <c r="AR44" s="66" t="s">
        <v>477</v>
      </c>
      <c r="AS44" s="66" t="s">
        <v>478</v>
      </c>
      <c r="AT44" s="66" t="s">
        <v>479</v>
      </c>
      <c r="AU44" s="66" t="s">
        <v>480</v>
      </c>
      <c r="AV44" s="66"/>
      <c r="AW44" s="66"/>
      <c r="AX44" s="66"/>
      <c r="AY44" s="66"/>
      <c r="AZ44" s="66"/>
      <c r="BA44" s="66"/>
      <c r="BB44" s="66"/>
      <c r="BC44" s="66"/>
      <c r="BD44" s="71" t="s">
        <v>349</v>
      </c>
      <c r="BE44" s="71" t="s">
        <v>350</v>
      </c>
      <c r="BF44" s="71" t="s">
        <v>351</v>
      </c>
      <c r="BG44" s="71" t="s">
        <v>352</v>
      </c>
      <c r="BH44" s="71" t="s">
        <v>353</v>
      </c>
      <c r="BI44" s="71" t="s">
        <v>354</v>
      </c>
      <c r="BJ44" s="71" t="s">
        <v>355</v>
      </c>
      <c r="BK44" s="71" t="s">
        <v>356</v>
      </c>
      <c r="BL44" s="71" t="s">
        <v>357</v>
      </c>
      <c r="BM44" s="71" t="s">
        <v>358</v>
      </c>
      <c r="BN44" s="71" t="s">
        <v>359</v>
      </c>
      <c r="BO44" s="71" t="s">
        <v>350</v>
      </c>
      <c r="BP44" s="71" t="s">
        <v>351</v>
      </c>
      <c r="BQ44" s="71" t="s">
        <v>352</v>
      </c>
      <c r="BR44" s="71" t="s">
        <v>353</v>
      </c>
      <c r="BS44" s="71" t="s">
        <v>354</v>
      </c>
      <c r="BT44" s="71" t="s">
        <v>355</v>
      </c>
      <c r="BU44" s="71" t="s">
        <v>356</v>
      </c>
      <c r="BV44" s="71" t="s">
        <v>357</v>
      </c>
      <c r="BW44" s="71" t="s">
        <v>358</v>
      </c>
      <c r="BX44" s="71" t="s">
        <v>359</v>
      </c>
      <c r="BZ44" s="71" t="s">
        <v>360</v>
      </c>
      <c r="CA44" s="71" t="s">
        <v>361</v>
      </c>
      <c r="CB44" s="71" t="s">
        <v>362</v>
      </c>
      <c r="CC44" s="71" t="s">
        <v>363</v>
      </c>
      <c r="CD44" s="71" t="s">
        <v>364</v>
      </c>
      <c r="CE44" s="71" t="s">
        <v>365</v>
      </c>
      <c r="CF44" s="71" t="s">
        <v>366</v>
      </c>
      <c r="CG44" s="71" t="s">
        <v>367</v>
      </c>
      <c r="CH44" s="71" t="s">
        <v>368</v>
      </c>
      <c r="CI44" s="71" t="s">
        <v>369</v>
      </c>
      <c r="CJ44" s="71" t="s">
        <v>360</v>
      </c>
      <c r="CK44" s="71" t="s">
        <v>361</v>
      </c>
      <c r="CL44" s="71" t="s">
        <v>362</v>
      </c>
      <c r="CM44" s="71" t="s">
        <v>363</v>
      </c>
      <c r="CN44" s="71" t="s">
        <v>364</v>
      </c>
      <c r="CO44" s="71" t="s">
        <v>365</v>
      </c>
      <c r="CP44" s="71" t="s">
        <v>366</v>
      </c>
      <c r="CQ44" s="71" t="s">
        <v>367</v>
      </c>
      <c r="CR44" s="71" t="s">
        <v>368</v>
      </c>
      <c r="CS44" s="71" t="s">
        <v>369</v>
      </c>
      <c r="CT44" s="71"/>
      <c r="CU44" s="71"/>
      <c r="CV44" s="71"/>
      <c r="CW44" s="71"/>
      <c r="CX44" s="71"/>
      <c r="CY44" s="71"/>
      <c r="CZ44" s="71"/>
      <c r="DA44" s="71"/>
      <c r="DB44" s="71"/>
      <c r="DC44" s="74">
        <f t="shared" si="2"/>
        <v>42</v>
      </c>
      <c r="DD44">
        <v>100</v>
      </c>
      <c r="DE44">
        <v>180</v>
      </c>
      <c r="DF44">
        <v>100</v>
      </c>
      <c r="DG44">
        <v>102</v>
      </c>
      <c r="DH44">
        <v>104</v>
      </c>
      <c r="DI44">
        <v>106</v>
      </c>
      <c r="DJ44">
        <v>108</v>
      </c>
      <c r="DK44">
        <v>110</v>
      </c>
      <c r="DL44">
        <v>112</v>
      </c>
      <c r="DM44">
        <v>114</v>
      </c>
      <c r="DN44">
        <v>116</v>
      </c>
      <c r="DO44">
        <v>118</v>
      </c>
      <c r="DP44">
        <v>120</v>
      </c>
      <c r="DQ44">
        <v>122</v>
      </c>
      <c r="DR44">
        <v>124</v>
      </c>
      <c r="DS44">
        <v>126</v>
      </c>
      <c r="DT44">
        <v>128</v>
      </c>
      <c r="DU44">
        <v>130</v>
      </c>
      <c r="DV44">
        <v>132</v>
      </c>
      <c r="DW44">
        <v>134</v>
      </c>
      <c r="DX44">
        <v>136</v>
      </c>
      <c r="DY44">
        <v>138</v>
      </c>
      <c r="EH44">
        <f>DE44-DD44</f>
        <v>80</v>
      </c>
      <c r="EI44">
        <f t="shared" ref="EI44:ER44" si="162">DP44-DF44</f>
        <v>20</v>
      </c>
      <c r="EJ44">
        <f t="shared" si="162"/>
        <v>20</v>
      </c>
      <c r="EK44">
        <f t="shared" si="162"/>
        <v>20</v>
      </c>
      <c r="EL44">
        <f t="shared" si="162"/>
        <v>20</v>
      </c>
      <c r="EM44">
        <f t="shared" si="162"/>
        <v>20</v>
      </c>
      <c r="EN44">
        <f t="shared" si="162"/>
        <v>20</v>
      </c>
      <c r="EO44">
        <f t="shared" si="162"/>
        <v>20</v>
      </c>
      <c r="EP44">
        <f t="shared" si="162"/>
        <v>20</v>
      </c>
      <c r="EQ44">
        <f t="shared" si="162"/>
        <v>20</v>
      </c>
      <c r="ER44">
        <f t="shared" si="162"/>
        <v>20</v>
      </c>
    </row>
    <row r="45" spans="1:180" ht="15.6" thickTop="1" thickBot="1" x14ac:dyDescent="0.35">
      <c r="A45" s="62">
        <f t="shared" si="3"/>
        <v>43</v>
      </c>
      <c r="B45" s="101" t="s">
        <v>278</v>
      </c>
      <c r="C45" s="62" t="str">
        <f t="shared" si="0"/>
        <v>43: WSA : MT_100 &gt; MT_250 &gt; wet+100 &gt; soil+250 &gt; dry+100 &gt; dry+250 &gt; rock+250</v>
      </c>
      <c r="D45" s="63">
        <f t="shared" si="4"/>
        <v>7</v>
      </c>
      <c r="E45" s="62">
        <v>1</v>
      </c>
      <c r="F45" s="62">
        <v>2</v>
      </c>
      <c r="G45" s="62">
        <v>3</v>
      </c>
      <c r="H45" s="62">
        <v>4</v>
      </c>
      <c r="I45" s="62">
        <v>5</v>
      </c>
      <c r="J45" s="62">
        <v>6</v>
      </c>
      <c r="K45" s="62">
        <v>7</v>
      </c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4">
        <f t="shared" si="5"/>
        <v>7</v>
      </c>
      <c r="Z45" s="66" t="s">
        <v>142</v>
      </c>
      <c r="AA45" s="66" t="s">
        <v>143</v>
      </c>
      <c r="AB45" s="66" t="s">
        <v>144</v>
      </c>
      <c r="AC45" s="66" t="s">
        <v>145</v>
      </c>
      <c r="AD45" s="66" t="s">
        <v>146</v>
      </c>
      <c r="AE45" s="66" t="s">
        <v>147</v>
      </c>
      <c r="AF45" s="66" t="s">
        <v>148</v>
      </c>
      <c r="AG45" s="66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75" t="s">
        <v>407</v>
      </c>
      <c r="BE45" s="75" t="s">
        <v>408</v>
      </c>
      <c r="BF45" s="71" t="s">
        <v>409</v>
      </c>
      <c r="BG45" s="71" t="s">
        <v>410</v>
      </c>
      <c r="BH45" s="71" t="s">
        <v>411</v>
      </c>
      <c r="BI45" s="71" t="s">
        <v>405</v>
      </c>
      <c r="BJ45" s="75" t="s">
        <v>412</v>
      </c>
      <c r="BK45" s="71" t="s">
        <v>406</v>
      </c>
      <c r="BL45" s="71"/>
      <c r="BM45" s="71"/>
      <c r="BN45" s="71"/>
      <c r="BO45" s="71"/>
      <c r="BP45" s="71"/>
      <c r="BQ45" s="71"/>
      <c r="BR45" s="71"/>
      <c r="BS45" s="71"/>
      <c r="BT45" s="71"/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/>
      <c r="CI45" s="71"/>
      <c r="CJ45" s="71"/>
      <c r="CK45" s="71"/>
      <c r="CL45" s="71"/>
      <c r="CM45" s="71"/>
      <c r="CN45" s="71"/>
      <c r="CO45" s="71"/>
      <c r="CP45" s="71"/>
      <c r="CQ45" s="71"/>
      <c r="CR45" s="71"/>
      <c r="CS45" s="71"/>
      <c r="CT45" s="71"/>
      <c r="CU45" s="71"/>
      <c r="CV45" s="71"/>
      <c r="CW45" s="71"/>
      <c r="CX45" s="71"/>
      <c r="CY45" s="71"/>
      <c r="CZ45" s="71"/>
      <c r="DA45" s="71"/>
      <c r="DB45" s="71"/>
      <c r="DC45" s="74">
        <f t="shared" si="2"/>
        <v>43</v>
      </c>
      <c r="DD45">
        <v>50</v>
      </c>
      <c r="DE45">
        <v>100</v>
      </c>
      <c r="DF45">
        <v>70</v>
      </c>
      <c r="DG45">
        <v>120</v>
      </c>
      <c r="DH45">
        <v>65</v>
      </c>
      <c r="DI45">
        <v>110</v>
      </c>
      <c r="DJ45">
        <v>105</v>
      </c>
      <c r="EH45">
        <f>DF45-DD45</f>
        <v>20</v>
      </c>
      <c r="EI45">
        <f>(DG45-DE45-EL45) * (1-(EM45/100))</f>
        <v>12.1875</v>
      </c>
      <c r="EJ45">
        <f>DF45-DH45</f>
        <v>5</v>
      </c>
      <c r="EK45">
        <f>(DI45-DE45) * (1-(EM45/100))</f>
        <v>7.5</v>
      </c>
      <c r="EL45">
        <f>(DJ45-DE45) * (1-(EM45/100))</f>
        <v>3.75</v>
      </c>
      <c r="EM45">
        <f>EJ45/EH45*100</f>
        <v>25</v>
      </c>
      <c r="EN45">
        <f>EL45/EI45*100</f>
        <v>30.76923076923077</v>
      </c>
      <c r="EO45">
        <f>EK45/EI45*100</f>
        <v>61.53846153846154</v>
      </c>
    </row>
    <row r="46" spans="1:180" ht="15.6" thickTop="1" thickBot="1" x14ac:dyDescent="0.35">
      <c r="A46" s="62">
        <f t="shared" si="3"/>
        <v>44</v>
      </c>
      <c r="B46" s="101" t="s">
        <v>279</v>
      </c>
      <c r="C46" s="62" t="str">
        <f t="shared" si="0"/>
        <v>44: WSA WITHOUT moisture compensation: MT_250» soil+250 &gt; dry+250 &gt; rock+250</v>
      </c>
      <c r="D46" s="63">
        <f t="shared" si="4"/>
        <v>4</v>
      </c>
      <c r="E46" s="62">
        <v>1</v>
      </c>
      <c r="F46" s="62">
        <v>1</v>
      </c>
      <c r="G46" s="62">
        <v>2</v>
      </c>
      <c r="H46" s="62">
        <v>3</v>
      </c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4">
        <f t="shared" si="5"/>
        <v>4</v>
      </c>
      <c r="Z46" s="66" t="s">
        <v>143</v>
      </c>
      <c r="AA46" s="66" t="s">
        <v>145</v>
      </c>
      <c r="AB46" s="66" t="s">
        <v>147</v>
      </c>
      <c r="AC46" s="66" t="s">
        <v>148</v>
      </c>
      <c r="AD46" s="66"/>
      <c r="AE46" s="66"/>
      <c r="AF46" s="66"/>
      <c r="AG46" s="6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75" t="s">
        <v>408</v>
      </c>
      <c r="BE46" s="71" t="s">
        <v>410</v>
      </c>
      <c r="BF46" s="71" t="s">
        <v>411</v>
      </c>
      <c r="BG46" s="75" t="s">
        <v>412</v>
      </c>
      <c r="BH46" s="71" t="s">
        <v>406</v>
      </c>
      <c r="BI46" s="71"/>
      <c r="BJ46" s="71"/>
      <c r="BK46" s="71"/>
      <c r="BL46" s="71"/>
      <c r="BM46" s="71"/>
      <c r="BN46" s="71"/>
      <c r="BO46" s="71"/>
      <c r="BP46" s="71"/>
      <c r="BQ46" s="71"/>
      <c r="BR46" s="71"/>
      <c r="BS46" s="71"/>
      <c r="BT46" s="71"/>
      <c r="BU46" s="71"/>
      <c r="BV46" s="71"/>
      <c r="BW46" s="71"/>
      <c r="BX46" s="71"/>
      <c r="BY46" s="71"/>
      <c r="BZ46" s="71"/>
      <c r="CA46" s="71"/>
      <c r="CB46" s="71"/>
      <c r="CC46" s="71"/>
      <c r="CD46" s="71"/>
      <c r="CE46" s="71"/>
      <c r="CF46" s="71"/>
      <c r="CG46" s="71"/>
      <c r="CH46" s="71"/>
      <c r="CI46" s="71"/>
      <c r="CJ46" s="71"/>
      <c r="CK46" s="71"/>
      <c r="CL46" s="71"/>
      <c r="CM46" s="71"/>
      <c r="CN46" s="71"/>
      <c r="CO46" s="71"/>
      <c r="CP46" s="71"/>
      <c r="CQ46" s="71"/>
      <c r="CR46" s="71"/>
      <c r="CS46" s="71"/>
      <c r="CT46" s="71"/>
      <c r="CU46" s="71"/>
      <c r="CV46" s="71"/>
      <c r="CW46" s="71"/>
      <c r="CX46" s="71"/>
      <c r="CY46" s="71"/>
      <c r="CZ46" s="71"/>
      <c r="DA46" s="71"/>
      <c r="DB46" s="71"/>
      <c r="DC46" s="74">
        <f t="shared" si="2"/>
        <v>44</v>
      </c>
      <c r="DD46">
        <v>120</v>
      </c>
      <c r="DE46">
        <v>140</v>
      </c>
      <c r="DF46">
        <v>130</v>
      </c>
      <c r="DG46">
        <v>125</v>
      </c>
      <c r="EH46">
        <f>DE46-DD46</f>
        <v>20</v>
      </c>
      <c r="EI46">
        <f>DF46-DD46-EJ46</f>
        <v>5</v>
      </c>
      <c r="EJ46">
        <f>DG46-DD46</f>
        <v>5</v>
      </c>
      <c r="EK46">
        <f>EJ46/EH46*100</f>
        <v>25</v>
      </c>
      <c r="EL46">
        <f>EI46/EH46*100</f>
        <v>25</v>
      </c>
    </row>
    <row r="47" spans="1:180" ht="15.6" thickTop="1" thickBot="1" x14ac:dyDescent="0.35">
      <c r="A47" s="62">
        <f t="shared" si="3"/>
        <v>45</v>
      </c>
      <c r="B47" s="98" t="s">
        <v>92</v>
      </c>
      <c r="C47" s="62" t="str">
        <f t="shared" si="0"/>
        <v>45: Suspended sediment: filter » vessel » vessel+water » vol added &gt; dry filter+sed</v>
      </c>
      <c r="D47" s="63">
        <f t="shared" si="4"/>
        <v>2</v>
      </c>
      <c r="E47" s="62">
        <v>1</v>
      </c>
      <c r="F47" s="62">
        <v>5</v>
      </c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4">
        <f t="shared" si="5"/>
        <v>5</v>
      </c>
      <c r="Z47" s="66" t="s">
        <v>169</v>
      </c>
      <c r="AA47" s="66" t="s">
        <v>170</v>
      </c>
      <c r="AB47" s="66" t="s">
        <v>171</v>
      </c>
      <c r="AC47" s="66" t="s">
        <v>172</v>
      </c>
      <c r="AD47" s="66" t="s">
        <v>173</v>
      </c>
      <c r="AE47" s="66"/>
      <c r="AF47" s="66"/>
      <c r="AG47" s="66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71" t="s">
        <v>413</v>
      </c>
      <c r="BE47" s="71" t="s">
        <v>414</v>
      </c>
      <c r="BF47" s="71" t="s">
        <v>415</v>
      </c>
      <c r="BG47" s="71"/>
      <c r="BH47" s="71"/>
      <c r="BI47" s="71"/>
      <c r="BJ47" s="71"/>
      <c r="BK47" s="71"/>
      <c r="BL47" s="71"/>
      <c r="BM47" s="71"/>
      <c r="BN47" s="71"/>
      <c r="BO47" s="71"/>
      <c r="BP47" s="71"/>
      <c r="BQ47" s="71"/>
      <c r="BR47" s="71"/>
      <c r="BS47" s="71"/>
      <c r="BT47" s="71"/>
      <c r="BU47" s="71"/>
      <c r="BV47" s="71"/>
      <c r="BW47" s="71"/>
      <c r="BX47" s="71"/>
      <c r="BY47" s="71"/>
      <c r="BZ47" s="71"/>
      <c r="CA47" s="71"/>
      <c r="CB47" s="71"/>
      <c r="CC47" s="71"/>
      <c r="CD47" s="71"/>
      <c r="CE47" s="71"/>
      <c r="CF47" s="71"/>
      <c r="CG47" s="71"/>
      <c r="CH47" s="71"/>
      <c r="CI47" s="71"/>
      <c r="CJ47" s="71"/>
      <c r="CK47" s="71"/>
      <c r="CL47" s="71"/>
      <c r="CM47" s="71"/>
      <c r="CN47" s="71"/>
      <c r="CO47" s="71"/>
      <c r="CP47" s="71"/>
      <c r="CQ47" s="71"/>
      <c r="CR47" s="71"/>
      <c r="CS47" s="71"/>
      <c r="CT47" s="71"/>
      <c r="CU47" s="71"/>
      <c r="CV47" s="71"/>
      <c r="CW47" s="71"/>
      <c r="CX47" s="71"/>
      <c r="CY47" s="71"/>
      <c r="CZ47" s="71"/>
      <c r="DA47" s="71"/>
      <c r="DB47" s="71"/>
      <c r="DC47" s="74">
        <f t="shared" si="2"/>
        <v>45</v>
      </c>
      <c r="DD47">
        <v>1</v>
      </c>
      <c r="DE47">
        <v>100</v>
      </c>
      <c r="DF47">
        <v>150</v>
      </c>
      <c r="DG47">
        <v>10</v>
      </c>
      <c r="DH47">
        <v>1.2</v>
      </c>
    </row>
    <row r="48" spans="1:180" ht="15.6" thickTop="1" thickBot="1" x14ac:dyDescent="0.35">
      <c r="A48" s="62">
        <f t="shared" si="3"/>
        <v>46</v>
      </c>
      <c r="B48" s="98" t="s">
        <v>263</v>
      </c>
      <c r="C48" s="62" t="str">
        <f t="shared" si="0"/>
        <v xml:space="preserve">46: suspend sed by evap - 1: bkr &gt; bkr+runoff &gt; bkr+dry sed                    </v>
      </c>
      <c r="D48" s="63">
        <f t="shared" si="4"/>
        <v>3</v>
      </c>
      <c r="E48" s="62">
        <v>1</v>
      </c>
      <c r="F48" s="62">
        <v>2</v>
      </c>
      <c r="G48" s="62">
        <v>3</v>
      </c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4">
        <f>COUNTA(Z48:BC48)</f>
        <v>3</v>
      </c>
      <c r="Z48" s="66" t="s">
        <v>214</v>
      </c>
      <c r="AA48" s="66" t="s">
        <v>215</v>
      </c>
      <c r="AB48" s="66" t="s">
        <v>216</v>
      </c>
      <c r="AC48" s="66"/>
      <c r="AD48" s="66"/>
      <c r="AE48" s="66"/>
      <c r="AF48" s="66"/>
      <c r="AG48" s="66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71" t="s">
        <v>416</v>
      </c>
      <c r="BE48" s="71" t="s">
        <v>417</v>
      </c>
      <c r="BF48" s="71" t="s">
        <v>415</v>
      </c>
      <c r="BG48" s="71"/>
      <c r="BH48" s="71"/>
      <c r="BI48" s="71"/>
      <c r="BJ48" s="71"/>
      <c r="BK48" s="71"/>
      <c r="BL48" s="71"/>
      <c r="BM48" s="71"/>
      <c r="BN48" s="71"/>
      <c r="BO48" s="71"/>
      <c r="BP48" s="71"/>
      <c r="BQ48" s="71"/>
      <c r="BR48" s="71"/>
      <c r="BS48" s="71"/>
      <c r="BT48" s="71"/>
      <c r="BU48" s="71"/>
      <c r="BV48" s="71"/>
      <c r="BW48" s="71"/>
      <c r="BX48" s="71"/>
      <c r="BY48" s="71"/>
      <c r="BZ48" s="71"/>
      <c r="CA48" s="71"/>
      <c r="CB48" s="71"/>
      <c r="CC48" s="71"/>
      <c r="CD48" s="71"/>
      <c r="CE48" s="71"/>
      <c r="CF48" s="71"/>
      <c r="CG48" s="71"/>
      <c r="CH48" s="71"/>
      <c r="CI48" s="71"/>
      <c r="CJ48" s="71"/>
      <c r="CK48" s="71"/>
      <c r="CL48" s="71"/>
      <c r="CM48" s="71"/>
      <c r="CN48" s="71"/>
      <c r="CO48" s="71"/>
      <c r="CP48" s="71"/>
      <c r="CQ48" s="71"/>
      <c r="CR48" s="71"/>
      <c r="CS48" s="71"/>
      <c r="CT48" s="71"/>
      <c r="CU48" s="71"/>
      <c r="CV48" s="71"/>
      <c r="CW48" s="71"/>
      <c r="CX48" s="71"/>
      <c r="CY48" s="71"/>
      <c r="CZ48" s="71"/>
      <c r="DA48" s="71"/>
      <c r="DB48" s="71"/>
      <c r="DC48" s="74">
        <f t="shared" si="2"/>
        <v>46</v>
      </c>
      <c r="DD48">
        <v>100</v>
      </c>
      <c r="DE48">
        <v>150</v>
      </c>
      <c r="DF48">
        <v>105</v>
      </c>
      <c r="EH48">
        <f>DF48-DD48</f>
        <v>5</v>
      </c>
      <c r="EI48">
        <f>DE48-DD48</f>
        <v>50</v>
      </c>
      <c r="EJ48">
        <f>(EH48*1000)/(1000/EI48)</f>
        <v>250</v>
      </c>
    </row>
    <row r="49" spans="1:149" ht="15.6" thickTop="1" thickBot="1" x14ac:dyDescent="0.35">
      <c r="A49" s="62">
        <f t="shared" si="3"/>
        <v>47</v>
      </c>
      <c r="B49" s="98" t="s">
        <v>264</v>
      </c>
      <c r="C49" s="62" t="str">
        <f t="shared" si="0"/>
        <v xml:space="preserve">47: suspend sed by evap - 2: bkr » bkr+runoff &gt; bkr+dry sed                    </v>
      </c>
      <c r="D49" s="63">
        <f t="shared" si="4"/>
        <v>2</v>
      </c>
      <c r="E49" s="62">
        <v>1</v>
      </c>
      <c r="F49" s="62">
        <v>3</v>
      </c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4">
        <f>COUNTA(Z49:BC49)</f>
        <v>3</v>
      </c>
      <c r="Z49" s="66" t="s">
        <v>214</v>
      </c>
      <c r="AA49" s="66" t="s">
        <v>215</v>
      </c>
      <c r="AB49" s="66" t="s">
        <v>216</v>
      </c>
      <c r="AC49" s="66"/>
      <c r="AD49" s="66"/>
      <c r="AE49" s="66"/>
      <c r="AF49" s="66"/>
      <c r="AG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71" t="s">
        <v>416</v>
      </c>
      <c r="BE49" s="71" t="s">
        <v>417</v>
      </c>
      <c r="BF49" s="71" t="s">
        <v>415</v>
      </c>
      <c r="BG49" s="71"/>
      <c r="BH49" s="71"/>
      <c r="BI49" s="71"/>
      <c r="BJ49" s="71"/>
      <c r="BK49" s="71"/>
      <c r="BL49" s="71"/>
      <c r="BM49" s="71"/>
      <c r="BN49" s="71"/>
      <c r="BO49" s="71"/>
      <c r="BP49" s="71"/>
      <c r="BQ49" s="71"/>
      <c r="BR49" s="71"/>
      <c r="BS49" s="71"/>
      <c r="BT49" s="71"/>
      <c r="BU49" s="71"/>
      <c r="BV49" s="71"/>
      <c r="BW49" s="71"/>
      <c r="BX49" s="71"/>
      <c r="BY49" s="71"/>
      <c r="BZ49" s="71"/>
      <c r="CA49" s="71"/>
      <c r="CB49" s="71"/>
      <c r="CC49" s="71"/>
      <c r="CD49" s="71"/>
      <c r="CE49" s="71"/>
      <c r="CF49" s="71"/>
      <c r="CG49" s="71"/>
      <c r="CH49" s="71"/>
      <c r="CI49" s="71"/>
      <c r="CJ49" s="71"/>
      <c r="CK49" s="71"/>
      <c r="CL49" s="71"/>
      <c r="CM49" s="71"/>
      <c r="CN49" s="71"/>
      <c r="CO49" s="71"/>
      <c r="CP49" s="71"/>
      <c r="CQ49" s="71"/>
      <c r="CR49" s="71"/>
      <c r="CS49" s="71"/>
      <c r="CT49" s="71"/>
      <c r="CU49" s="71"/>
      <c r="CV49" s="71"/>
      <c r="CW49" s="71"/>
      <c r="CX49" s="71"/>
      <c r="CY49" s="71"/>
      <c r="CZ49" s="71"/>
      <c r="DA49" s="71"/>
      <c r="DB49" s="71"/>
      <c r="DC49" s="74">
        <f t="shared" si="2"/>
        <v>47</v>
      </c>
      <c r="DD49">
        <v>100</v>
      </c>
      <c r="DE49">
        <v>150</v>
      </c>
      <c r="DF49">
        <v>105</v>
      </c>
      <c r="EH49">
        <f>DF49-DD49</f>
        <v>5</v>
      </c>
      <c r="EI49">
        <f>DE49-DD49</f>
        <v>50</v>
      </c>
      <c r="EJ49">
        <f>(EH49*1000)/(1000/EI49)</f>
        <v>250</v>
      </c>
    </row>
    <row r="50" spans="1:149" ht="15.6" thickTop="1" thickBot="1" x14ac:dyDescent="0.35">
      <c r="A50" s="62">
        <f t="shared" si="3"/>
        <v>48</v>
      </c>
      <c r="B50" s="62" t="s">
        <v>93</v>
      </c>
      <c r="C50" s="62" t="str">
        <f t="shared" si="0"/>
        <v>48: Gravimetric CaCO3 content: MT flask » with sed &gt; final weight after 1 hour</v>
      </c>
      <c r="D50" s="63">
        <f t="shared" si="4"/>
        <v>2</v>
      </c>
      <c r="E50" s="62">
        <v>1</v>
      </c>
      <c r="F50" s="62">
        <v>3</v>
      </c>
      <c r="G50" s="62"/>
      <c r="H50" s="62"/>
      <c r="I50" s="62"/>
      <c r="J50" s="62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4">
        <f t="shared" si="5"/>
        <v>3</v>
      </c>
      <c r="Z50" s="66" t="s">
        <v>174</v>
      </c>
      <c r="AA50" s="66" t="s">
        <v>175</v>
      </c>
      <c r="AB50" s="66" t="s">
        <v>176</v>
      </c>
      <c r="AC50" s="66"/>
      <c r="AD50" s="66"/>
      <c r="AE50" s="66"/>
      <c r="AF50" s="66"/>
      <c r="AG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71" t="s">
        <v>416</v>
      </c>
      <c r="BE50" s="71" t="s">
        <v>343</v>
      </c>
      <c r="BF50" s="71"/>
      <c r="BG50" s="71"/>
      <c r="BH50" s="71"/>
      <c r="BI50" s="71"/>
      <c r="BJ50" s="71"/>
      <c r="BK50" s="71"/>
      <c r="BL50" s="71"/>
      <c r="BM50" s="71"/>
      <c r="BN50" s="71"/>
      <c r="BO50" s="71"/>
      <c r="BP50" s="71"/>
      <c r="BQ50" s="71"/>
      <c r="BR50" s="71"/>
      <c r="BS50" s="71"/>
      <c r="BT50" s="71"/>
      <c r="BU50" s="71"/>
      <c r="BV50" s="71"/>
      <c r="BW50" s="71"/>
      <c r="BX50" s="71"/>
      <c r="BY50" s="71"/>
      <c r="BZ50" s="71"/>
      <c r="CA50" s="71"/>
      <c r="CB50" s="71"/>
      <c r="CC50" s="71"/>
      <c r="CD50" s="71"/>
      <c r="CE50" s="71"/>
      <c r="CF50" s="71"/>
      <c r="CG50" s="71"/>
      <c r="CH50" s="71"/>
      <c r="CI50" s="71"/>
      <c r="CJ50" s="71"/>
      <c r="CK50" s="71"/>
      <c r="CL50" s="71"/>
      <c r="CM50" s="71"/>
      <c r="CN50" s="71"/>
      <c r="CO50" s="71"/>
      <c r="CP50" s="71"/>
      <c r="CQ50" s="71"/>
      <c r="CR50" s="71"/>
      <c r="CS50" s="71"/>
      <c r="CT50" s="71"/>
      <c r="CU50" s="71"/>
      <c r="CV50" s="71"/>
      <c r="CW50" s="71"/>
      <c r="CX50" s="71"/>
      <c r="CY50" s="71"/>
      <c r="CZ50" s="71"/>
      <c r="DA50" s="71"/>
      <c r="DB50" s="71"/>
      <c r="DC50" s="74">
        <f t="shared" si="2"/>
        <v>48</v>
      </c>
      <c r="DD50">
        <v>100</v>
      </c>
      <c r="DE50">
        <v>110</v>
      </c>
      <c r="DF50">
        <v>105</v>
      </c>
      <c r="EH50">
        <f>DE50-DD50</f>
        <v>10</v>
      </c>
      <c r="EI50">
        <f>(DF50-DD50)/EH50*100</f>
        <v>50</v>
      </c>
    </row>
    <row r="51" spans="1:149" ht="15.6" thickTop="1" thickBot="1" x14ac:dyDescent="0.35">
      <c r="A51" s="62">
        <f t="shared" si="3"/>
        <v>49</v>
      </c>
      <c r="B51" s="102" t="s">
        <v>94</v>
      </c>
      <c r="C51" s="62" t="str">
        <f t="shared" si="0"/>
        <v>49: Plastic limits: MT V1 »V2 »V3 &gt; wet V1 »V2 »V3 &gt; dry V1 » V2 » V3</v>
      </c>
      <c r="D51" s="63">
        <f t="shared" si="4"/>
        <v>3</v>
      </c>
      <c r="E51" s="62">
        <v>1</v>
      </c>
      <c r="F51" s="62">
        <v>4</v>
      </c>
      <c r="G51" s="62">
        <v>7</v>
      </c>
      <c r="H51" s="62"/>
      <c r="I51" s="62"/>
      <c r="J51" s="62"/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4">
        <f t="shared" si="5"/>
        <v>9</v>
      </c>
      <c r="Z51" s="66" t="s">
        <v>177</v>
      </c>
      <c r="AA51" s="66" t="s">
        <v>178</v>
      </c>
      <c r="AB51" s="66" t="s">
        <v>179</v>
      </c>
      <c r="AC51" s="66" t="s">
        <v>180</v>
      </c>
      <c r="AD51" s="66" t="s">
        <v>181</v>
      </c>
      <c r="AE51" s="66" t="s">
        <v>182</v>
      </c>
      <c r="AF51" s="66" t="s">
        <v>183</v>
      </c>
      <c r="AG51" s="66" t="s">
        <v>184</v>
      </c>
      <c r="AH51" s="66" t="s">
        <v>185</v>
      </c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71" t="s">
        <v>418</v>
      </c>
      <c r="BE51" s="71" t="s">
        <v>419</v>
      </c>
      <c r="BF51" s="71" t="s">
        <v>420</v>
      </c>
      <c r="BG51" s="75" t="s">
        <v>421</v>
      </c>
      <c r="BH51" s="75" t="s">
        <v>422</v>
      </c>
      <c r="BI51" s="75" t="s">
        <v>423</v>
      </c>
      <c r="BJ51" s="71" t="s">
        <v>424</v>
      </c>
      <c r="BK51" s="71" t="s">
        <v>425</v>
      </c>
      <c r="BL51" s="71" t="s">
        <v>426</v>
      </c>
      <c r="BM51" s="71"/>
      <c r="BN51" s="71"/>
      <c r="BO51" s="71"/>
      <c r="BP51" s="71"/>
      <c r="BQ51" s="71"/>
      <c r="BR51" s="71"/>
      <c r="BS51" s="71"/>
      <c r="BT51" s="71"/>
      <c r="BU51" s="71"/>
      <c r="BV51" s="71"/>
      <c r="BW51" s="71"/>
      <c r="BX51" s="71"/>
      <c r="BY51" s="71"/>
      <c r="BZ51" s="71"/>
      <c r="CA51" s="71"/>
      <c r="CB51" s="71"/>
      <c r="CC51" s="71"/>
      <c r="CD51" s="71"/>
      <c r="CE51" s="71"/>
      <c r="CF51" s="71"/>
      <c r="CG51" s="71"/>
      <c r="CH51" s="71"/>
      <c r="CI51" s="71"/>
      <c r="CJ51" s="71"/>
      <c r="CK51" s="71"/>
      <c r="CL51" s="71"/>
      <c r="CM51" s="71"/>
      <c r="CN51" s="71"/>
      <c r="CO51" s="71"/>
      <c r="CP51" s="71"/>
      <c r="CQ51" s="71"/>
      <c r="CR51" s="71"/>
      <c r="CS51" s="71"/>
      <c r="CT51" s="71"/>
      <c r="CU51" s="71"/>
      <c r="CV51" s="71"/>
      <c r="CW51" s="71"/>
      <c r="CX51" s="71"/>
      <c r="CY51" s="71"/>
      <c r="CZ51" s="71"/>
      <c r="DA51" s="71"/>
      <c r="DB51" s="71"/>
      <c r="DC51" s="74">
        <f t="shared" si="2"/>
        <v>49</v>
      </c>
      <c r="DD51">
        <v>10</v>
      </c>
      <c r="DE51">
        <v>10</v>
      </c>
      <c r="DF51">
        <v>10</v>
      </c>
      <c r="DG51">
        <v>12</v>
      </c>
      <c r="DH51">
        <v>14</v>
      </c>
      <c r="DI51">
        <v>16</v>
      </c>
      <c r="DJ51">
        <v>11</v>
      </c>
      <c r="DK51">
        <v>11</v>
      </c>
      <c r="DL51">
        <v>11</v>
      </c>
      <c r="EH51">
        <f>DJ51-DD51</f>
        <v>1</v>
      </c>
      <c r="EI51">
        <f>DK51-DE51</f>
        <v>1</v>
      </c>
      <c r="EJ51">
        <f>DL51-DF51</f>
        <v>1</v>
      </c>
      <c r="EK51">
        <f>DG51-DJ51</f>
        <v>1</v>
      </c>
      <c r="EL51">
        <f>DH51-DK51</f>
        <v>3</v>
      </c>
      <c r="EM51">
        <f>DI51-DL51</f>
        <v>5</v>
      </c>
      <c r="EN51">
        <f>EK51/EH51*100</f>
        <v>100</v>
      </c>
      <c r="EO51">
        <f t="shared" ref="EO51:EP51" si="163">EL51/EI51*100</f>
        <v>300</v>
      </c>
      <c r="EP51">
        <f t="shared" si="163"/>
        <v>500</v>
      </c>
    </row>
    <row r="52" spans="1:149" ht="15.6" thickTop="1" thickBot="1" x14ac:dyDescent="0.35">
      <c r="A52" s="62">
        <f t="shared" si="3"/>
        <v>50</v>
      </c>
      <c r="B52" s="102" t="s">
        <v>95</v>
      </c>
      <c r="C52" s="62" t="str">
        <f t="shared" si="0"/>
        <v>50: Liquid limits : MT V1 » V2» V3» V4 &gt; wet V1» V2» V3» V4 &gt; dry V1» V2» V3» V4</v>
      </c>
      <c r="D52" s="63">
        <f t="shared" si="4"/>
        <v>3</v>
      </c>
      <c r="E52" s="62">
        <v>1</v>
      </c>
      <c r="F52" s="62">
        <v>5</v>
      </c>
      <c r="G52" s="62">
        <v>9</v>
      </c>
      <c r="H52" s="62"/>
      <c r="I52" s="62"/>
      <c r="J52" s="62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4">
        <f t="shared" si="5"/>
        <v>12</v>
      </c>
      <c r="Z52" s="66" t="s">
        <v>186</v>
      </c>
      <c r="AA52" s="66" t="s">
        <v>187</v>
      </c>
      <c r="AB52" s="66" t="s">
        <v>188</v>
      </c>
      <c r="AC52" s="66" t="s">
        <v>189</v>
      </c>
      <c r="AD52" s="66" t="s">
        <v>190</v>
      </c>
      <c r="AE52" s="66" t="s">
        <v>191</v>
      </c>
      <c r="AF52" s="66" t="s">
        <v>192</v>
      </c>
      <c r="AG52" s="66" t="s">
        <v>193</v>
      </c>
      <c r="AH52" s="66" t="s">
        <v>194</v>
      </c>
      <c r="AI52" s="66" t="s">
        <v>195</v>
      </c>
      <c r="AJ52" s="66" t="s">
        <v>196</v>
      </c>
      <c r="AK52" s="66" t="s">
        <v>197</v>
      </c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71" t="s">
        <v>418</v>
      </c>
      <c r="BE52" s="71" t="s">
        <v>419</v>
      </c>
      <c r="BF52" s="71" t="s">
        <v>420</v>
      </c>
      <c r="BG52" s="71" t="s">
        <v>428</v>
      </c>
      <c r="BH52" s="71" t="s">
        <v>421</v>
      </c>
      <c r="BI52" s="71" t="s">
        <v>422</v>
      </c>
      <c r="BJ52" s="71" t="s">
        <v>423</v>
      </c>
      <c r="BK52" s="71" t="s">
        <v>427</v>
      </c>
      <c r="BL52" s="71" t="s">
        <v>424</v>
      </c>
      <c r="BM52" s="71" t="s">
        <v>425</v>
      </c>
      <c r="BN52" s="71" t="s">
        <v>426</v>
      </c>
      <c r="BO52" s="71" t="s">
        <v>429</v>
      </c>
      <c r="BP52" s="71"/>
      <c r="BQ52" s="71"/>
      <c r="BR52" s="71"/>
      <c r="BS52" s="71"/>
      <c r="BT52" s="71"/>
      <c r="BU52" s="71"/>
      <c r="BV52" s="71"/>
      <c r="BW52" s="71"/>
      <c r="BX52" s="71"/>
      <c r="BY52" s="71"/>
      <c r="BZ52" s="71"/>
      <c r="CA52" s="71"/>
      <c r="CB52" s="71"/>
      <c r="CC52" s="71"/>
      <c r="CD52" s="71"/>
      <c r="CE52" s="71"/>
      <c r="CF52" s="71"/>
      <c r="CG52" s="71"/>
      <c r="CH52" s="71"/>
      <c r="CI52" s="71"/>
      <c r="CJ52" s="71"/>
      <c r="CK52" s="71"/>
      <c r="CL52" s="71"/>
      <c r="CM52" s="71"/>
      <c r="CN52" s="71"/>
      <c r="CO52" s="71"/>
      <c r="CP52" s="71"/>
      <c r="CQ52" s="71"/>
      <c r="CR52" s="71"/>
      <c r="CS52" s="71"/>
      <c r="CT52" s="71"/>
      <c r="CU52" s="71"/>
      <c r="CV52" s="71"/>
      <c r="CW52" s="71"/>
      <c r="CX52" s="71"/>
      <c r="CY52" s="71"/>
      <c r="CZ52" s="71"/>
      <c r="DA52" s="71"/>
      <c r="DB52" s="71"/>
      <c r="DC52" s="74">
        <f t="shared" si="2"/>
        <v>50</v>
      </c>
      <c r="DD52">
        <v>10</v>
      </c>
      <c r="DE52">
        <v>10</v>
      </c>
      <c r="DF52">
        <v>10</v>
      </c>
      <c r="DG52">
        <v>10</v>
      </c>
      <c r="DH52">
        <v>12</v>
      </c>
      <c r="DI52">
        <v>14</v>
      </c>
      <c r="DJ52">
        <v>16</v>
      </c>
      <c r="DK52">
        <v>18</v>
      </c>
      <c r="DL52">
        <v>11</v>
      </c>
      <c r="DM52">
        <v>11</v>
      </c>
      <c r="DN52">
        <v>11</v>
      </c>
      <c r="DO52">
        <v>11</v>
      </c>
      <c r="EH52">
        <f>DL52-DD52</f>
        <v>1</v>
      </c>
      <c r="EI52">
        <f>DM52-DE52</f>
        <v>1</v>
      </c>
      <c r="EJ52">
        <f>DN52-DF52</f>
        <v>1</v>
      </c>
      <c r="EK52">
        <f>DO52-DG52</f>
        <v>1</v>
      </c>
      <c r="EL52">
        <f>DH52-DL52</f>
        <v>1</v>
      </c>
      <c r="EM52">
        <f>DI52-DM52</f>
        <v>3</v>
      </c>
      <c r="EN52">
        <f>DJ52-DN52</f>
        <v>5</v>
      </c>
      <c r="EO52">
        <f>DK52-DO52</f>
        <v>7</v>
      </c>
      <c r="EP52">
        <f>EL52/EH52*100</f>
        <v>100</v>
      </c>
      <c r="EQ52">
        <f t="shared" ref="EQ52:ES52" si="164">EM52/EI52*100</f>
        <v>300</v>
      </c>
      <c r="ER52">
        <f t="shared" si="164"/>
        <v>500</v>
      </c>
      <c r="ES52">
        <f t="shared" si="164"/>
        <v>700</v>
      </c>
    </row>
    <row r="53" spans="1:149" ht="15.6" thickTop="1" thickBot="1" x14ac:dyDescent="0.35">
      <c r="A53" s="62">
        <f t="shared" si="3"/>
        <v>51</v>
      </c>
      <c r="B53" s="102" t="s">
        <v>96</v>
      </c>
      <c r="C53" s="62" t="str">
        <f t="shared" si="0"/>
        <v xml:space="preserve">51: Full spec gravity w/ bottles: MT &gt; dry+soil &gt; soil+full w/ water &gt; +water  </v>
      </c>
      <c r="D53" s="63">
        <f t="shared" si="4"/>
        <v>4</v>
      </c>
      <c r="E53" s="62">
        <v>1</v>
      </c>
      <c r="F53" s="62">
        <v>2</v>
      </c>
      <c r="G53" s="62">
        <v>3</v>
      </c>
      <c r="H53" s="62">
        <v>4</v>
      </c>
      <c r="I53" s="62"/>
      <c r="J53" s="62"/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4">
        <f t="shared" si="5"/>
        <v>4</v>
      </c>
      <c r="Z53" s="66" t="s">
        <v>131</v>
      </c>
      <c r="AA53" s="66" t="s">
        <v>268</v>
      </c>
      <c r="AB53" s="66" t="s">
        <v>198</v>
      </c>
      <c r="AC53" s="66" t="s">
        <v>269</v>
      </c>
      <c r="AD53" s="66"/>
      <c r="AE53" s="66"/>
      <c r="AF53" s="66"/>
      <c r="AG53" s="66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71" t="s">
        <v>430</v>
      </c>
      <c r="BE53" s="71" t="s">
        <v>432</v>
      </c>
      <c r="BF53" s="75" t="s">
        <v>433</v>
      </c>
      <c r="BG53" s="71" t="s">
        <v>431</v>
      </c>
      <c r="BK53" s="71"/>
      <c r="BL53" s="71"/>
      <c r="BM53" s="71"/>
      <c r="BN53" s="71"/>
      <c r="BO53" s="71"/>
      <c r="BP53" s="71"/>
      <c r="BQ53" s="71"/>
      <c r="BR53" s="71"/>
      <c r="BS53" s="71"/>
      <c r="BT53" s="71"/>
      <c r="BU53" s="71"/>
      <c r="BV53" s="71"/>
      <c r="BW53" s="71"/>
      <c r="BX53" s="71"/>
      <c r="BY53" s="71"/>
      <c r="BZ53" s="71"/>
      <c r="CA53" s="71"/>
      <c r="CB53" s="71"/>
      <c r="CC53" s="71"/>
      <c r="CD53" s="71"/>
      <c r="CE53" s="71"/>
      <c r="CF53" s="71"/>
      <c r="CG53" s="71"/>
      <c r="CH53" s="71"/>
      <c r="CI53" s="71"/>
      <c r="CJ53" s="71"/>
      <c r="CK53" s="71"/>
      <c r="CL53" s="71"/>
      <c r="CM53" s="71"/>
      <c r="CN53" s="71"/>
      <c r="CO53" s="71"/>
      <c r="CP53" s="71"/>
      <c r="CQ53" s="71"/>
      <c r="CR53" s="71"/>
      <c r="CS53" s="71"/>
      <c r="CT53" s="71"/>
      <c r="CU53" s="71"/>
      <c r="CV53" s="71"/>
      <c r="CW53" s="71"/>
      <c r="CX53" s="71"/>
      <c r="CY53" s="71"/>
      <c r="CZ53" s="71"/>
      <c r="DA53" s="71"/>
      <c r="DB53" s="71"/>
      <c r="DC53" s="74">
        <f t="shared" si="2"/>
        <v>51</v>
      </c>
      <c r="DD53">
        <v>50</v>
      </c>
      <c r="DE53">
        <v>55</v>
      </c>
      <c r="DF53">
        <v>65</v>
      </c>
      <c r="DG53">
        <v>66</v>
      </c>
    </row>
    <row r="54" spans="1:149" ht="15.6" thickTop="1" thickBot="1" x14ac:dyDescent="0.35">
      <c r="A54" s="62">
        <f t="shared" si="3"/>
        <v>52</v>
      </c>
      <c r="B54" s="102" t="s">
        <v>97</v>
      </c>
      <c r="C54" s="62" t="str">
        <f t="shared" si="0"/>
        <v>52: Quik spec grav w/ volumetric flsk: 100ml volumetric » +soil &gt; 100+full</v>
      </c>
      <c r="D54" s="63">
        <f t="shared" si="4"/>
        <v>2</v>
      </c>
      <c r="E54" s="62">
        <v>1</v>
      </c>
      <c r="F54" s="62">
        <v>3</v>
      </c>
      <c r="G54" s="62"/>
      <c r="H54" s="62"/>
      <c r="I54" s="62"/>
      <c r="J54" s="62"/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4">
        <f t="shared" si="5"/>
        <v>3</v>
      </c>
      <c r="Z54" s="66" t="s">
        <v>199</v>
      </c>
      <c r="AA54" s="66" t="s">
        <v>200</v>
      </c>
      <c r="AB54" s="66" t="s">
        <v>201</v>
      </c>
      <c r="AC54" s="66"/>
      <c r="AD54" s="66"/>
      <c r="AE54" s="66"/>
      <c r="AF54" s="66"/>
      <c r="AG54" s="66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71" t="s">
        <v>430</v>
      </c>
      <c r="BE54" s="75" t="s">
        <v>433</v>
      </c>
      <c r="BF54" s="71" t="s">
        <v>431</v>
      </c>
      <c r="BH54" s="71"/>
      <c r="BI54" s="71"/>
      <c r="BJ54" s="71"/>
      <c r="BK54" s="71"/>
      <c r="BL54" s="71"/>
      <c r="BM54" s="71"/>
      <c r="BN54" s="71"/>
      <c r="BO54" s="71"/>
      <c r="BP54" s="71"/>
      <c r="BQ54" s="71"/>
      <c r="BR54" s="71"/>
      <c r="BS54" s="71"/>
      <c r="BT54" s="71"/>
      <c r="BU54" s="71"/>
      <c r="BV54" s="71"/>
      <c r="BW54" s="71"/>
      <c r="BX54" s="71"/>
      <c r="BY54" s="71"/>
      <c r="BZ54" s="71"/>
      <c r="CA54" s="71"/>
      <c r="CB54" s="71"/>
      <c r="CC54" s="71"/>
      <c r="CD54" s="71"/>
      <c r="CE54" s="71"/>
      <c r="CF54" s="71"/>
      <c r="CG54" s="71"/>
      <c r="CH54" s="71"/>
      <c r="CI54" s="71"/>
      <c r="CJ54" s="71"/>
      <c r="CK54" s="71"/>
      <c r="CL54" s="71"/>
      <c r="CM54" s="71"/>
      <c r="CN54" s="71"/>
      <c r="CO54" s="71"/>
      <c r="CP54" s="71"/>
      <c r="CQ54" s="71"/>
      <c r="CR54" s="71"/>
      <c r="CS54" s="71"/>
      <c r="CT54" s="71"/>
      <c r="CU54" s="71"/>
      <c r="CV54" s="71"/>
      <c r="CW54" s="71"/>
      <c r="CX54" s="71"/>
      <c r="CY54" s="71"/>
      <c r="CZ54" s="71"/>
      <c r="DA54" s="71"/>
      <c r="DB54" s="71"/>
      <c r="DC54" s="74">
        <f t="shared" si="2"/>
        <v>52</v>
      </c>
      <c r="DD54">
        <v>100</v>
      </c>
      <c r="DE54">
        <v>110</v>
      </c>
      <c r="DF54">
        <v>190</v>
      </c>
      <c r="EH54">
        <f>DE54-DD54</f>
        <v>10</v>
      </c>
      <c r="EI54">
        <f>100- (DF54-DE54)</f>
        <v>20</v>
      </c>
      <c r="EJ54">
        <f>EH54/EI54</f>
        <v>0.5</v>
      </c>
    </row>
    <row r="55" spans="1:149" ht="15.6" thickTop="1" thickBot="1" x14ac:dyDescent="0.35">
      <c r="A55" s="62">
        <f t="shared" si="3"/>
        <v>53</v>
      </c>
      <c r="B55" s="62" t="s">
        <v>106</v>
      </c>
      <c r="C55" s="62" t="str">
        <f t="shared" si="0"/>
        <v xml:space="preserve">53: Aggregate size distribution 16mm - 2.8mm + pan                             </v>
      </c>
      <c r="D55" s="63">
        <f t="shared" si="4"/>
        <v>1</v>
      </c>
      <c r="E55" s="62">
        <v>1</v>
      </c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4">
        <f t="shared" si="5"/>
        <v>7</v>
      </c>
      <c r="Z55" s="66" t="s">
        <v>150</v>
      </c>
      <c r="AA55" s="66" t="s">
        <v>160</v>
      </c>
      <c r="AB55" s="66" t="s">
        <v>151</v>
      </c>
      <c r="AC55" s="66" t="s">
        <v>152</v>
      </c>
      <c r="AD55" s="66" t="s">
        <v>153</v>
      </c>
      <c r="AE55" s="66" t="s">
        <v>154</v>
      </c>
      <c r="AF55" s="66" t="s">
        <v>155</v>
      </c>
      <c r="AG55" s="66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71" t="s">
        <v>150</v>
      </c>
      <c r="BE55" s="71" t="s">
        <v>160</v>
      </c>
      <c r="BF55" s="71" t="s">
        <v>151</v>
      </c>
      <c r="BG55" s="71" t="s">
        <v>152</v>
      </c>
      <c r="BH55" s="71" t="s">
        <v>153</v>
      </c>
      <c r="BI55" s="71" t="s">
        <v>154</v>
      </c>
      <c r="BJ55" s="71" t="s">
        <v>236</v>
      </c>
      <c r="BK55" s="71"/>
      <c r="BL55" s="71" t="s">
        <v>376</v>
      </c>
      <c r="BM55" s="71" t="s">
        <v>387</v>
      </c>
      <c r="BN55" s="71" t="s">
        <v>378</v>
      </c>
      <c r="BO55" s="71" t="s">
        <v>379</v>
      </c>
      <c r="BP55" s="71" t="s">
        <v>380</v>
      </c>
      <c r="BQ55" s="71" t="s">
        <v>381</v>
      </c>
      <c r="BR55" s="71" t="s">
        <v>385</v>
      </c>
      <c r="BS55" s="71"/>
      <c r="BT55" s="71"/>
      <c r="BU55" s="71"/>
      <c r="BV55" s="71"/>
      <c r="BW55" s="71"/>
      <c r="BX55" s="71"/>
      <c r="BY55" s="71"/>
      <c r="BZ55" s="71"/>
      <c r="CA55" s="71"/>
      <c r="CB55" s="71"/>
      <c r="CC55" s="71"/>
      <c r="CD55" s="71"/>
      <c r="CE55" s="71"/>
      <c r="CF55" s="71"/>
      <c r="CG55" s="71"/>
      <c r="CH55" s="71"/>
      <c r="CI55" s="71"/>
      <c r="CJ55" s="71"/>
      <c r="CK55" s="71"/>
      <c r="CL55" s="71"/>
      <c r="CM55" s="71"/>
      <c r="CN55" s="71"/>
      <c r="CO55" s="71"/>
      <c r="CP55" s="71"/>
      <c r="CQ55" s="71"/>
      <c r="CR55" s="71"/>
      <c r="CS55" s="71"/>
      <c r="CT55" s="71"/>
      <c r="CU55" s="71"/>
      <c r="CV55" s="71"/>
      <c r="CW55" s="71"/>
      <c r="CX55" s="71"/>
      <c r="CY55" s="71"/>
      <c r="CZ55" s="71"/>
      <c r="DA55" s="71"/>
      <c r="DB55" s="71"/>
      <c r="DC55" s="74">
        <f t="shared" si="2"/>
        <v>53</v>
      </c>
      <c r="DD55">
        <v>110</v>
      </c>
      <c r="DE55">
        <v>105</v>
      </c>
      <c r="DF55">
        <v>100</v>
      </c>
      <c r="DG55">
        <v>95</v>
      </c>
      <c r="DH55">
        <v>80</v>
      </c>
      <c r="DI55">
        <v>85</v>
      </c>
      <c r="DJ55">
        <v>75</v>
      </c>
    </row>
    <row r="56" spans="1:149" ht="15.6" thickTop="1" thickBot="1" x14ac:dyDescent="0.35">
      <c r="A56" s="62">
        <f t="shared" si="3"/>
        <v>54</v>
      </c>
      <c r="B56" s="62" t="s">
        <v>107</v>
      </c>
      <c r="C56" s="62" t="str">
        <f t="shared" si="0"/>
        <v>54: Diatom sampling with moisture correction (MPT1» diatom » MPT2»wet &gt; dry)</v>
      </c>
      <c r="D56" s="63">
        <f t="shared" si="4"/>
        <v>2</v>
      </c>
      <c r="E56" s="62">
        <v>1</v>
      </c>
      <c r="F56" s="62">
        <v>2</v>
      </c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4">
        <f t="shared" si="5"/>
        <v>5</v>
      </c>
      <c r="Z56" s="66" t="s">
        <v>203</v>
      </c>
      <c r="AA56" s="66" t="s">
        <v>204</v>
      </c>
      <c r="AB56" s="66" t="s">
        <v>205</v>
      </c>
      <c r="AC56" s="66" t="s">
        <v>206</v>
      </c>
      <c r="AD56" s="66" t="s">
        <v>207</v>
      </c>
      <c r="AE56" s="66"/>
      <c r="AF56" s="66"/>
      <c r="AG56" s="6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71" t="s">
        <v>434</v>
      </c>
      <c r="BE56" s="71" t="s">
        <v>435</v>
      </c>
      <c r="BF56" s="71" t="s">
        <v>436</v>
      </c>
      <c r="BG56" s="71"/>
      <c r="BH56" s="71"/>
      <c r="BI56" s="71"/>
      <c r="BJ56" s="71"/>
      <c r="BK56" s="71"/>
      <c r="BL56" s="71"/>
      <c r="BM56" s="71"/>
      <c r="BN56" s="71"/>
      <c r="BO56" s="71"/>
      <c r="BP56" s="71"/>
      <c r="BQ56" s="71"/>
      <c r="BR56" s="71"/>
      <c r="BS56" s="71"/>
      <c r="BT56" s="71"/>
      <c r="BU56" s="71"/>
      <c r="BV56" s="71"/>
      <c r="BW56" s="71"/>
      <c r="BX56" s="71"/>
      <c r="BY56" s="71"/>
      <c r="BZ56" s="71"/>
      <c r="CA56" s="71"/>
      <c r="CB56" s="71"/>
      <c r="CC56" s="71"/>
      <c r="CD56" s="71"/>
      <c r="CE56" s="71"/>
      <c r="CF56" s="71"/>
      <c r="CG56" s="71"/>
      <c r="CH56" s="71"/>
      <c r="CI56" s="71"/>
      <c r="CJ56" s="71"/>
      <c r="CK56" s="71"/>
      <c r="CL56" s="71"/>
      <c r="CM56" s="71"/>
      <c r="CN56" s="71"/>
      <c r="CO56" s="71"/>
      <c r="CP56" s="71"/>
      <c r="CQ56" s="71"/>
      <c r="CR56" s="71"/>
      <c r="CS56" s="71"/>
      <c r="CT56" s="71"/>
      <c r="CU56" s="71"/>
      <c r="CV56" s="71"/>
      <c r="CW56" s="71"/>
      <c r="CX56" s="71"/>
      <c r="CY56" s="71"/>
      <c r="CZ56" s="71"/>
      <c r="DA56" s="71"/>
      <c r="DB56" s="71"/>
      <c r="DC56" s="74">
        <f t="shared" si="2"/>
        <v>54</v>
      </c>
      <c r="DD56">
        <v>10</v>
      </c>
      <c r="DE56">
        <v>15</v>
      </c>
      <c r="DF56">
        <v>10</v>
      </c>
      <c r="DG56">
        <v>18</v>
      </c>
      <c r="DH56">
        <v>16</v>
      </c>
    </row>
    <row r="57" spans="1:149" ht="15.6" thickTop="1" thickBot="1" x14ac:dyDescent="0.35">
      <c r="A57" s="62">
        <f t="shared" si="3"/>
        <v>55</v>
      </c>
      <c r="B57" s="62" t="s">
        <v>108</v>
      </c>
      <c r="C57" s="62" t="str">
        <f t="shared" si="0"/>
        <v>55: Lab permeameter oven dry Db and stone content: dry &gt; ring &gt; stones</v>
      </c>
      <c r="D57" s="63">
        <f t="shared" si="4"/>
        <v>3</v>
      </c>
      <c r="E57" s="62">
        <v>1</v>
      </c>
      <c r="F57" s="62">
        <v>2</v>
      </c>
      <c r="G57" s="62">
        <v>3</v>
      </c>
      <c r="H57" s="62"/>
      <c r="I57" s="62"/>
      <c r="J57" s="62"/>
      <c r="K57" s="62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4">
        <f t="shared" si="5"/>
        <v>3</v>
      </c>
      <c r="Z57" s="66" t="s">
        <v>208</v>
      </c>
      <c r="AA57" s="66" t="s">
        <v>209</v>
      </c>
      <c r="AB57" s="66" t="s">
        <v>210</v>
      </c>
      <c r="AC57" s="66"/>
      <c r="AD57" s="66"/>
      <c r="AE57" s="66"/>
      <c r="AF57" s="66"/>
      <c r="AG57" s="66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71" t="s">
        <v>437</v>
      </c>
      <c r="BE57" s="71" t="s">
        <v>438</v>
      </c>
      <c r="BF57" s="71" t="s">
        <v>439</v>
      </c>
      <c r="BG57" s="71" t="s">
        <v>440</v>
      </c>
      <c r="BH57" s="71" t="s">
        <v>441</v>
      </c>
      <c r="BI57" s="71" t="s">
        <v>442</v>
      </c>
      <c r="BJ57" s="71"/>
      <c r="BK57" s="71"/>
      <c r="BL57" s="71"/>
      <c r="BM57" s="71"/>
      <c r="BN57" s="71"/>
      <c r="BO57" s="71"/>
      <c r="BP57" s="71"/>
      <c r="BQ57" s="71"/>
      <c r="BR57" s="71"/>
      <c r="BS57" s="71"/>
      <c r="BT57" s="71"/>
      <c r="BU57" s="71"/>
      <c r="BV57" s="71"/>
      <c r="BW57" s="71"/>
      <c r="BX57" s="71"/>
      <c r="BY57" s="71"/>
      <c r="BZ57" s="71"/>
      <c r="CA57" s="71"/>
      <c r="CB57" s="71"/>
      <c r="CC57" s="71"/>
      <c r="CD57" s="71"/>
      <c r="CE57" s="71"/>
      <c r="CF57" s="71"/>
      <c r="CG57" s="71"/>
      <c r="CH57" s="71"/>
      <c r="CI57" s="71"/>
      <c r="CJ57" s="71"/>
      <c r="CK57" s="71"/>
      <c r="CL57" s="71"/>
      <c r="CM57" s="71"/>
      <c r="CN57" s="71"/>
      <c r="CO57" s="71"/>
      <c r="CP57" s="71"/>
      <c r="CQ57" s="71"/>
      <c r="CR57" s="71"/>
      <c r="CS57" s="71"/>
      <c r="CT57" s="71"/>
      <c r="CU57" s="71"/>
      <c r="CV57" s="71"/>
      <c r="CW57" s="71"/>
      <c r="CX57" s="71"/>
      <c r="CY57" s="71"/>
      <c r="CZ57" s="71"/>
      <c r="DA57" s="71"/>
      <c r="DB57" s="71"/>
      <c r="DC57" s="74">
        <f t="shared" si="2"/>
        <v>55</v>
      </c>
      <c r="DD57">
        <v>100</v>
      </c>
      <c r="DE57">
        <v>10</v>
      </c>
      <c r="DF57">
        <v>5</v>
      </c>
    </row>
    <row r="58" spans="1:149" ht="15.6" thickTop="1" thickBot="1" x14ac:dyDescent="0.35">
      <c r="A58" s="62">
        <f t="shared" si="3"/>
        <v>56</v>
      </c>
      <c r="B58" s="62" t="s">
        <v>109</v>
      </c>
      <c r="C58" s="62" t="str">
        <f t="shared" si="0"/>
        <v xml:space="preserve">56: Stone content 1: oven-dry WHOLE sample &gt;  &gt;2mm stones </v>
      </c>
      <c r="D58" s="63">
        <f t="shared" si="4"/>
        <v>2</v>
      </c>
      <c r="E58" s="62">
        <v>1</v>
      </c>
      <c r="F58" s="62">
        <v>2</v>
      </c>
      <c r="G58" s="62"/>
      <c r="H58" s="62"/>
      <c r="I58" s="62"/>
      <c r="J58" s="62"/>
      <c r="K58" s="62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4">
        <f t="shared" si="5"/>
        <v>2</v>
      </c>
      <c r="Z58" s="66" t="s">
        <v>212</v>
      </c>
      <c r="AA58" s="66" t="s">
        <v>211</v>
      </c>
      <c r="AB58" s="66"/>
      <c r="AC58" s="66"/>
      <c r="AD58" s="66"/>
      <c r="AE58" s="66"/>
      <c r="AF58" s="66"/>
      <c r="AG58" s="66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71" t="s">
        <v>443</v>
      </c>
      <c r="BE58" s="71" t="s">
        <v>439</v>
      </c>
      <c r="BF58" s="71" t="s">
        <v>440</v>
      </c>
      <c r="BG58" s="71"/>
      <c r="BH58" s="71"/>
      <c r="BI58" s="71"/>
      <c r="BJ58" s="71"/>
      <c r="BK58" s="71"/>
      <c r="BL58" s="71"/>
      <c r="BM58" s="71"/>
      <c r="BN58" s="71"/>
      <c r="BO58" s="71"/>
      <c r="BP58" s="71"/>
      <c r="BQ58" s="71"/>
      <c r="BR58" s="71"/>
      <c r="BS58" s="71"/>
      <c r="BT58" s="71"/>
      <c r="BU58" s="71"/>
      <c r="BV58" s="71"/>
      <c r="BW58" s="71"/>
      <c r="BX58" s="71"/>
      <c r="BY58" s="71"/>
      <c r="BZ58" s="71"/>
      <c r="CA58" s="71"/>
      <c r="CB58" s="71"/>
      <c r="CC58" s="71"/>
      <c r="CD58" s="71"/>
      <c r="CE58" s="71"/>
      <c r="CF58" s="71"/>
      <c r="CG58" s="71"/>
      <c r="CH58" s="71"/>
      <c r="CI58" s="71"/>
      <c r="CJ58" s="71"/>
      <c r="CK58" s="71"/>
      <c r="CL58" s="71"/>
      <c r="CM58" s="71"/>
      <c r="CN58" s="71"/>
      <c r="CO58" s="71"/>
      <c r="CP58" s="71"/>
      <c r="CQ58" s="71"/>
      <c r="CR58" s="71"/>
      <c r="CS58" s="71"/>
      <c r="CT58" s="71"/>
      <c r="CU58" s="71"/>
      <c r="CV58" s="71"/>
      <c r="CW58" s="71"/>
      <c r="CX58" s="71"/>
      <c r="CY58" s="71"/>
      <c r="CZ58" s="71"/>
      <c r="DA58" s="71"/>
      <c r="DB58" s="71"/>
      <c r="DC58" s="74">
        <f t="shared" si="2"/>
        <v>56</v>
      </c>
      <c r="DD58">
        <v>100</v>
      </c>
      <c r="DE58">
        <v>5</v>
      </c>
    </row>
    <row r="59" spans="1:149" ht="15.6" thickTop="1" thickBot="1" x14ac:dyDescent="0.35">
      <c r="A59" s="62">
        <f t="shared" si="3"/>
        <v>57</v>
      </c>
      <c r="B59" s="62" t="s">
        <v>110</v>
      </c>
      <c r="C59" s="62" t="str">
        <f t="shared" si="0"/>
        <v>57: Stone content 2: oven-dry &gt;2mm stones » &lt;2mm fine earth</v>
      </c>
      <c r="D59" s="63">
        <f t="shared" si="4"/>
        <v>2</v>
      </c>
      <c r="E59" s="62">
        <v>1</v>
      </c>
      <c r="F59" s="62">
        <v>3</v>
      </c>
      <c r="G59" s="62"/>
      <c r="H59" s="62"/>
      <c r="I59" s="62"/>
      <c r="J59" s="62"/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4">
        <f t="shared" si="5"/>
        <v>2</v>
      </c>
      <c r="Z59" s="66" t="s">
        <v>211</v>
      </c>
      <c r="AA59" s="66" t="s">
        <v>213</v>
      </c>
      <c r="AB59" s="66"/>
      <c r="AC59" s="66"/>
      <c r="AD59" s="66"/>
      <c r="AE59" s="66"/>
      <c r="AF59" s="66"/>
      <c r="AG59" s="66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71" t="s">
        <v>443</v>
      </c>
      <c r="BE59" s="71" t="s">
        <v>439</v>
      </c>
      <c r="BF59" s="71" t="s">
        <v>440</v>
      </c>
      <c r="BG59" s="71"/>
      <c r="BH59" s="71"/>
      <c r="BI59" s="71"/>
      <c r="BJ59" s="71"/>
      <c r="BK59" s="71"/>
      <c r="BL59" s="71"/>
      <c r="BM59" s="71"/>
      <c r="BN59" s="71"/>
      <c r="BO59" s="71"/>
      <c r="BP59" s="71"/>
      <c r="BQ59" s="71"/>
      <c r="BR59" s="71"/>
      <c r="BS59" s="71"/>
      <c r="BT59" s="71"/>
      <c r="BU59" s="71"/>
      <c r="BV59" s="71"/>
      <c r="BW59" s="71"/>
      <c r="BX59" s="71"/>
      <c r="BY59" s="71"/>
      <c r="BZ59" s="71"/>
      <c r="CA59" s="71"/>
      <c r="CB59" s="71"/>
      <c r="CC59" s="71"/>
      <c r="CD59" s="71"/>
      <c r="CE59" s="71"/>
      <c r="CF59" s="71"/>
      <c r="CG59" s="71"/>
      <c r="CH59" s="71"/>
      <c r="CI59" s="71"/>
      <c r="CJ59" s="71"/>
      <c r="CK59" s="71"/>
      <c r="CL59" s="71"/>
      <c r="CM59" s="71"/>
      <c r="CN59" s="71"/>
      <c r="CO59" s="71"/>
      <c r="CP59" s="71"/>
      <c r="CQ59" s="71"/>
      <c r="CR59" s="71"/>
      <c r="CS59" s="71"/>
      <c r="CT59" s="71"/>
      <c r="CU59" s="71"/>
      <c r="CV59" s="71"/>
      <c r="CW59" s="71"/>
      <c r="CX59" s="71"/>
      <c r="CY59" s="71"/>
      <c r="CZ59" s="71"/>
      <c r="DA59" s="71"/>
      <c r="DB59" s="71"/>
      <c r="DC59" s="74">
        <f t="shared" si="2"/>
        <v>57</v>
      </c>
      <c r="DD59">
        <v>100</v>
      </c>
      <c r="DE59">
        <v>5</v>
      </c>
    </row>
    <row r="60" spans="1:149" ht="15.6" thickTop="1" thickBot="1" x14ac:dyDescent="0.35">
      <c r="A60" s="62">
        <f t="shared" si="3"/>
        <v>58</v>
      </c>
      <c r="B60" s="62" t="s">
        <v>265</v>
      </c>
      <c r="C60" s="62" t="str">
        <f t="shared" si="0"/>
        <v xml:space="preserve">58: MT &gt;&amp;&lt; 2mm beakers &gt; dry reweigh &gt;&amp;&lt; 2mm material                   </v>
      </c>
      <c r="D60" s="63">
        <f t="shared" si="4"/>
        <v>2</v>
      </c>
      <c r="E60" s="62">
        <v>1</v>
      </c>
      <c r="F60" s="62">
        <v>3</v>
      </c>
      <c r="G60" s="62"/>
      <c r="H60" s="62"/>
      <c r="I60" s="62"/>
      <c r="J60" s="62"/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4">
        <f t="shared" si="5"/>
        <v>4</v>
      </c>
      <c r="Z60" s="66" t="s">
        <v>217</v>
      </c>
      <c r="AA60" s="66" t="s">
        <v>218</v>
      </c>
      <c r="AB60" s="66" t="s">
        <v>219</v>
      </c>
      <c r="AC60" s="66" t="s">
        <v>220</v>
      </c>
      <c r="AD60" s="66"/>
      <c r="AE60" s="66"/>
      <c r="AF60" s="66"/>
      <c r="AG60" s="66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75" t="s">
        <v>448</v>
      </c>
      <c r="BE60" s="71" t="s">
        <v>444</v>
      </c>
      <c r="BF60" s="71" t="s">
        <v>445</v>
      </c>
      <c r="BG60" s="71" t="s">
        <v>446</v>
      </c>
      <c r="BH60" s="71" t="s">
        <v>447</v>
      </c>
      <c r="BI60" s="71"/>
      <c r="BJ60" s="71"/>
      <c r="BK60" s="71"/>
      <c r="BL60" s="71"/>
      <c r="BM60" s="71"/>
      <c r="BN60" s="71"/>
      <c r="BO60" s="71"/>
      <c r="BP60" s="71"/>
      <c r="BQ60" s="71"/>
      <c r="BR60" s="71"/>
      <c r="BS60" s="71"/>
      <c r="BT60" s="71"/>
      <c r="BU60" s="71"/>
      <c r="BV60" s="71"/>
      <c r="BW60" s="71"/>
      <c r="BX60" s="71"/>
      <c r="BY60" s="71"/>
      <c r="BZ60" s="71"/>
      <c r="CA60" s="71"/>
      <c r="CB60" s="71"/>
      <c r="CC60" s="71"/>
      <c r="CD60" s="71"/>
      <c r="CE60" s="71"/>
      <c r="CF60" s="71"/>
      <c r="CG60" s="71"/>
      <c r="CH60" s="71"/>
      <c r="CI60" s="71"/>
      <c r="CJ60" s="71"/>
      <c r="CK60" s="71"/>
      <c r="CL60" s="71"/>
      <c r="CM60" s="71"/>
      <c r="CN60" s="71"/>
      <c r="CO60" s="71"/>
      <c r="CP60" s="71"/>
      <c r="CQ60" s="71"/>
      <c r="CR60" s="71"/>
      <c r="CS60" s="71"/>
      <c r="CT60" s="71"/>
      <c r="CU60" s="71"/>
      <c r="CV60" s="71"/>
      <c r="CW60" s="71"/>
      <c r="CX60" s="71"/>
      <c r="CY60" s="71"/>
      <c r="CZ60" s="71"/>
      <c r="DA60" s="71"/>
      <c r="DB60" s="71"/>
      <c r="DC60" s="74">
        <f t="shared" si="2"/>
        <v>58</v>
      </c>
      <c r="DD60">
        <v>100</v>
      </c>
      <c r="DE60">
        <v>100</v>
      </c>
      <c r="DF60">
        <v>110</v>
      </c>
      <c r="DG60">
        <v>105</v>
      </c>
    </row>
    <row r="61" spans="1:149" ht="15.6" thickTop="1" thickBot="1" x14ac:dyDescent="0.35">
      <c r="A61" s="62">
        <f t="shared" si="3"/>
        <v>59</v>
      </c>
      <c r="B61" s="62" t="s">
        <v>323</v>
      </c>
      <c r="C61" s="62" t="str">
        <f t="shared" si="0"/>
        <v xml:space="preserve">59: weight and shape (A/B/C axes lengths in CM )                                      </v>
      </c>
      <c r="D61" s="63">
        <f t="shared" si="4"/>
        <v>1</v>
      </c>
      <c r="E61" s="62">
        <v>1</v>
      </c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4">
        <f>COUNTA(Z61:BC61)</f>
        <v>4</v>
      </c>
      <c r="Z61" s="66" t="s">
        <v>251</v>
      </c>
      <c r="AA61" s="66" t="s">
        <v>252</v>
      </c>
      <c r="AB61" s="66" t="s">
        <v>253</v>
      </c>
      <c r="AC61" s="66" t="s">
        <v>254</v>
      </c>
      <c r="AD61" s="66"/>
      <c r="AE61" s="66"/>
      <c r="AF61" s="66"/>
      <c r="AG61" s="66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71" t="s">
        <v>432</v>
      </c>
      <c r="BE61" s="71" t="s">
        <v>441</v>
      </c>
      <c r="BF61" s="71"/>
      <c r="BG61" s="71"/>
      <c r="BH61" s="71"/>
      <c r="BI61" s="71"/>
      <c r="BJ61" s="71"/>
      <c r="BK61" s="71"/>
      <c r="BL61" s="71"/>
      <c r="BM61" s="71"/>
      <c r="BN61" s="71"/>
      <c r="BO61" s="71"/>
      <c r="BP61" s="71"/>
      <c r="BQ61" s="71"/>
      <c r="BR61" s="71"/>
      <c r="BS61" s="71"/>
      <c r="BT61" s="71"/>
      <c r="BU61" s="71"/>
      <c r="BV61" s="71"/>
      <c r="BW61" s="71"/>
      <c r="BX61" s="71"/>
      <c r="BY61" s="71"/>
      <c r="BZ61" s="71"/>
      <c r="CA61" s="71"/>
      <c r="CB61" s="71"/>
      <c r="CC61" s="71"/>
      <c r="CD61" s="71"/>
      <c r="CE61" s="71"/>
      <c r="CF61" s="71"/>
      <c r="CG61" s="71"/>
      <c r="CH61" s="71"/>
      <c r="CI61" s="71"/>
      <c r="CJ61" s="71"/>
      <c r="CK61" s="71"/>
      <c r="CL61" s="71"/>
      <c r="CM61" s="71"/>
      <c r="CN61" s="71"/>
      <c r="CO61" s="71"/>
      <c r="CP61" s="71"/>
      <c r="CQ61" s="71"/>
      <c r="CR61" s="71"/>
      <c r="CS61" s="71"/>
      <c r="CT61" s="71"/>
      <c r="CU61" s="71"/>
      <c r="CV61" s="71"/>
      <c r="CW61" s="71"/>
      <c r="CX61" s="71"/>
      <c r="CY61" s="71"/>
      <c r="CZ61" s="71"/>
      <c r="DA61" s="71"/>
      <c r="DB61" s="71"/>
      <c r="DC61" s="74">
        <f t="shared" si="2"/>
        <v>59</v>
      </c>
      <c r="DD61">
        <v>100</v>
      </c>
      <c r="DE61">
        <v>5</v>
      </c>
      <c r="DF61">
        <v>3</v>
      </c>
      <c r="DG61">
        <v>2</v>
      </c>
    </row>
    <row r="62" spans="1:149" ht="15.6" thickTop="1" thickBot="1" x14ac:dyDescent="0.35">
      <c r="A62" s="62">
        <f t="shared" si="3"/>
        <v>60</v>
      </c>
      <c r="B62" s="62" t="s">
        <v>121</v>
      </c>
      <c r="C62" s="62" t="str">
        <f t="shared" si="0"/>
        <v>60: IKmpsep @1mm 125um</v>
      </c>
      <c r="D62" s="63">
        <f t="shared" si="4"/>
        <v>2</v>
      </c>
      <c r="E62" s="62">
        <v>1</v>
      </c>
      <c r="F62" s="62">
        <v>3</v>
      </c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4">
        <f t="shared" si="5"/>
        <v>4</v>
      </c>
      <c r="Z62" s="66" t="s">
        <v>255</v>
      </c>
      <c r="AA62" s="66" t="s">
        <v>256</v>
      </c>
      <c r="AB62" s="66" t="s">
        <v>257</v>
      </c>
      <c r="AC62" s="66" t="s">
        <v>258</v>
      </c>
      <c r="AD62" s="66"/>
      <c r="AE62" s="66"/>
      <c r="AF62" s="66"/>
      <c r="AG62" s="66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71"/>
      <c r="BE62" s="71"/>
      <c r="BF62" s="71"/>
      <c r="BG62" s="71"/>
      <c r="BH62" s="71"/>
      <c r="BI62" s="71"/>
      <c r="BJ62" s="71"/>
      <c r="BK62" s="71"/>
      <c r="BL62" s="71"/>
      <c r="BM62" s="71"/>
      <c r="BN62" s="71"/>
      <c r="BO62" s="71"/>
      <c r="BP62" s="71"/>
      <c r="BQ62" s="71"/>
      <c r="BR62" s="71"/>
      <c r="BS62" s="71"/>
      <c r="BT62" s="71"/>
      <c r="BU62" s="71"/>
      <c r="BV62" s="71"/>
      <c r="BW62" s="71"/>
      <c r="BX62" s="71"/>
      <c r="BY62" s="71"/>
      <c r="BZ62" s="71"/>
      <c r="CA62" s="71"/>
      <c r="CB62" s="71"/>
      <c r="CC62" s="71"/>
      <c r="CD62" s="71"/>
      <c r="CE62" s="71"/>
      <c r="CF62" s="71"/>
      <c r="CG62" s="71"/>
      <c r="CH62" s="71"/>
      <c r="CI62" s="71"/>
      <c r="CJ62" s="71"/>
      <c r="CK62" s="71"/>
      <c r="CL62" s="71"/>
      <c r="CM62" s="71"/>
      <c r="CN62" s="71"/>
      <c r="CO62" s="71"/>
      <c r="CP62" s="71"/>
      <c r="CQ62" s="71"/>
      <c r="CR62" s="71"/>
      <c r="CS62" s="71"/>
      <c r="CT62" s="71"/>
      <c r="CU62" s="71"/>
      <c r="CV62" s="71"/>
      <c r="CW62" s="71"/>
      <c r="CX62" s="71"/>
      <c r="CY62" s="71"/>
      <c r="CZ62" s="71"/>
      <c r="DA62" s="71"/>
      <c r="DB62" s="71"/>
      <c r="DC62" s="74">
        <f t="shared" si="2"/>
        <v>60</v>
      </c>
    </row>
    <row r="63" spans="1:149" ht="15.6" thickTop="1" thickBot="1" x14ac:dyDescent="0.35">
      <c r="A63" s="62">
        <f t="shared" si="3"/>
        <v>61</v>
      </c>
      <c r="B63" s="62" t="s">
        <v>122</v>
      </c>
      <c r="C63" s="62" t="str">
        <f t="shared" si="0"/>
        <v>61: IK wet subsamples syr-sry+sed-vol-smsamp</v>
      </c>
      <c r="D63" s="63">
        <f t="shared" si="4"/>
        <v>1</v>
      </c>
      <c r="E63" s="62">
        <v>1</v>
      </c>
      <c r="F63" s="62"/>
      <c r="G63" s="62"/>
      <c r="H63" s="62"/>
      <c r="I63" s="62"/>
      <c r="J63" s="62"/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4">
        <f t="shared" si="5"/>
        <v>4</v>
      </c>
      <c r="Z63" s="66" t="s">
        <v>259</v>
      </c>
      <c r="AA63" s="66" t="s">
        <v>260</v>
      </c>
      <c r="AB63" s="66" t="s">
        <v>261</v>
      </c>
      <c r="AC63" s="66" t="s">
        <v>262</v>
      </c>
      <c r="AD63" s="66"/>
      <c r="AE63" s="66"/>
      <c r="AF63" s="66"/>
      <c r="AG63" s="66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71"/>
      <c r="BE63" s="71"/>
      <c r="BF63" s="71"/>
      <c r="BG63" s="71"/>
      <c r="BH63" s="71"/>
      <c r="BI63" s="71"/>
      <c r="BJ63" s="71"/>
      <c r="BK63" s="71"/>
      <c r="BL63" s="71"/>
      <c r="BM63" s="71"/>
      <c r="BN63" s="71"/>
      <c r="BO63" s="71"/>
      <c r="BP63" s="71"/>
      <c r="BQ63" s="71"/>
      <c r="BR63" s="71"/>
      <c r="BS63" s="71"/>
      <c r="BT63" s="71"/>
      <c r="BU63" s="71"/>
      <c r="BV63" s="71"/>
      <c r="BW63" s="71"/>
      <c r="BX63" s="71"/>
      <c r="BY63" s="71"/>
      <c r="BZ63" s="71"/>
      <c r="CA63" s="71"/>
      <c r="CB63" s="71"/>
      <c r="CC63" s="71"/>
      <c r="CD63" s="71"/>
      <c r="CE63" s="71"/>
      <c r="CF63" s="71"/>
      <c r="CG63" s="71"/>
      <c r="CH63" s="71"/>
      <c r="CI63" s="71"/>
      <c r="CJ63" s="71"/>
      <c r="CK63" s="71"/>
      <c r="CL63" s="71"/>
      <c r="CM63" s="71"/>
      <c r="CN63" s="71"/>
      <c r="CO63" s="71"/>
      <c r="CP63" s="71"/>
      <c r="CQ63" s="71"/>
      <c r="CR63" s="71"/>
      <c r="CS63" s="71"/>
      <c r="CT63" s="71"/>
      <c r="CU63" s="71"/>
      <c r="CV63" s="71"/>
      <c r="CW63" s="71"/>
      <c r="CX63" s="71"/>
      <c r="CY63" s="71"/>
      <c r="CZ63" s="71"/>
      <c r="DA63" s="71"/>
      <c r="DB63" s="71"/>
      <c r="DC63" s="74">
        <f t="shared" si="2"/>
        <v>61</v>
      </c>
    </row>
    <row r="64" spans="1:149" ht="15.6" thickTop="1" thickBot="1" x14ac:dyDescent="0.35">
      <c r="A64" s="62">
        <f t="shared" si="3"/>
        <v>62</v>
      </c>
      <c r="B64" s="100" t="s">
        <v>644</v>
      </c>
      <c r="C64" s="62" t="str">
        <f t="shared" si="0"/>
        <v>62: Labcell soil core &gt; dry &gt; ring &gt; Stones &gt; LOI = %SM, DB, LOI (Vol=248.82)</v>
      </c>
      <c r="D64" s="63">
        <f t="shared" si="4"/>
        <v>7</v>
      </c>
      <c r="E64" s="62">
        <v>1</v>
      </c>
      <c r="F64" s="62">
        <v>2</v>
      </c>
      <c r="G64" s="62">
        <v>3</v>
      </c>
      <c r="H64" s="62">
        <v>4</v>
      </c>
      <c r="I64" s="62">
        <v>5</v>
      </c>
      <c r="J64" s="62">
        <v>6</v>
      </c>
      <c r="K64" s="62">
        <v>7</v>
      </c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4">
        <f t="shared" si="5"/>
        <v>7</v>
      </c>
      <c r="Z64" s="66" t="s">
        <v>513</v>
      </c>
      <c r="AA64" s="66" t="s">
        <v>514</v>
      </c>
      <c r="AB64" s="66" t="s">
        <v>515</v>
      </c>
      <c r="AC64" s="103" t="s">
        <v>645</v>
      </c>
      <c r="AD64" s="66" t="s">
        <v>516</v>
      </c>
      <c r="AE64" s="66" t="s">
        <v>517</v>
      </c>
      <c r="AF64" s="66" t="s">
        <v>518</v>
      </c>
      <c r="AG64" s="66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71" t="s">
        <v>519</v>
      </c>
      <c r="BE64" s="71" t="s">
        <v>520</v>
      </c>
      <c r="BF64" t="s">
        <v>525</v>
      </c>
      <c r="BG64" s="75" t="s">
        <v>646</v>
      </c>
      <c r="BH64" s="71" t="s">
        <v>521</v>
      </c>
      <c r="BI64" s="71" t="s">
        <v>522</v>
      </c>
      <c r="BJ64" s="75" t="s">
        <v>527</v>
      </c>
      <c r="BK64" s="71" t="s">
        <v>523</v>
      </c>
      <c r="BL64" s="71" t="s">
        <v>524</v>
      </c>
      <c r="BM64" s="71" t="s">
        <v>526</v>
      </c>
      <c r="BN64" s="75" t="s">
        <v>647</v>
      </c>
      <c r="BO64" s="71"/>
      <c r="BP64" s="71"/>
      <c r="BQ64" s="71"/>
      <c r="BR64" s="71"/>
      <c r="BS64" s="71"/>
      <c r="BT64" s="71"/>
      <c r="BU64" s="71"/>
      <c r="BV64" s="71"/>
      <c r="BW64" s="71"/>
      <c r="BX64" s="71"/>
      <c r="BY64" s="71"/>
      <c r="BZ64" s="71"/>
      <c r="CA64" s="71"/>
      <c r="CB64" s="71"/>
      <c r="CC64" s="71"/>
      <c r="CD64" s="71"/>
      <c r="CE64" s="71"/>
      <c r="CF64" s="71"/>
      <c r="CG64" s="71"/>
      <c r="CH64" s="71"/>
      <c r="CI64" s="71"/>
      <c r="CJ64" s="71"/>
      <c r="CK64" s="71"/>
      <c r="CL64" s="71"/>
      <c r="CM64" s="71"/>
      <c r="CN64" s="71"/>
      <c r="CO64" s="71"/>
      <c r="CP64" s="71"/>
      <c r="CQ64" s="71"/>
      <c r="CR64" s="71"/>
      <c r="CS64" s="71"/>
      <c r="CT64" s="71"/>
      <c r="CU64" s="71"/>
      <c r="CV64" s="71"/>
      <c r="CW64" s="71"/>
      <c r="CX64" s="71"/>
      <c r="CY64" s="71"/>
      <c r="CZ64" s="71"/>
      <c r="DA64" s="71"/>
      <c r="DB64" s="71"/>
      <c r="DC64" s="74">
        <f t="shared" si="2"/>
        <v>62</v>
      </c>
      <c r="DD64">
        <v>100</v>
      </c>
      <c r="DE64">
        <v>80</v>
      </c>
      <c r="DF64">
        <v>10</v>
      </c>
      <c r="DG64">
        <v>5</v>
      </c>
      <c r="DH64">
        <v>15</v>
      </c>
      <c r="DI64">
        <v>20</v>
      </c>
      <c r="DJ64">
        <v>18</v>
      </c>
      <c r="EH64">
        <f>DD64-DF64</f>
        <v>90</v>
      </c>
      <c r="EI64">
        <f>DE64-DF64</f>
        <v>70</v>
      </c>
      <c r="EJ64">
        <f>EH64-EI64</f>
        <v>20</v>
      </c>
      <c r="EK64">
        <f>DG64-3.33526</f>
        <v>1.6647400000000001</v>
      </c>
      <c r="EL64">
        <f>DI64-DH64</f>
        <v>5</v>
      </c>
      <c r="EM64">
        <f>DJ64-DH64</f>
        <v>3</v>
      </c>
      <c r="EN64">
        <f>EL64-EM64</f>
        <v>2</v>
      </c>
      <c r="EO64" s="90">
        <f>EJ64/EH64*100</f>
        <v>22.222222222222221</v>
      </c>
      <c r="EP64" s="90" t="e">
        <f>EI64/VALUE(MID($A$1,FIND("Vol=",$A$1)+4,LEN($A$1)-(FIND("Vol=",$A$1)+4)))</f>
        <v>#VALUE!</v>
      </c>
      <c r="EQ64" s="80">
        <f>EN64/EL64*100</f>
        <v>40</v>
      </c>
      <c r="ER64">
        <f>EK64/EI64*100</f>
        <v>2.3782000000000001</v>
      </c>
    </row>
    <row r="65" spans="1:153" ht="15.6" thickTop="1" thickBot="1" x14ac:dyDescent="0.35">
      <c r="A65" s="62">
        <f t="shared" si="3"/>
        <v>63</v>
      </c>
      <c r="B65" s="100" t="s">
        <v>648</v>
      </c>
      <c r="C65" s="62" t="str">
        <f t="shared" si="0"/>
        <v>63: UK pitman Soil core &gt; dry &gt; ring &gt; Stones &gt; LOI = %SM, DB, LOI (Vol=219.34)</v>
      </c>
      <c r="D65" s="63">
        <f t="shared" si="4"/>
        <v>7</v>
      </c>
      <c r="E65" s="62">
        <v>1</v>
      </c>
      <c r="F65" s="62">
        <v>2</v>
      </c>
      <c r="G65" s="62">
        <v>3</v>
      </c>
      <c r="H65" s="62">
        <v>4</v>
      </c>
      <c r="I65" s="62">
        <v>5</v>
      </c>
      <c r="J65" s="62">
        <v>6</v>
      </c>
      <c r="K65" s="62">
        <v>7</v>
      </c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4">
        <f t="shared" si="5"/>
        <v>7</v>
      </c>
      <c r="Z65" s="66" t="s">
        <v>513</v>
      </c>
      <c r="AA65" s="66" t="s">
        <v>514</v>
      </c>
      <c r="AB65" s="66" t="s">
        <v>515</v>
      </c>
      <c r="AC65" s="103" t="s">
        <v>645</v>
      </c>
      <c r="AD65" s="66" t="s">
        <v>516</v>
      </c>
      <c r="AE65" s="66" t="s">
        <v>517</v>
      </c>
      <c r="AF65" s="66" t="s">
        <v>518</v>
      </c>
      <c r="AG65" s="66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71" t="s">
        <v>519</v>
      </c>
      <c r="BE65" s="71" t="s">
        <v>520</v>
      </c>
      <c r="BF65" t="s">
        <v>525</v>
      </c>
      <c r="BG65" s="75" t="s">
        <v>646</v>
      </c>
      <c r="BH65" s="71" t="s">
        <v>521</v>
      </c>
      <c r="BI65" s="71" t="s">
        <v>522</v>
      </c>
      <c r="BJ65" s="75" t="s">
        <v>527</v>
      </c>
      <c r="BK65" s="71" t="s">
        <v>523</v>
      </c>
      <c r="BL65" s="71" t="s">
        <v>524</v>
      </c>
      <c r="BM65" s="71" t="s">
        <v>526</v>
      </c>
      <c r="BN65" s="75" t="s">
        <v>647</v>
      </c>
      <c r="BO65" s="71"/>
      <c r="BP65" s="71"/>
      <c r="BQ65" s="71"/>
      <c r="BR65" s="71"/>
      <c r="BS65" s="71"/>
      <c r="BT65" s="71"/>
      <c r="BU65" s="71"/>
      <c r="BV65" s="71"/>
      <c r="BW65" s="71"/>
      <c r="BX65" s="71"/>
      <c r="BY65" s="71"/>
      <c r="BZ65" s="71"/>
      <c r="CA65" s="71"/>
      <c r="CB65" s="71"/>
      <c r="CC65" s="71"/>
      <c r="CD65" s="71"/>
      <c r="CE65" s="71"/>
      <c r="CF65" s="71"/>
      <c r="CG65" s="71"/>
      <c r="CH65" s="71"/>
      <c r="CI65" s="71"/>
      <c r="CJ65" s="71"/>
      <c r="CK65" s="71"/>
      <c r="CL65" s="71"/>
      <c r="CM65" s="71"/>
      <c r="CN65" s="71"/>
      <c r="CO65" s="71"/>
      <c r="CP65" s="71"/>
      <c r="CQ65" s="71"/>
      <c r="CR65" s="71"/>
      <c r="CS65" s="71"/>
      <c r="CT65" s="71"/>
      <c r="CU65" s="71"/>
      <c r="CV65" s="71"/>
      <c r="CW65" s="71"/>
      <c r="CX65" s="71"/>
      <c r="CY65" s="71"/>
      <c r="CZ65" s="71"/>
      <c r="DA65" s="71"/>
      <c r="DB65" s="71"/>
      <c r="DC65" s="74">
        <f t="shared" si="2"/>
        <v>63</v>
      </c>
      <c r="DD65">
        <v>100</v>
      </c>
      <c r="DE65">
        <v>80</v>
      </c>
      <c r="DF65">
        <v>10</v>
      </c>
      <c r="DG65">
        <v>5</v>
      </c>
      <c r="DH65">
        <v>15</v>
      </c>
      <c r="DI65">
        <v>20</v>
      </c>
      <c r="DJ65">
        <v>18</v>
      </c>
      <c r="EH65">
        <f t="shared" ref="EH65" si="165">DD65-DF65</f>
        <v>90</v>
      </c>
      <c r="EI65">
        <f t="shared" ref="EI65" si="166">DE65-DF65</f>
        <v>70</v>
      </c>
      <c r="EJ65">
        <f t="shared" ref="EJ65" si="167">EH65-EI65</f>
        <v>20</v>
      </c>
      <c r="EK65">
        <f>DG65-3.33526</f>
        <v>1.6647400000000001</v>
      </c>
      <c r="EL65">
        <f>DI65-DH65</f>
        <v>5</v>
      </c>
      <c r="EM65">
        <f>DJ65-DH65</f>
        <v>3</v>
      </c>
      <c r="EN65">
        <f>EL65-EM65</f>
        <v>2</v>
      </c>
      <c r="EO65" s="90">
        <f>EJ65/EH65*100</f>
        <v>22.222222222222221</v>
      </c>
      <c r="EP65" s="90" t="e">
        <f>EI65/VALUE(MID($A$1,FIND("Vol=",$A$1)+4,LEN($A$1)-(FIND("Vol=",$A$1)+4)))</f>
        <v>#VALUE!</v>
      </c>
      <c r="EQ65" s="80">
        <f>EN65/EL65*100</f>
        <v>40</v>
      </c>
      <c r="ER65">
        <f>EK65/EI65*100</f>
        <v>2.3782000000000001</v>
      </c>
    </row>
    <row r="66" spans="1:153" ht="15.6" thickTop="1" thickBot="1" x14ac:dyDescent="0.35">
      <c r="A66" s="62">
        <f t="shared" si="3"/>
        <v>64</v>
      </c>
      <c r="B66" s="100" t="s">
        <v>551</v>
      </c>
      <c r="C66" s="62" t="str">
        <f t="shared" ref="C66:C102" si="168">CONCATENATE(A66,": ",B66)</f>
        <v>64: US pitman Soil core &gt; dry &gt; ring &gt; LOI = %SM, DB, LOI (Vol=68.20)</v>
      </c>
      <c r="D66" s="63">
        <f t="shared" si="4"/>
        <v>6</v>
      </c>
      <c r="E66" s="62">
        <v>1</v>
      </c>
      <c r="F66" s="62">
        <v>2</v>
      </c>
      <c r="G66" s="62">
        <v>3</v>
      </c>
      <c r="H66" s="62">
        <v>4</v>
      </c>
      <c r="I66" s="62">
        <v>5</v>
      </c>
      <c r="J66" s="62">
        <v>6</v>
      </c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4">
        <f t="shared" si="5"/>
        <v>6</v>
      </c>
      <c r="Z66" s="66" t="s">
        <v>513</v>
      </c>
      <c r="AA66" s="66" t="s">
        <v>514</v>
      </c>
      <c r="AB66" s="66" t="s">
        <v>515</v>
      </c>
      <c r="AC66" s="66" t="s">
        <v>516</v>
      </c>
      <c r="AD66" s="66" t="s">
        <v>517</v>
      </c>
      <c r="AE66" s="66" t="s">
        <v>518</v>
      </c>
      <c r="AF66" s="66"/>
      <c r="AG66" s="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71" t="s">
        <v>519</v>
      </c>
      <c r="BE66" s="71" t="s">
        <v>520</v>
      </c>
      <c r="BF66" t="s">
        <v>525</v>
      </c>
      <c r="BG66" s="71" t="s">
        <v>521</v>
      </c>
      <c r="BH66" s="71" t="s">
        <v>522</v>
      </c>
      <c r="BI66" s="75" t="s">
        <v>527</v>
      </c>
      <c r="BJ66" s="71" t="s">
        <v>523</v>
      </c>
      <c r="BK66" s="71" t="s">
        <v>524</v>
      </c>
      <c r="BL66" s="71" t="s">
        <v>526</v>
      </c>
      <c r="BM66" s="71"/>
      <c r="BN66" s="71"/>
      <c r="BO66" s="71"/>
      <c r="BP66" s="71"/>
      <c r="BQ66" s="71"/>
      <c r="BR66" s="71"/>
      <c r="BS66" s="71"/>
      <c r="BT66" s="71"/>
      <c r="BU66" s="71"/>
      <c r="BV66" s="71"/>
      <c r="BW66" s="71"/>
      <c r="BX66" s="71"/>
      <c r="BY66" s="71"/>
      <c r="BZ66" s="71"/>
      <c r="CA66" s="71"/>
      <c r="CB66" s="71"/>
      <c r="CC66" s="71"/>
      <c r="CD66" s="71"/>
      <c r="CE66" s="71"/>
      <c r="CF66" s="71"/>
      <c r="CG66" s="71"/>
      <c r="CH66" s="71"/>
      <c r="CI66" s="71"/>
      <c r="CJ66" s="71"/>
      <c r="CK66" s="71"/>
      <c r="CL66" s="71"/>
      <c r="CM66" s="71"/>
      <c r="CN66" s="71"/>
      <c r="CO66" s="71"/>
      <c r="CP66" s="71"/>
      <c r="CQ66" s="71"/>
      <c r="CR66" s="71"/>
      <c r="CS66" s="71"/>
      <c r="CT66" s="71"/>
      <c r="CU66" s="71"/>
      <c r="CV66" s="71"/>
      <c r="CW66" s="71"/>
      <c r="CX66" s="71"/>
      <c r="CY66" s="71"/>
      <c r="CZ66" s="71"/>
      <c r="DA66" s="71"/>
      <c r="DB66" s="71"/>
      <c r="DC66" s="74">
        <f t="shared" ref="DC66:DC123" si="169">A66</f>
        <v>64</v>
      </c>
      <c r="DD66">
        <v>100</v>
      </c>
      <c r="DE66">
        <v>80</v>
      </c>
      <c r="DF66">
        <v>10</v>
      </c>
      <c r="DG66">
        <v>15</v>
      </c>
      <c r="DH66">
        <v>20</v>
      </c>
      <c r="DI66">
        <v>18</v>
      </c>
      <c r="EH66">
        <f t="shared" ref="EH66" si="170">DD66-DF66</f>
        <v>90</v>
      </c>
      <c r="EI66">
        <f t="shared" ref="EI66" si="171">DE66-DF66</f>
        <v>70</v>
      </c>
      <c r="EJ66">
        <f t="shared" ref="EJ66" si="172">EH66-EI66</f>
        <v>20</v>
      </c>
      <c r="EK66">
        <f t="shared" ref="EK66:EK67" si="173">DH66-DG66</f>
        <v>5</v>
      </c>
      <c r="EL66">
        <f t="shared" ref="EL66:EL67" si="174">DI66-DG66</f>
        <v>3</v>
      </c>
      <c r="EM66">
        <f t="shared" ref="EM66:EM67" si="175">EK66-EL66</f>
        <v>2</v>
      </c>
      <c r="EN66" s="90">
        <f t="shared" ref="EN66:EN67" si="176">EJ66/EH66*100</f>
        <v>22.222222222222221</v>
      </c>
      <c r="EO66" s="90" t="e">
        <f t="shared" ref="EO66:EO67" si="177">EI66/VALUE(MID($A$1,FIND("Vol=",$A$1)+4,LEN($A$1)-(FIND("Vol=",$A$1)+4)))</f>
        <v>#VALUE!</v>
      </c>
      <c r="EP66" s="80">
        <f t="shared" ref="EP66:EP67" si="178">EM66/EK66*100</f>
        <v>40</v>
      </c>
    </row>
    <row r="67" spans="1:153" ht="15.6" thickTop="1" thickBot="1" x14ac:dyDescent="0.35">
      <c r="A67" s="62">
        <f t="shared" si="3"/>
        <v>65</v>
      </c>
      <c r="B67" s="100" t="s">
        <v>553</v>
      </c>
      <c r="C67" s="62" t="str">
        <f t="shared" si="168"/>
        <v>65: fixed vol shallow sample &gt; dry &gt; LOI = %SM, DB, LOI (Vol=76.97)</v>
      </c>
      <c r="D67" s="63">
        <f t="shared" si="4"/>
        <v>5</v>
      </c>
      <c r="E67" s="62">
        <v>1</v>
      </c>
      <c r="F67" s="62">
        <v>3</v>
      </c>
      <c r="G67" s="62">
        <v>4</v>
      </c>
      <c r="H67" s="62">
        <v>5</v>
      </c>
      <c r="I67" s="62">
        <v>6</v>
      </c>
      <c r="J67" s="62"/>
      <c r="K67" s="62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4">
        <f t="shared" si="5"/>
        <v>6</v>
      </c>
      <c r="Z67" s="66" t="s">
        <v>529</v>
      </c>
      <c r="AA67" s="66" t="s">
        <v>531</v>
      </c>
      <c r="AB67" s="66" t="s">
        <v>530</v>
      </c>
      <c r="AC67" s="66" t="s">
        <v>516</v>
      </c>
      <c r="AD67" s="66" t="s">
        <v>517</v>
      </c>
      <c r="AE67" s="66" t="s">
        <v>518</v>
      </c>
      <c r="AF67" s="66"/>
      <c r="AG67" s="66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71" t="s">
        <v>519</v>
      </c>
      <c r="BE67" s="71" t="s">
        <v>520</v>
      </c>
      <c r="BF67" t="s">
        <v>525</v>
      </c>
      <c r="BG67" s="71" t="s">
        <v>521</v>
      </c>
      <c r="BH67" s="71" t="s">
        <v>522</v>
      </c>
      <c r="BI67" s="75" t="s">
        <v>527</v>
      </c>
      <c r="BJ67" s="71" t="s">
        <v>523</v>
      </c>
      <c r="BK67" s="71" t="s">
        <v>524</v>
      </c>
      <c r="BL67" s="71" t="s">
        <v>526</v>
      </c>
      <c r="BM67" s="71"/>
      <c r="BN67" s="71"/>
      <c r="BO67" s="71"/>
      <c r="BP67" s="71"/>
      <c r="BQ67" s="71"/>
      <c r="BR67" s="71"/>
      <c r="BS67" s="71"/>
      <c r="BT67" s="71"/>
      <c r="BU67" s="71"/>
      <c r="BV67" s="71"/>
      <c r="BW67" s="71"/>
      <c r="BX67" s="71"/>
      <c r="BY67" s="71"/>
      <c r="BZ67" s="71"/>
      <c r="CA67" s="71"/>
      <c r="CB67" s="71"/>
      <c r="CC67" s="71"/>
      <c r="CD67" s="71"/>
      <c r="CE67" s="71"/>
      <c r="CF67" s="71"/>
      <c r="CG67" s="71"/>
      <c r="CH67" s="71"/>
      <c r="CI67" s="71"/>
      <c r="CJ67" s="71"/>
      <c r="CK67" s="71"/>
      <c r="CL67" s="71"/>
      <c r="CM67" s="71"/>
      <c r="CN67" s="71"/>
      <c r="CO67" s="71"/>
      <c r="CP67" s="71"/>
      <c r="CQ67" s="71"/>
      <c r="CR67" s="71"/>
      <c r="CS67" s="71"/>
      <c r="CT67" s="71"/>
      <c r="CU67" s="71"/>
      <c r="CV67" s="71"/>
      <c r="CW67" s="71"/>
      <c r="CX67" s="71"/>
      <c r="CY67" s="71"/>
      <c r="CZ67" s="71"/>
      <c r="DA67" s="71"/>
      <c r="DB67" s="71"/>
      <c r="DC67" s="74">
        <f t="shared" si="169"/>
        <v>65</v>
      </c>
      <c r="DD67">
        <v>10</v>
      </c>
      <c r="DE67">
        <v>100</v>
      </c>
      <c r="DF67">
        <v>80</v>
      </c>
      <c r="DG67">
        <v>15</v>
      </c>
      <c r="DH67">
        <v>20</v>
      </c>
      <c r="DI67">
        <v>18</v>
      </c>
      <c r="EH67">
        <f>DE67-DD67</f>
        <v>90</v>
      </c>
      <c r="EI67">
        <f>DF67-DD67</f>
        <v>70</v>
      </c>
      <c r="EJ67">
        <f>EH67-EI67</f>
        <v>20</v>
      </c>
      <c r="EK67">
        <f t="shared" si="173"/>
        <v>5</v>
      </c>
      <c r="EL67">
        <f t="shared" si="174"/>
        <v>3</v>
      </c>
      <c r="EM67">
        <f t="shared" si="175"/>
        <v>2</v>
      </c>
      <c r="EN67" s="90">
        <f t="shared" si="176"/>
        <v>22.222222222222221</v>
      </c>
      <c r="EO67" s="90" t="e">
        <f t="shared" si="177"/>
        <v>#VALUE!</v>
      </c>
      <c r="EP67" s="80">
        <f t="shared" si="178"/>
        <v>40</v>
      </c>
    </row>
    <row r="68" spans="1:153" ht="15.6" thickTop="1" thickBot="1" x14ac:dyDescent="0.35">
      <c r="A68" s="62">
        <f t="shared" ref="A68:A102" si="179">A67+1</f>
        <v>66</v>
      </c>
      <c r="B68" s="100" t="s">
        <v>555</v>
      </c>
      <c r="C68" s="62" t="str">
        <f t="shared" si="168"/>
        <v>66: fixed vol deep sample &gt; dry &gt; LOI = %SM, DB, LOI (Vol=192.42)</v>
      </c>
      <c r="D68" s="63">
        <f t="shared" ref="D68:D102" si="180">COUNT(E68:X68)</f>
        <v>5</v>
      </c>
      <c r="E68" s="62">
        <v>1</v>
      </c>
      <c r="F68" s="62">
        <v>3</v>
      </c>
      <c r="G68" s="62">
        <v>4</v>
      </c>
      <c r="H68" s="62">
        <v>5</v>
      </c>
      <c r="I68" s="62">
        <v>6</v>
      </c>
      <c r="J68" s="62"/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4">
        <f t="shared" si="5"/>
        <v>6</v>
      </c>
      <c r="Z68" s="66" t="s">
        <v>529</v>
      </c>
      <c r="AA68" s="66" t="s">
        <v>531</v>
      </c>
      <c r="AB68" s="66" t="s">
        <v>530</v>
      </c>
      <c r="AC68" s="66" t="s">
        <v>516</v>
      </c>
      <c r="AD68" s="66" t="s">
        <v>517</v>
      </c>
      <c r="AE68" s="66" t="s">
        <v>518</v>
      </c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71" t="s">
        <v>519</v>
      </c>
      <c r="BE68" s="71" t="s">
        <v>520</v>
      </c>
      <c r="BF68" t="s">
        <v>525</v>
      </c>
      <c r="BG68" s="71" t="s">
        <v>521</v>
      </c>
      <c r="BH68" s="71" t="s">
        <v>522</v>
      </c>
      <c r="BI68" s="75" t="s">
        <v>527</v>
      </c>
      <c r="BJ68" s="71" t="s">
        <v>523</v>
      </c>
      <c r="BK68" s="71" t="s">
        <v>524</v>
      </c>
      <c r="BL68" s="71" t="s">
        <v>526</v>
      </c>
      <c r="BM68" s="71"/>
      <c r="BN68" s="71"/>
      <c r="BO68" s="71"/>
      <c r="BP68" s="71"/>
      <c r="BQ68" s="71"/>
      <c r="BR68" s="71"/>
      <c r="BS68" s="71"/>
      <c r="BT68" s="71"/>
      <c r="BU68" s="71"/>
      <c r="BV68" s="71"/>
      <c r="BW68" s="71"/>
      <c r="BX68" s="71"/>
      <c r="BY68" s="71"/>
      <c r="BZ68" s="71"/>
      <c r="CA68" s="71"/>
      <c r="CB68" s="71"/>
      <c r="CC68" s="71"/>
      <c r="CD68" s="71"/>
      <c r="CE68" s="71"/>
      <c r="CF68" s="71"/>
      <c r="CG68" s="71"/>
      <c r="CH68" s="71"/>
      <c r="CI68" s="71"/>
      <c r="CJ68" s="71"/>
      <c r="CK68" s="71"/>
      <c r="CL68" s="71"/>
      <c r="CM68" s="71"/>
      <c r="CN68" s="71"/>
      <c r="CO68" s="71"/>
      <c r="CP68" s="71"/>
      <c r="CQ68" s="71"/>
      <c r="CR68" s="71"/>
      <c r="CS68" s="71"/>
      <c r="CT68" s="71"/>
      <c r="CU68" s="71"/>
      <c r="CV68" s="71"/>
      <c r="CW68" s="71"/>
      <c r="CX68" s="71"/>
      <c r="CY68" s="71"/>
      <c r="CZ68" s="71"/>
      <c r="DA68" s="71"/>
      <c r="DB68" s="71"/>
      <c r="DC68" s="74">
        <f t="shared" si="169"/>
        <v>66</v>
      </c>
      <c r="DD68">
        <v>10</v>
      </c>
      <c r="DE68">
        <v>100</v>
      </c>
      <c r="DF68">
        <v>80</v>
      </c>
      <c r="DG68">
        <v>15</v>
      </c>
      <c r="DH68">
        <v>20</v>
      </c>
      <c r="DI68">
        <v>18</v>
      </c>
      <c r="EH68">
        <f t="shared" ref="EH68:EH70" si="181">DE68-DD68</f>
        <v>90</v>
      </c>
      <c r="EI68">
        <f t="shared" ref="EI68:EI70" si="182">DF68-DD68</f>
        <v>70</v>
      </c>
      <c r="EJ68">
        <f t="shared" ref="EJ68:EJ70" si="183">EH68-EI68</f>
        <v>20</v>
      </c>
      <c r="EK68">
        <f t="shared" ref="EK68:EK70" si="184">DH68-DG68</f>
        <v>5</v>
      </c>
      <c r="EL68">
        <f t="shared" ref="EL68:EL70" si="185">DI68-DG68</f>
        <v>3</v>
      </c>
      <c r="EM68">
        <f t="shared" ref="EM68:EM70" si="186">EK68-EL68</f>
        <v>2</v>
      </c>
      <c r="EN68" s="90">
        <f t="shared" ref="EN68:EN70" si="187">EJ68/EH68*100</f>
        <v>22.222222222222221</v>
      </c>
      <c r="EO68" s="90" t="e">
        <f t="shared" ref="EO68:EO70" si="188">EI68/VALUE(MID($A$1,FIND("Vol=",$A$1)+4,LEN($A$1)-(FIND("Vol=",$A$1)+4)))</f>
        <v>#VALUE!</v>
      </c>
      <c r="EP68" s="80">
        <f t="shared" ref="EP68:EP70" si="189">EM68/EK68*100</f>
        <v>40</v>
      </c>
    </row>
    <row r="69" spans="1:153" ht="15.6" thickTop="1" thickBot="1" x14ac:dyDescent="0.35">
      <c r="A69" s="62">
        <f t="shared" si="179"/>
        <v>67</v>
      </c>
      <c r="B69" s="100" t="s">
        <v>556</v>
      </c>
      <c r="C69" s="62" t="str">
        <f t="shared" si="168"/>
        <v>67:  fixed vol new sample &gt; dry &gt; LOI = %SM, DB, LOI (Vol=192.42)</v>
      </c>
      <c r="D69" s="63">
        <f t="shared" si="180"/>
        <v>5</v>
      </c>
      <c r="E69" s="62">
        <v>1</v>
      </c>
      <c r="F69" s="62">
        <v>3</v>
      </c>
      <c r="G69" s="62">
        <v>4</v>
      </c>
      <c r="H69" s="62">
        <v>5</v>
      </c>
      <c r="I69" s="62">
        <v>6</v>
      </c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4">
        <f t="shared" ref="Y69:Y100" si="190">COUNTA(Z69:BC69)</f>
        <v>6</v>
      </c>
      <c r="Z69" s="66" t="s">
        <v>529</v>
      </c>
      <c r="AA69" s="66" t="s">
        <v>531</v>
      </c>
      <c r="AB69" s="66" t="s">
        <v>530</v>
      </c>
      <c r="AC69" s="66" t="s">
        <v>516</v>
      </c>
      <c r="AD69" s="66" t="s">
        <v>517</v>
      </c>
      <c r="AE69" s="66" t="s">
        <v>518</v>
      </c>
      <c r="AF69" s="66"/>
      <c r="AG69" s="66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71" t="s">
        <v>519</v>
      </c>
      <c r="BE69" s="71" t="s">
        <v>520</v>
      </c>
      <c r="BF69" t="s">
        <v>525</v>
      </c>
      <c r="BG69" s="71" t="s">
        <v>521</v>
      </c>
      <c r="BH69" s="71" t="s">
        <v>522</v>
      </c>
      <c r="BI69" s="75" t="s">
        <v>527</v>
      </c>
      <c r="BJ69" s="71" t="s">
        <v>523</v>
      </c>
      <c r="BK69" s="71" t="s">
        <v>524</v>
      </c>
      <c r="BL69" s="71" t="s">
        <v>526</v>
      </c>
      <c r="BM69" s="71"/>
      <c r="BN69" s="71"/>
      <c r="BO69" s="71"/>
      <c r="BP69" s="71"/>
      <c r="BQ69" s="71"/>
      <c r="BR69" s="71"/>
      <c r="BS69" s="71"/>
      <c r="BT69" s="71"/>
      <c r="BU69" s="71"/>
      <c r="BV69" s="71"/>
      <c r="BW69" s="71"/>
      <c r="BX69" s="71"/>
      <c r="BY69" s="71"/>
      <c r="BZ69" s="71"/>
      <c r="CA69" s="71"/>
      <c r="CB69" s="71"/>
      <c r="CC69" s="71"/>
      <c r="CD69" s="71"/>
      <c r="CE69" s="71"/>
      <c r="CF69" s="71"/>
      <c r="CG69" s="71"/>
      <c r="CH69" s="71"/>
      <c r="CI69" s="71"/>
      <c r="CJ69" s="71"/>
      <c r="CK69" s="71"/>
      <c r="CL69" s="71"/>
      <c r="CM69" s="71"/>
      <c r="CN69" s="71"/>
      <c r="CO69" s="71"/>
      <c r="CP69" s="71"/>
      <c r="CQ69" s="71"/>
      <c r="CR69" s="71"/>
      <c r="CS69" s="71"/>
      <c r="CT69" s="71"/>
      <c r="CU69" s="71"/>
      <c r="CV69" s="71"/>
      <c r="CW69" s="71"/>
      <c r="CX69" s="71"/>
      <c r="CY69" s="71"/>
      <c r="CZ69" s="71"/>
      <c r="DA69" s="71"/>
      <c r="DB69" s="71"/>
      <c r="DC69" s="74">
        <f t="shared" si="169"/>
        <v>67</v>
      </c>
      <c r="DD69">
        <v>10</v>
      </c>
      <c r="DE69">
        <v>100</v>
      </c>
      <c r="DF69">
        <v>80</v>
      </c>
      <c r="DG69">
        <v>15</v>
      </c>
      <c r="DH69">
        <v>20</v>
      </c>
      <c r="DI69">
        <v>18</v>
      </c>
      <c r="EH69">
        <f t="shared" si="181"/>
        <v>90</v>
      </c>
      <c r="EI69">
        <f t="shared" si="182"/>
        <v>70</v>
      </c>
      <c r="EJ69">
        <f t="shared" si="183"/>
        <v>20</v>
      </c>
      <c r="EK69">
        <f t="shared" si="184"/>
        <v>5</v>
      </c>
      <c r="EL69">
        <f t="shared" si="185"/>
        <v>3</v>
      </c>
      <c r="EM69">
        <f t="shared" si="186"/>
        <v>2</v>
      </c>
      <c r="EN69" s="90">
        <f t="shared" si="187"/>
        <v>22.222222222222221</v>
      </c>
      <c r="EO69" s="90" t="e">
        <f t="shared" si="188"/>
        <v>#VALUE!</v>
      </c>
      <c r="EP69" s="80">
        <f t="shared" si="189"/>
        <v>40</v>
      </c>
    </row>
    <row r="70" spans="1:153" ht="15.6" thickTop="1" thickBot="1" x14ac:dyDescent="0.35">
      <c r="A70" s="62">
        <f t="shared" si="179"/>
        <v>68</v>
      </c>
      <c r="B70" s="100" t="s">
        <v>528</v>
      </c>
      <c r="C70" s="62" t="str">
        <f t="shared" si="168"/>
        <v>68:  fixed vol other sample &gt; dry &gt; &gt; LOI = %SM, DB, LOI (Vol=100.00)</v>
      </c>
      <c r="D70" s="63">
        <f t="shared" si="180"/>
        <v>5</v>
      </c>
      <c r="E70" s="62">
        <v>1</v>
      </c>
      <c r="F70" s="62">
        <v>3</v>
      </c>
      <c r="G70" s="62">
        <v>4</v>
      </c>
      <c r="H70" s="62">
        <v>5</v>
      </c>
      <c r="I70" s="62">
        <v>6</v>
      </c>
      <c r="J70" s="62"/>
      <c r="K70" s="62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4">
        <f t="shared" si="190"/>
        <v>6</v>
      </c>
      <c r="Z70" s="66" t="s">
        <v>529</v>
      </c>
      <c r="AA70" s="66" t="s">
        <v>531</v>
      </c>
      <c r="AB70" s="66" t="s">
        <v>530</v>
      </c>
      <c r="AC70" s="66" t="s">
        <v>516</v>
      </c>
      <c r="AD70" s="66" t="s">
        <v>517</v>
      </c>
      <c r="AE70" s="66" t="s">
        <v>518</v>
      </c>
      <c r="AF70" s="66"/>
      <c r="AG70" s="66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71" t="s">
        <v>519</v>
      </c>
      <c r="BE70" s="71" t="s">
        <v>520</v>
      </c>
      <c r="BF70" t="s">
        <v>525</v>
      </c>
      <c r="BG70" s="71" t="s">
        <v>521</v>
      </c>
      <c r="BH70" s="71" t="s">
        <v>522</v>
      </c>
      <c r="BI70" s="75" t="s">
        <v>527</v>
      </c>
      <c r="BJ70" s="71" t="s">
        <v>523</v>
      </c>
      <c r="BK70" s="71" t="s">
        <v>524</v>
      </c>
      <c r="BL70" s="71" t="s">
        <v>526</v>
      </c>
      <c r="BM70" s="71"/>
      <c r="BN70" s="71"/>
      <c r="BO70" s="71"/>
      <c r="BP70" s="71"/>
      <c r="BQ70" s="71"/>
      <c r="BR70" s="71"/>
      <c r="BS70" s="71"/>
      <c r="BT70" s="71"/>
      <c r="BU70" s="71"/>
      <c r="BV70" s="71"/>
      <c r="BW70" s="71"/>
      <c r="BX70" s="71"/>
      <c r="BY70" s="71"/>
      <c r="BZ70" s="71"/>
      <c r="CA70" s="71"/>
      <c r="CB70" s="71"/>
      <c r="CC70" s="71"/>
      <c r="CD70" s="71"/>
      <c r="CE70" s="71"/>
      <c r="CF70" s="71"/>
      <c r="CG70" s="71"/>
      <c r="CH70" s="71"/>
      <c r="CI70" s="71"/>
      <c r="CJ70" s="71"/>
      <c r="CK70" s="71"/>
      <c r="CL70" s="71"/>
      <c r="CM70" s="71"/>
      <c r="CN70" s="71"/>
      <c r="CO70" s="71"/>
      <c r="CP70" s="71"/>
      <c r="CQ70" s="71"/>
      <c r="CR70" s="71"/>
      <c r="CS70" s="71"/>
      <c r="CT70" s="71"/>
      <c r="CU70" s="71"/>
      <c r="CV70" s="71"/>
      <c r="CW70" s="71"/>
      <c r="CX70" s="71"/>
      <c r="CY70" s="71"/>
      <c r="CZ70" s="71"/>
      <c r="DA70" s="71"/>
      <c r="DB70" s="71"/>
      <c r="DC70" s="74">
        <f t="shared" si="169"/>
        <v>68</v>
      </c>
      <c r="DD70">
        <v>10</v>
      </c>
      <c r="DE70">
        <v>100</v>
      </c>
      <c r="DF70">
        <v>80</v>
      </c>
      <c r="DG70">
        <v>15</v>
      </c>
      <c r="DH70">
        <v>20</v>
      </c>
      <c r="DI70">
        <v>18</v>
      </c>
      <c r="EH70">
        <f t="shared" si="181"/>
        <v>90</v>
      </c>
      <c r="EI70">
        <f t="shared" si="182"/>
        <v>70</v>
      </c>
      <c r="EJ70">
        <f t="shared" si="183"/>
        <v>20</v>
      </c>
      <c r="EK70">
        <f t="shared" si="184"/>
        <v>5</v>
      </c>
      <c r="EL70">
        <f t="shared" si="185"/>
        <v>3</v>
      </c>
      <c r="EM70">
        <f t="shared" si="186"/>
        <v>2</v>
      </c>
      <c r="EN70" s="90">
        <f t="shared" si="187"/>
        <v>22.222222222222221</v>
      </c>
      <c r="EO70" s="90" t="e">
        <f t="shared" si="188"/>
        <v>#VALUE!</v>
      </c>
      <c r="EP70" s="80">
        <f t="shared" si="189"/>
        <v>40</v>
      </c>
    </row>
    <row r="71" spans="1:153" ht="15.6" thickTop="1" thickBot="1" x14ac:dyDescent="0.35">
      <c r="A71" s="62">
        <f t="shared" si="179"/>
        <v>69</v>
      </c>
      <c r="B71" s="100" t="s">
        <v>549</v>
      </c>
      <c r="C71" s="62" t="str">
        <f t="shared" si="168"/>
        <v>69: Labcell soil core &gt; dry &gt; ring &gt; stones &gt; LOI = %SM, DB, Stones, LOI (Vol=248.82)</v>
      </c>
      <c r="D71" s="63">
        <f t="shared" si="180"/>
        <v>7</v>
      </c>
      <c r="E71" s="62">
        <v>1</v>
      </c>
      <c r="F71" s="62">
        <v>2</v>
      </c>
      <c r="G71" s="62">
        <v>3</v>
      </c>
      <c r="H71" s="62">
        <v>4</v>
      </c>
      <c r="I71" s="62">
        <v>5</v>
      </c>
      <c r="J71" s="62">
        <v>6</v>
      </c>
      <c r="K71" s="62">
        <v>7</v>
      </c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4">
        <f t="shared" si="190"/>
        <v>7</v>
      </c>
      <c r="Z71" s="66" t="s">
        <v>513</v>
      </c>
      <c r="AA71" s="66" t="s">
        <v>514</v>
      </c>
      <c r="AB71" s="94" t="s">
        <v>515</v>
      </c>
      <c r="AC71" s="96" t="s">
        <v>546</v>
      </c>
      <c r="AD71" s="95" t="s">
        <v>516</v>
      </c>
      <c r="AE71" s="66" t="s">
        <v>517</v>
      </c>
      <c r="AF71" s="66" t="s">
        <v>518</v>
      </c>
      <c r="AG71" s="66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71" t="s">
        <v>519</v>
      </c>
      <c r="BE71" s="71" t="s">
        <v>520</v>
      </c>
      <c r="BF71" t="s">
        <v>525</v>
      </c>
      <c r="BG71" s="75" t="s">
        <v>547</v>
      </c>
      <c r="BH71" s="75" t="s">
        <v>548</v>
      </c>
      <c r="BI71" s="71" t="s">
        <v>521</v>
      </c>
      <c r="BJ71" s="71" t="s">
        <v>522</v>
      </c>
      <c r="BK71" s="75" t="s">
        <v>527</v>
      </c>
      <c r="BL71" s="71" t="s">
        <v>523</v>
      </c>
      <c r="BM71" s="71" t="s">
        <v>524</v>
      </c>
      <c r="BN71" s="75" t="s">
        <v>442</v>
      </c>
      <c r="BO71" s="71" t="s">
        <v>439</v>
      </c>
      <c r="BP71" s="75" t="s">
        <v>440</v>
      </c>
      <c r="BQ71" s="71" t="s">
        <v>526</v>
      </c>
      <c r="BR71" s="71"/>
      <c r="BS71" s="71"/>
      <c r="BT71" s="71"/>
      <c r="BU71" s="71"/>
      <c r="BV71" s="71"/>
      <c r="BW71" s="71"/>
      <c r="BX71" s="71"/>
      <c r="BY71" s="71"/>
      <c r="BZ71" s="71"/>
      <c r="CA71" s="71"/>
      <c r="CB71" s="71"/>
      <c r="CC71" s="71"/>
      <c r="CD71" s="71"/>
      <c r="CE71" s="71"/>
      <c r="CF71" s="71"/>
      <c r="CG71" s="71"/>
      <c r="CH71" s="71"/>
      <c r="CI71" s="71"/>
      <c r="CJ71" s="71"/>
      <c r="CK71" s="71"/>
      <c r="CL71" s="71"/>
      <c r="CM71" s="71"/>
      <c r="CN71" s="71"/>
      <c r="CO71" s="71"/>
      <c r="CP71" s="71"/>
      <c r="CQ71" s="71"/>
      <c r="CR71" s="71"/>
      <c r="CS71" s="71"/>
      <c r="CT71" s="71"/>
      <c r="CU71" s="71"/>
      <c r="CV71" s="71"/>
      <c r="CW71" s="71"/>
      <c r="CX71" s="71"/>
      <c r="CY71" s="71"/>
      <c r="CZ71" s="71"/>
      <c r="DA71" s="71"/>
      <c r="DB71" s="71"/>
      <c r="DC71" s="74">
        <f t="shared" si="169"/>
        <v>69</v>
      </c>
      <c r="DD71">
        <v>100</v>
      </c>
      <c r="DE71">
        <v>80</v>
      </c>
      <c r="DF71">
        <v>10</v>
      </c>
      <c r="DG71">
        <v>5</v>
      </c>
      <c r="DH71">
        <v>15</v>
      </c>
      <c r="DI71">
        <v>20</v>
      </c>
      <c r="DJ71">
        <v>18</v>
      </c>
      <c r="EH71" s="91">
        <f>DD71-DF71</f>
        <v>90</v>
      </c>
      <c r="EI71" s="91">
        <f>DE71-DF71</f>
        <v>70</v>
      </c>
      <c r="EJ71" s="91">
        <f>EH71-EI71</f>
        <v>20</v>
      </c>
      <c r="EK71" s="91">
        <f>DG71</f>
        <v>5</v>
      </c>
      <c r="EL71" s="91">
        <f>EI71-EK71</f>
        <v>65</v>
      </c>
      <c r="EM71" s="91">
        <f>DI71-DH71</f>
        <v>5</v>
      </c>
      <c r="EN71" s="91">
        <f>DJ71-DH71</f>
        <v>3</v>
      </c>
      <c r="EO71" s="91">
        <f>EM71-EN71</f>
        <v>2</v>
      </c>
      <c r="EP71" s="92">
        <f>EJ71/EI71*100</f>
        <v>28.571428571428569</v>
      </c>
      <c r="EQ71" s="92" t="e">
        <f>EI71/VALUE(MID($A$1,FIND("Vol=",$A$1)+4,LEN($A$1)-(FIND("Vol=",$A$1)+4)))</f>
        <v>#VALUE!</v>
      </c>
      <c r="ER71" s="91" t="e">
        <f>100*(1-(EQ71/2.65))</f>
        <v>#VALUE!</v>
      </c>
      <c r="ES71" s="91">
        <f>EK71/EI71*100</f>
        <v>7.1428571428571423</v>
      </c>
      <c r="ET71" s="91">
        <f>EL71/EI71*100</f>
        <v>92.857142857142861</v>
      </c>
      <c r="EU71" s="93">
        <f>EO71/EM71*100</f>
        <v>40</v>
      </c>
    </row>
    <row r="72" spans="1:153" ht="15.6" thickTop="1" thickBot="1" x14ac:dyDescent="0.35">
      <c r="A72" s="62">
        <f t="shared" si="179"/>
        <v>70</v>
      </c>
      <c r="B72" s="100" t="s">
        <v>550</v>
      </c>
      <c r="C72" s="62" t="str">
        <f t="shared" si="168"/>
        <v>70: UK pitman Soil core &gt; dry &gt; ring &gt; stones &gt; LOI = %SM, DB, sotnes, LOI (Vol=219.34)</v>
      </c>
      <c r="D72" s="63">
        <f t="shared" si="180"/>
        <v>7</v>
      </c>
      <c r="E72" s="62">
        <v>1</v>
      </c>
      <c r="F72" s="62">
        <v>2</v>
      </c>
      <c r="G72" s="62">
        <v>3</v>
      </c>
      <c r="H72" s="62">
        <v>4</v>
      </c>
      <c r="I72" s="62">
        <v>5</v>
      </c>
      <c r="J72" s="62">
        <v>6</v>
      </c>
      <c r="K72" s="62">
        <v>7</v>
      </c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4">
        <f t="shared" si="190"/>
        <v>7</v>
      </c>
      <c r="Z72" s="66" t="s">
        <v>513</v>
      </c>
      <c r="AA72" s="66" t="s">
        <v>514</v>
      </c>
      <c r="AB72" s="66" t="s">
        <v>515</v>
      </c>
      <c r="AC72" s="96" t="s">
        <v>546</v>
      </c>
      <c r="AD72" s="66" t="s">
        <v>516</v>
      </c>
      <c r="AE72" s="66" t="s">
        <v>517</v>
      </c>
      <c r="AF72" s="66" t="s">
        <v>518</v>
      </c>
      <c r="AG72" s="66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71" t="s">
        <v>519</v>
      </c>
      <c r="BE72" s="71" t="s">
        <v>520</v>
      </c>
      <c r="BF72" t="s">
        <v>525</v>
      </c>
      <c r="BG72" s="75" t="s">
        <v>547</v>
      </c>
      <c r="BH72" s="75" t="s">
        <v>548</v>
      </c>
      <c r="BI72" s="71" t="s">
        <v>521</v>
      </c>
      <c r="BJ72" s="71" t="s">
        <v>522</v>
      </c>
      <c r="BK72" s="75" t="s">
        <v>527</v>
      </c>
      <c r="BL72" s="71" t="s">
        <v>523</v>
      </c>
      <c r="BM72" s="71" t="s">
        <v>524</v>
      </c>
      <c r="BN72" s="75" t="s">
        <v>442</v>
      </c>
      <c r="BO72" s="71" t="s">
        <v>439</v>
      </c>
      <c r="BP72" s="75" t="s">
        <v>440</v>
      </c>
      <c r="BQ72" s="71" t="s">
        <v>526</v>
      </c>
      <c r="BR72" s="71"/>
      <c r="BS72" s="71"/>
      <c r="BT72" s="71"/>
      <c r="BU72" s="71"/>
      <c r="BV72" s="71"/>
      <c r="BW72" s="71"/>
      <c r="BX72" s="71"/>
      <c r="BY72" s="71"/>
      <c r="BZ72" s="71"/>
      <c r="CA72" s="71"/>
      <c r="CB72" s="71"/>
      <c r="CC72" s="71"/>
      <c r="CD72" s="71"/>
      <c r="CE72" s="71"/>
      <c r="CF72" s="71"/>
      <c r="CG72" s="71"/>
      <c r="CH72" s="71"/>
      <c r="CI72" s="71"/>
      <c r="CJ72" s="71"/>
      <c r="CK72" s="71"/>
      <c r="CL72" s="71"/>
      <c r="CM72" s="71"/>
      <c r="CN72" s="71"/>
      <c r="CO72" s="71"/>
      <c r="CP72" s="71"/>
      <c r="CQ72" s="71"/>
      <c r="CR72" s="71"/>
      <c r="CS72" s="71"/>
      <c r="CT72" s="71"/>
      <c r="CU72" s="71"/>
      <c r="CV72" s="71"/>
      <c r="CW72" s="71"/>
      <c r="CX72" s="71"/>
      <c r="CY72" s="71"/>
      <c r="CZ72" s="71"/>
      <c r="DA72" s="71"/>
      <c r="DB72" s="71"/>
      <c r="DC72" s="74">
        <f t="shared" si="169"/>
        <v>70</v>
      </c>
      <c r="DD72">
        <v>100</v>
      </c>
      <c r="DE72">
        <v>80</v>
      </c>
      <c r="DF72">
        <v>10</v>
      </c>
      <c r="DG72">
        <v>5</v>
      </c>
      <c r="DH72">
        <v>15</v>
      </c>
      <c r="DI72">
        <v>20</v>
      </c>
      <c r="DJ72">
        <v>18</v>
      </c>
      <c r="EH72" s="91">
        <f t="shared" ref="EH72:EH73" si="191">DD72-DF72</f>
        <v>90</v>
      </c>
      <c r="EI72" s="91">
        <f t="shared" ref="EI72:EI73" si="192">DE72-DF72</f>
        <v>70</v>
      </c>
      <c r="EJ72" s="91">
        <f t="shared" ref="EJ72:EJ73" si="193">EH72-EI72</f>
        <v>20</v>
      </c>
      <c r="EK72" s="91">
        <f t="shared" ref="EK72:EK77" si="194">DG72</f>
        <v>5</v>
      </c>
      <c r="EL72" s="91">
        <f t="shared" ref="EL72:EL77" si="195">EI72-EK72</f>
        <v>65</v>
      </c>
      <c r="EM72" s="91">
        <f t="shared" ref="EM72:EM73" si="196">DI72-DH72</f>
        <v>5</v>
      </c>
      <c r="EN72" s="91">
        <f t="shared" ref="EN72:EN77" si="197">DJ72-DH72</f>
        <v>3</v>
      </c>
      <c r="EO72" s="91">
        <f t="shared" ref="EO72:EO73" si="198">EM72-EN72</f>
        <v>2</v>
      </c>
      <c r="EP72" s="92">
        <f t="shared" ref="EP72:EP73" si="199">EJ72/EI72*100</f>
        <v>28.571428571428569</v>
      </c>
      <c r="EQ72" s="92" t="e">
        <f t="shared" ref="EQ72:EQ73" si="200">EI72/VALUE(MID($A$1,FIND("Vol=",$A$1)+4,LEN($A$1)-(FIND("Vol=",$A$1)+4)))</f>
        <v>#VALUE!</v>
      </c>
      <c r="ER72" s="91" t="e">
        <f t="shared" ref="ER72:ER77" si="201">100*(1-(EQ72/2.65))</f>
        <v>#VALUE!</v>
      </c>
      <c r="ES72" s="91">
        <f t="shared" ref="ES72:ES73" si="202">EK72/EI72*100</f>
        <v>7.1428571428571423</v>
      </c>
      <c r="ET72" s="91">
        <f t="shared" ref="ET72:ET73" si="203">EL72/EI72*100</f>
        <v>92.857142857142861</v>
      </c>
      <c r="EU72" s="93">
        <f t="shared" ref="EU72:EU73" si="204">EO72/EM72*100</f>
        <v>40</v>
      </c>
    </row>
    <row r="73" spans="1:153" ht="18.75" customHeight="1" thickTop="1" thickBot="1" x14ac:dyDescent="0.35">
      <c r="A73" s="62">
        <f t="shared" si="179"/>
        <v>71</v>
      </c>
      <c r="B73" s="100" t="s">
        <v>552</v>
      </c>
      <c r="C73" s="62" t="str">
        <f t="shared" ref="C73:C78" si="205">CONCATENATE(A73,": ",B73)</f>
        <v>71: US pitman Soil core &gt; dry &gt; ring &gt; stones &gt; LOI = %SM, DB, stones, LOI (Vol=68.20)</v>
      </c>
      <c r="D73" s="63">
        <f t="shared" si="180"/>
        <v>7</v>
      </c>
      <c r="E73" s="62">
        <v>1</v>
      </c>
      <c r="F73" s="62">
        <v>2</v>
      </c>
      <c r="G73" s="62">
        <v>3</v>
      </c>
      <c r="H73" s="62">
        <v>4</v>
      </c>
      <c r="I73" s="62">
        <v>5</v>
      </c>
      <c r="J73" s="62">
        <v>6</v>
      </c>
      <c r="K73" s="62">
        <v>7</v>
      </c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4">
        <f t="shared" si="190"/>
        <v>7</v>
      </c>
      <c r="Z73" s="66" t="s">
        <v>513</v>
      </c>
      <c r="AA73" s="66" t="s">
        <v>514</v>
      </c>
      <c r="AB73" s="66" t="s">
        <v>515</v>
      </c>
      <c r="AC73" s="96" t="s">
        <v>546</v>
      </c>
      <c r="AD73" s="66" t="s">
        <v>516</v>
      </c>
      <c r="AE73" s="66" t="s">
        <v>517</v>
      </c>
      <c r="AF73" s="66" t="s">
        <v>518</v>
      </c>
      <c r="AG73" s="66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71" t="s">
        <v>519</v>
      </c>
      <c r="BE73" s="71" t="s">
        <v>520</v>
      </c>
      <c r="BF73" t="s">
        <v>525</v>
      </c>
      <c r="BG73" s="75" t="s">
        <v>547</v>
      </c>
      <c r="BH73" s="75" t="s">
        <v>548</v>
      </c>
      <c r="BI73" s="71" t="s">
        <v>521</v>
      </c>
      <c r="BJ73" s="71" t="s">
        <v>522</v>
      </c>
      <c r="BK73" s="75" t="s">
        <v>527</v>
      </c>
      <c r="BL73" s="71" t="s">
        <v>523</v>
      </c>
      <c r="BM73" s="71" t="s">
        <v>524</v>
      </c>
      <c r="BN73" s="75" t="s">
        <v>442</v>
      </c>
      <c r="BO73" s="71" t="s">
        <v>439</v>
      </c>
      <c r="BP73" s="75" t="s">
        <v>440</v>
      </c>
      <c r="BQ73" s="71" t="s">
        <v>526</v>
      </c>
      <c r="BR73" s="71"/>
      <c r="BS73" s="71"/>
      <c r="BT73" s="71"/>
      <c r="BU73" s="71"/>
      <c r="BV73" s="71"/>
      <c r="BW73" s="71"/>
      <c r="BX73" s="71"/>
      <c r="BY73" s="71"/>
      <c r="BZ73" s="71"/>
      <c r="CA73" s="71"/>
      <c r="CB73" s="71"/>
      <c r="CC73" s="71"/>
      <c r="CD73" s="71"/>
      <c r="CE73" s="71"/>
      <c r="CF73" s="71"/>
      <c r="CG73" s="71"/>
      <c r="CH73" s="71"/>
      <c r="CI73" s="71"/>
      <c r="CJ73" s="71"/>
      <c r="CK73" s="71"/>
      <c r="CL73" s="71"/>
      <c r="CM73" s="71"/>
      <c r="CN73" s="71"/>
      <c r="CO73" s="71"/>
      <c r="CP73" s="71"/>
      <c r="CQ73" s="71"/>
      <c r="CR73" s="71"/>
      <c r="CS73" s="71"/>
      <c r="CT73" s="71"/>
      <c r="CU73" s="71"/>
      <c r="CV73" s="71"/>
      <c r="CW73" s="71"/>
      <c r="CX73" s="71"/>
      <c r="CY73" s="71"/>
      <c r="CZ73" s="71"/>
      <c r="DA73" s="71"/>
      <c r="DB73" s="71"/>
      <c r="DC73" s="74">
        <f t="shared" ref="DC73:DC78" si="206">A73</f>
        <v>71</v>
      </c>
      <c r="DD73">
        <v>100</v>
      </c>
      <c r="DE73">
        <v>80</v>
      </c>
      <c r="DF73">
        <v>10</v>
      </c>
      <c r="DG73">
        <v>5</v>
      </c>
      <c r="DH73">
        <v>15</v>
      </c>
      <c r="DI73">
        <v>20</v>
      </c>
      <c r="DJ73">
        <v>18</v>
      </c>
      <c r="EH73" s="91">
        <f t="shared" si="191"/>
        <v>90</v>
      </c>
      <c r="EI73" s="91">
        <f t="shared" si="192"/>
        <v>70</v>
      </c>
      <c r="EJ73" s="91">
        <f t="shared" si="193"/>
        <v>20</v>
      </c>
      <c r="EK73" s="91">
        <f t="shared" si="194"/>
        <v>5</v>
      </c>
      <c r="EL73" s="91">
        <f t="shared" si="195"/>
        <v>65</v>
      </c>
      <c r="EM73" s="91">
        <f t="shared" si="196"/>
        <v>5</v>
      </c>
      <c r="EN73" s="91">
        <f t="shared" si="197"/>
        <v>3</v>
      </c>
      <c r="EO73" s="91">
        <f t="shared" si="198"/>
        <v>2</v>
      </c>
      <c r="EP73" s="92">
        <f t="shared" si="199"/>
        <v>28.571428571428569</v>
      </c>
      <c r="EQ73" s="92" t="e">
        <f t="shared" si="200"/>
        <v>#VALUE!</v>
      </c>
      <c r="ER73" s="91" t="e">
        <f t="shared" si="201"/>
        <v>#VALUE!</v>
      </c>
      <c r="ES73" s="91">
        <f t="shared" si="202"/>
        <v>7.1428571428571423</v>
      </c>
      <c r="ET73" s="91">
        <f t="shared" si="203"/>
        <v>92.857142857142861</v>
      </c>
      <c r="EU73" s="93">
        <f t="shared" si="204"/>
        <v>40</v>
      </c>
    </row>
    <row r="74" spans="1:153" ht="15.6" thickTop="1" thickBot="1" x14ac:dyDescent="0.35">
      <c r="A74" s="62">
        <f t="shared" si="179"/>
        <v>72</v>
      </c>
      <c r="B74" s="100" t="s">
        <v>554</v>
      </c>
      <c r="C74" s="62" t="str">
        <f t="shared" si="205"/>
        <v>72: fixed vol shallow sample &gt; dry &gt; stones &gt; LOI = %SM, DB, stones, LOI (Vol=76.97)</v>
      </c>
      <c r="D74" s="63">
        <f t="shared" si="180"/>
        <v>6</v>
      </c>
      <c r="E74" s="62">
        <v>1</v>
      </c>
      <c r="F74" s="62">
        <v>3</v>
      </c>
      <c r="G74" s="62">
        <v>4</v>
      </c>
      <c r="H74" s="62">
        <v>5</v>
      </c>
      <c r="I74" s="62">
        <v>6</v>
      </c>
      <c r="J74" s="62">
        <v>7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4">
        <f t="shared" si="190"/>
        <v>7</v>
      </c>
      <c r="Z74" s="66" t="s">
        <v>529</v>
      </c>
      <c r="AA74" s="66" t="s">
        <v>531</v>
      </c>
      <c r="AB74" s="66" t="s">
        <v>530</v>
      </c>
      <c r="AC74" s="96" t="s">
        <v>546</v>
      </c>
      <c r="AD74" s="66" t="s">
        <v>516</v>
      </c>
      <c r="AE74" s="66" t="s">
        <v>517</v>
      </c>
      <c r="AF74" s="66" t="s">
        <v>518</v>
      </c>
      <c r="AG74" s="66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71" t="s">
        <v>519</v>
      </c>
      <c r="BE74" s="71" t="s">
        <v>520</v>
      </c>
      <c r="BF74" t="s">
        <v>525</v>
      </c>
      <c r="BG74" s="75" t="s">
        <v>547</v>
      </c>
      <c r="BH74" s="75" t="s">
        <v>548</v>
      </c>
      <c r="BI74" s="71" t="s">
        <v>521</v>
      </c>
      <c r="BJ74" s="71" t="s">
        <v>522</v>
      </c>
      <c r="BK74" s="75" t="s">
        <v>527</v>
      </c>
      <c r="BL74" s="71" t="s">
        <v>523</v>
      </c>
      <c r="BM74" s="71" t="s">
        <v>524</v>
      </c>
      <c r="BN74" s="75" t="s">
        <v>442</v>
      </c>
      <c r="BO74" s="71" t="s">
        <v>439</v>
      </c>
      <c r="BP74" s="75" t="s">
        <v>440</v>
      </c>
      <c r="BQ74" s="71" t="s">
        <v>526</v>
      </c>
      <c r="BR74" s="71"/>
      <c r="BS74" s="71"/>
      <c r="BT74" s="71"/>
      <c r="BU74" s="71"/>
      <c r="BV74" s="71"/>
      <c r="BW74" s="71"/>
      <c r="BX74" s="71"/>
      <c r="BY74" s="71"/>
      <c r="BZ74" s="71"/>
      <c r="CA74" s="71"/>
      <c r="CB74" s="71"/>
      <c r="CC74" s="71"/>
      <c r="CD74" s="71"/>
      <c r="CE74" s="71"/>
      <c r="CF74" s="71"/>
      <c r="CG74" s="71"/>
      <c r="CH74" s="71"/>
      <c r="CI74" s="71"/>
      <c r="CJ74" s="71"/>
      <c r="CK74" s="71"/>
      <c r="CL74" s="71"/>
      <c r="CM74" s="71"/>
      <c r="CN74" s="71"/>
      <c r="CO74" s="71"/>
      <c r="CP74" s="71"/>
      <c r="CQ74" s="71"/>
      <c r="CR74" s="71"/>
      <c r="CS74" s="71"/>
      <c r="CT74" s="71"/>
      <c r="CU74" s="71"/>
      <c r="CV74" s="71"/>
      <c r="CW74" s="71"/>
      <c r="CX74" s="71"/>
      <c r="CY74" s="71"/>
      <c r="CZ74" s="71"/>
      <c r="DA74" s="71"/>
      <c r="DB74" s="71"/>
      <c r="DC74" s="74">
        <f t="shared" si="206"/>
        <v>72</v>
      </c>
      <c r="DD74">
        <v>10</v>
      </c>
      <c r="DE74">
        <v>100</v>
      </c>
      <c r="DF74">
        <v>80</v>
      </c>
      <c r="DG74">
        <v>5</v>
      </c>
      <c r="DH74">
        <v>15</v>
      </c>
      <c r="DI74">
        <v>20</v>
      </c>
      <c r="DJ74">
        <v>18</v>
      </c>
      <c r="EH74">
        <f>DE74-DD74</f>
        <v>90</v>
      </c>
      <c r="EI74">
        <f>DF74-DD74</f>
        <v>70</v>
      </c>
      <c r="EJ74">
        <f>EH74-EI74</f>
        <v>20</v>
      </c>
      <c r="EK74" s="91">
        <f t="shared" si="194"/>
        <v>5</v>
      </c>
      <c r="EL74" s="91">
        <f t="shared" si="195"/>
        <v>65</v>
      </c>
      <c r="EM74">
        <f>DI74-DH74</f>
        <v>5</v>
      </c>
      <c r="EN74" s="91">
        <f t="shared" si="197"/>
        <v>3</v>
      </c>
      <c r="EO74">
        <f>EM74-EN74</f>
        <v>2</v>
      </c>
      <c r="EP74" s="90">
        <f>EJ74/EI74*100</f>
        <v>28.571428571428569</v>
      </c>
      <c r="EQ74" s="90" t="e">
        <f>EI74/VALUE(MID($A$1,FIND("Vol=",$A$1)+4,LEN($A$1)-(FIND("Vol=",$A$1)+4)))</f>
        <v>#VALUE!</v>
      </c>
      <c r="ER74" s="91" t="e">
        <f t="shared" si="201"/>
        <v>#VALUE!</v>
      </c>
      <c r="ES74" s="91">
        <f t="shared" ref="ES74:ES77" si="207">EK74/EI74*100</f>
        <v>7.1428571428571423</v>
      </c>
      <c r="ET74" s="91">
        <f t="shared" ref="ET74:ET77" si="208">EL74/EI74*100</f>
        <v>92.857142857142861</v>
      </c>
      <c r="EU74" s="80">
        <f>EO74/EM74*100</f>
        <v>40</v>
      </c>
    </row>
    <row r="75" spans="1:153" ht="15.6" thickTop="1" thickBot="1" x14ac:dyDescent="0.35">
      <c r="A75" s="62">
        <f t="shared" si="179"/>
        <v>73</v>
      </c>
      <c r="B75" s="100" t="s">
        <v>557</v>
      </c>
      <c r="C75" s="62" t="str">
        <f t="shared" si="205"/>
        <v>73: fixed vol deep sample &gt; dry &gt; stones &gt; LOI = %SM, DB, stones, LOI (Vol=192.42)</v>
      </c>
      <c r="D75" s="63">
        <f t="shared" ref="D75:D78" si="209">COUNT(E75:X75)</f>
        <v>6</v>
      </c>
      <c r="E75" s="62">
        <v>1</v>
      </c>
      <c r="F75" s="62">
        <v>3</v>
      </c>
      <c r="G75" s="62">
        <v>4</v>
      </c>
      <c r="H75" s="62">
        <v>5</v>
      </c>
      <c r="I75" s="62">
        <v>6</v>
      </c>
      <c r="J75" s="62">
        <v>7</v>
      </c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4">
        <f t="shared" si="190"/>
        <v>7</v>
      </c>
      <c r="Z75" s="66" t="s">
        <v>529</v>
      </c>
      <c r="AA75" s="66" t="s">
        <v>531</v>
      </c>
      <c r="AB75" s="66" t="s">
        <v>530</v>
      </c>
      <c r="AC75" s="96" t="s">
        <v>546</v>
      </c>
      <c r="AD75" s="66" t="s">
        <v>516</v>
      </c>
      <c r="AE75" s="66" t="s">
        <v>517</v>
      </c>
      <c r="AF75" s="66" t="s">
        <v>518</v>
      </c>
      <c r="AG75" s="66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71" t="s">
        <v>519</v>
      </c>
      <c r="BE75" s="71" t="s">
        <v>520</v>
      </c>
      <c r="BF75" t="s">
        <v>525</v>
      </c>
      <c r="BG75" s="75" t="s">
        <v>547</v>
      </c>
      <c r="BH75" s="75" t="s">
        <v>548</v>
      </c>
      <c r="BI75" s="71" t="s">
        <v>521</v>
      </c>
      <c r="BJ75" s="71" t="s">
        <v>522</v>
      </c>
      <c r="BK75" s="75" t="s">
        <v>527</v>
      </c>
      <c r="BL75" s="71" t="s">
        <v>523</v>
      </c>
      <c r="BM75" s="71" t="s">
        <v>524</v>
      </c>
      <c r="BN75" s="75" t="s">
        <v>442</v>
      </c>
      <c r="BO75" s="71" t="s">
        <v>439</v>
      </c>
      <c r="BP75" s="75" t="s">
        <v>440</v>
      </c>
      <c r="BQ75" s="71" t="s">
        <v>526</v>
      </c>
      <c r="BR75" s="71"/>
      <c r="BS75" s="71"/>
      <c r="BT75" s="71"/>
      <c r="BU75" s="71"/>
      <c r="BV75" s="71"/>
      <c r="BW75" s="71"/>
      <c r="BX75" s="71"/>
      <c r="BY75" s="71"/>
      <c r="BZ75" s="71"/>
      <c r="CA75" s="71"/>
      <c r="CB75" s="71"/>
      <c r="CC75" s="71"/>
      <c r="CD75" s="71"/>
      <c r="CE75" s="71"/>
      <c r="CF75" s="71"/>
      <c r="CG75" s="71"/>
      <c r="CH75" s="71"/>
      <c r="CI75" s="71"/>
      <c r="CJ75" s="71"/>
      <c r="CK75" s="71"/>
      <c r="CL75" s="71"/>
      <c r="CM75" s="71"/>
      <c r="CN75" s="71"/>
      <c r="CO75" s="71"/>
      <c r="CP75" s="71"/>
      <c r="CQ75" s="71"/>
      <c r="CR75" s="71"/>
      <c r="CS75" s="71"/>
      <c r="CT75" s="71"/>
      <c r="CU75" s="71"/>
      <c r="CV75" s="71"/>
      <c r="CW75" s="71"/>
      <c r="CX75" s="71"/>
      <c r="CY75" s="71"/>
      <c r="CZ75" s="71"/>
      <c r="DA75" s="71"/>
      <c r="DB75" s="71"/>
      <c r="DC75" s="74">
        <f t="shared" si="206"/>
        <v>73</v>
      </c>
      <c r="DD75">
        <v>10</v>
      </c>
      <c r="DE75">
        <v>100</v>
      </c>
      <c r="DF75">
        <v>80</v>
      </c>
      <c r="DG75">
        <v>5</v>
      </c>
      <c r="DH75">
        <v>15</v>
      </c>
      <c r="DI75">
        <v>20</v>
      </c>
      <c r="DJ75">
        <v>18</v>
      </c>
      <c r="EH75">
        <f t="shared" ref="EH75:EH77" si="210">DE75-DD75</f>
        <v>90</v>
      </c>
      <c r="EI75">
        <f t="shared" ref="EI75:EI77" si="211">DF75-DD75</f>
        <v>70</v>
      </c>
      <c r="EJ75">
        <f t="shared" ref="EJ75:EJ77" si="212">EH75-EI75</f>
        <v>20</v>
      </c>
      <c r="EK75" s="91">
        <f t="shared" si="194"/>
        <v>5</v>
      </c>
      <c r="EL75" s="91">
        <f t="shared" si="195"/>
        <v>65</v>
      </c>
      <c r="EM75">
        <f t="shared" ref="EM75:EM77" si="213">DI75-DH75</f>
        <v>5</v>
      </c>
      <c r="EN75" s="91">
        <f t="shared" si="197"/>
        <v>3</v>
      </c>
      <c r="EO75">
        <f>EM75-EN75</f>
        <v>2</v>
      </c>
      <c r="EP75" s="90">
        <f t="shared" ref="EP75:EP77" si="214">EJ75/EI75*100</f>
        <v>28.571428571428569</v>
      </c>
      <c r="EQ75" s="90" t="e">
        <f>EI75/VALUE(MID($A$1,FIND("Vol=",$A$1)+4,LEN($A$1)-(FIND("Vol=",$A$1)+4)))</f>
        <v>#VALUE!</v>
      </c>
      <c r="ER75" s="91" t="e">
        <f t="shared" si="201"/>
        <v>#VALUE!</v>
      </c>
      <c r="ES75" s="91">
        <f t="shared" si="207"/>
        <v>7.1428571428571423</v>
      </c>
      <c r="ET75" s="91">
        <f t="shared" si="208"/>
        <v>92.857142857142861</v>
      </c>
      <c r="EU75" s="80">
        <f>EO75/EM75*100</f>
        <v>40</v>
      </c>
    </row>
    <row r="76" spans="1:153" ht="15.6" thickTop="1" thickBot="1" x14ac:dyDescent="0.35">
      <c r="A76" s="62">
        <f t="shared" si="179"/>
        <v>74</v>
      </c>
      <c r="B76" s="100" t="s">
        <v>558</v>
      </c>
      <c r="C76" s="62" t="str">
        <f t="shared" si="205"/>
        <v>74:  fixed vol new sample &gt; dry &gt; stones &gt; LOI = %SM, DB, stones, LOI (Vol=192.42)</v>
      </c>
      <c r="D76" s="63">
        <f t="shared" si="209"/>
        <v>6</v>
      </c>
      <c r="E76" s="62">
        <v>1</v>
      </c>
      <c r="F76" s="62">
        <v>3</v>
      </c>
      <c r="G76" s="62">
        <v>4</v>
      </c>
      <c r="H76" s="62">
        <v>5</v>
      </c>
      <c r="I76" s="62">
        <v>6</v>
      </c>
      <c r="J76" s="62">
        <v>7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4">
        <f t="shared" ref="Y76:Y77" si="215">COUNTA(Z76:BC76)</f>
        <v>7</v>
      </c>
      <c r="Z76" s="66" t="s">
        <v>529</v>
      </c>
      <c r="AA76" s="66" t="s">
        <v>531</v>
      </c>
      <c r="AB76" s="66" t="s">
        <v>530</v>
      </c>
      <c r="AC76" s="96" t="s">
        <v>546</v>
      </c>
      <c r="AD76" s="66" t="s">
        <v>516</v>
      </c>
      <c r="AE76" s="66" t="s">
        <v>517</v>
      </c>
      <c r="AF76" s="66" t="s">
        <v>518</v>
      </c>
      <c r="AG76" s="6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71" t="s">
        <v>519</v>
      </c>
      <c r="BE76" s="71" t="s">
        <v>520</v>
      </c>
      <c r="BF76" t="s">
        <v>525</v>
      </c>
      <c r="BG76" s="75" t="s">
        <v>547</v>
      </c>
      <c r="BH76" s="75" t="s">
        <v>548</v>
      </c>
      <c r="BI76" s="71" t="s">
        <v>521</v>
      </c>
      <c r="BJ76" s="71" t="s">
        <v>522</v>
      </c>
      <c r="BK76" s="75" t="s">
        <v>527</v>
      </c>
      <c r="BL76" s="71" t="s">
        <v>523</v>
      </c>
      <c r="BM76" s="71" t="s">
        <v>524</v>
      </c>
      <c r="BN76" s="75" t="s">
        <v>442</v>
      </c>
      <c r="BO76" s="71" t="s">
        <v>439</v>
      </c>
      <c r="BP76" s="75" t="s">
        <v>440</v>
      </c>
      <c r="BQ76" s="71" t="s">
        <v>526</v>
      </c>
      <c r="BR76" s="71"/>
      <c r="BS76" s="71"/>
      <c r="BT76" s="71"/>
      <c r="BU76" s="71"/>
      <c r="BV76" s="71"/>
      <c r="BW76" s="71"/>
      <c r="BX76" s="71"/>
      <c r="BY76" s="71"/>
      <c r="BZ76" s="71"/>
      <c r="CA76" s="71"/>
      <c r="CB76" s="71"/>
      <c r="CC76" s="71"/>
      <c r="CD76" s="71"/>
      <c r="CE76" s="71"/>
      <c r="CF76" s="71"/>
      <c r="CG76" s="71"/>
      <c r="CH76" s="71"/>
      <c r="CI76" s="71"/>
      <c r="CJ76" s="71"/>
      <c r="CK76" s="71"/>
      <c r="CL76" s="71"/>
      <c r="CM76" s="71"/>
      <c r="CN76" s="71"/>
      <c r="CO76" s="71"/>
      <c r="CP76" s="71"/>
      <c r="CQ76" s="71"/>
      <c r="CR76" s="71"/>
      <c r="CS76" s="71"/>
      <c r="CT76" s="71"/>
      <c r="CU76" s="71"/>
      <c r="CV76" s="71"/>
      <c r="CW76" s="71"/>
      <c r="CX76" s="71"/>
      <c r="CY76" s="71"/>
      <c r="CZ76" s="71"/>
      <c r="DA76" s="71"/>
      <c r="DB76" s="71"/>
      <c r="DC76" s="74">
        <f t="shared" si="206"/>
        <v>74</v>
      </c>
      <c r="DD76">
        <v>10</v>
      </c>
      <c r="DE76">
        <v>100</v>
      </c>
      <c r="DF76">
        <v>80</v>
      </c>
      <c r="DG76">
        <v>5</v>
      </c>
      <c r="DH76">
        <v>15</v>
      </c>
      <c r="DI76">
        <v>20</v>
      </c>
      <c r="DJ76">
        <v>18</v>
      </c>
      <c r="EH76">
        <f t="shared" si="210"/>
        <v>90</v>
      </c>
      <c r="EI76">
        <f t="shared" si="211"/>
        <v>70</v>
      </c>
      <c r="EJ76">
        <f t="shared" si="212"/>
        <v>20</v>
      </c>
      <c r="EK76" s="91">
        <f t="shared" si="194"/>
        <v>5</v>
      </c>
      <c r="EL76" s="91">
        <f t="shared" si="195"/>
        <v>65</v>
      </c>
      <c r="EM76">
        <f t="shared" si="213"/>
        <v>5</v>
      </c>
      <c r="EN76" s="91">
        <f t="shared" si="197"/>
        <v>3</v>
      </c>
      <c r="EO76">
        <f>EM76-EN76</f>
        <v>2</v>
      </c>
      <c r="EP76" s="90">
        <f t="shared" si="214"/>
        <v>28.571428571428569</v>
      </c>
      <c r="EQ76" s="90" t="e">
        <f>EI76/VALUE(MID($A$1,FIND("Vol=",$A$1)+4,LEN($A$1)-(FIND("Vol=",$A$1)+4)))</f>
        <v>#VALUE!</v>
      </c>
      <c r="ER76" s="91" t="e">
        <f t="shared" si="201"/>
        <v>#VALUE!</v>
      </c>
      <c r="ES76" s="91">
        <f t="shared" si="207"/>
        <v>7.1428571428571423</v>
      </c>
      <c r="ET76" s="91">
        <f t="shared" si="208"/>
        <v>92.857142857142861</v>
      </c>
      <c r="EU76" s="80">
        <f>EO76/EM76*100</f>
        <v>40</v>
      </c>
    </row>
    <row r="77" spans="1:153" ht="15.6" thickTop="1" thickBot="1" x14ac:dyDescent="0.35">
      <c r="A77" s="62">
        <f t="shared" si="179"/>
        <v>75</v>
      </c>
      <c r="B77" s="100" t="s">
        <v>545</v>
      </c>
      <c r="C77" s="62" t="str">
        <f t="shared" si="205"/>
        <v>75:  fixed vol other sample &gt; dry &gt; stones &gt; LOI = %SM, DB, stones, LOI (Vol=100.00)</v>
      </c>
      <c r="D77" s="63">
        <f t="shared" si="209"/>
        <v>6</v>
      </c>
      <c r="E77" s="62">
        <v>1</v>
      </c>
      <c r="F77" s="62">
        <v>3</v>
      </c>
      <c r="G77" s="62">
        <v>4</v>
      </c>
      <c r="H77" s="62">
        <v>5</v>
      </c>
      <c r="I77" s="62">
        <v>6</v>
      </c>
      <c r="J77" s="62">
        <v>7</v>
      </c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4">
        <f t="shared" si="215"/>
        <v>7</v>
      </c>
      <c r="Z77" s="66" t="s">
        <v>529</v>
      </c>
      <c r="AA77" s="66" t="s">
        <v>531</v>
      </c>
      <c r="AB77" s="66" t="s">
        <v>530</v>
      </c>
      <c r="AC77" s="96" t="s">
        <v>546</v>
      </c>
      <c r="AD77" s="66" t="s">
        <v>516</v>
      </c>
      <c r="AE77" s="66" t="s">
        <v>517</v>
      </c>
      <c r="AF77" s="66" t="s">
        <v>518</v>
      </c>
      <c r="AG77" s="66"/>
      <c r="AH77" s="66"/>
      <c r="AI77" s="66"/>
      <c r="AJ77" s="66"/>
      <c r="AK77" s="66"/>
      <c r="AL77" s="66"/>
      <c r="AM77" s="66"/>
      <c r="AN77" s="66"/>
      <c r="AO77" s="66"/>
      <c r="AP77" s="66"/>
      <c r="AQ77" s="66"/>
      <c r="AR77" s="66"/>
      <c r="AS77" s="66"/>
      <c r="AT77" s="66"/>
      <c r="AU77" s="66"/>
      <c r="AV77" s="66"/>
      <c r="AW77" s="66"/>
      <c r="AX77" s="66"/>
      <c r="AY77" s="66"/>
      <c r="AZ77" s="66"/>
      <c r="BA77" s="66"/>
      <c r="BB77" s="66"/>
      <c r="BC77" s="66"/>
      <c r="BD77" s="71" t="s">
        <v>519</v>
      </c>
      <c r="BE77" s="71" t="s">
        <v>520</v>
      </c>
      <c r="BF77" t="s">
        <v>525</v>
      </c>
      <c r="BG77" s="75" t="s">
        <v>547</v>
      </c>
      <c r="BH77" s="75" t="s">
        <v>548</v>
      </c>
      <c r="BI77" s="71" t="s">
        <v>521</v>
      </c>
      <c r="BJ77" s="71" t="s">
        <v>522</v>
      </c>
      <c r="BK77" s="75" t="s">
        <v>527</v>
      </c>
      <c r="BL77" s="71" t="s">
        <v>523</v>
      </c>
      <c r="BM77" s="71" t="s">
        <v>524</v>
      </c>
      <c r="BN77" s="75" t="s">
        <v>442</v>
      </c>
      <c r="BO77" s="71" t="s">
        <v>439</v>
      </c>
      <c r="BP77" s="75" t="s">
        <v>440</v>
      </c>
      <c r="BQ77" s="71" t="s">
        <v>526</v>
      </c>
      <c r="BR77" s="71"/>
      <c r="BS77" s="71"/>
      <c r="BT77" s="71"/>
      <c r="BU77" s="71"/>
      <c r="BV77" s="71"/>
      <c r="BW77" s="71"/>
      <c r="BX77" s="71"/>
      <c r="BY77" s="71"/>
      <c r="BZ77" s="71"/>
      <c r="CA77" s="71"/>
      <c r="CB77" s="71"/>
      <c r="CC77" s="71"/>
      <c r="CD77" s="71"/>
      <c r="CE77" s="71"/>
      <c r="CF77" s="71"/>
      <c r="CG77" s="71"/>
      <c r="CH77" s="71"/>
      <c r="CI77" s="71"/>
      <c r="CJ77" s="71"/>
      <c r="CK77" s="71"/>
      <c r="CL77" s="71"/>
      <c r="CM77" s="71"/>
      <c r="CN77" s="71"/>
      <c r="CO77" s="71"/>
      <c r="CP77" s="71"/>
      <c r="CQ77" s="71"/>
      <c r="CR77" s="71"/>
      <c r="CS77" s="71"/>
      <c r="CT77" s="71"/>
      <c r="CU77" s="71"/>
      <c r="CV77" s="71"/>
      <c r="CW77" s="71"/>
      <c r="CX77" s="71"/>
      <c r="CY77" s="71"/>
      <c r="CZ77" s="71"/>
      <c r="DA77" s="71"/>
      <c r="DB77" s="71"/>
      <c r="DC77" s="74">
        <f t="shared" si="206"/>
        <v>75</v>
      </c>
      <c r="DD77">
        <v>10</v>
      </c>
      <c r="DE77">
        <v>100</v>
      </c>
      <c r="DF77">
        <v>80</v>
      </c>
      <c r="DG77">
        <v>5</v>
      </c>
      <c r="DH77">
        <v>15</v>
      </c>
      <c r="DI77">
        <v>20</v>
      </c>
      <c r="DJ77">
        <v>18</v>
      </c>
      <c r="EH77">
        <f t="shared" si="210"/>
        <v>90</v>
      </c>
      <c r="EI77">
        <f t="shared" si="211"/>
        <v>70</v>
      </c>
      <c r="EJ77">
        <f t="shared" si="212"/>
        <v>20</v>
      </c>
      <c r="EK77" s="91">
        <f t="shared" si="194"/>
        <v>5</v>
      </c>
      <c r="EL77" s="91">
        <f t="shared" si="195"/>
        <v>65</v>
      </c>
      <c r="EM77">
        <f t="shared" si="213"/>
        <v>5</v>
      </c>
      <c r="EN77" s="91">
        <f t="shared" si="197"/>
        <v>3</v>
      </c>
      <c r="EO77">
        <f>EM77-EN77</f>
        <v>2</v>
      </c>
      <c r="EP77" s="90">
        <f t="shared" si="214"/>
        <v>28.571428571428569</v>
      </c>
      <c r="EQ77" s="90" t="e">
        <f>EI77/VALUE(MID($A$1,FIND("Vol=",$A$1)+4,LEN($A$1)-(FIND("Vol=",$A$1)+4)))</f>
        <v>#VALUE!</v>
      </c>
      <c r="ER77" s="91" t="e">
        <f t="shared" si="201"/>
        <v>#VALUE!</v>
      </c>
      <c r="ES77" s="91">
        <f t="shared" si="207"/>
        <v>7.1428571428571423</v>
      </c>
      <c r="ET77" s="91">
        <f t="shared" si="208"/>
        <v>92.857142857142861</v>
      </c>
      <c r="EU77" s="80">
        <f>EO77/EM77*100</f>
        <v>40</v>
      </c>
    </row>
    <row r="78" spans="1:153" ht="15.6" thickTop="1" thickBot="1" x14ac:dyDescent="0.35">
      <c r="A78" s="62">
        <f t="shared" si="179"/>
        <v>76</v>
      </c>
      <c r="B78" s="100" t="s">
        <v>564</v>
      </c>
      <c r="C78" s="62" t="str">
        <f t="shared" si="205"/>
        <v>76: Labcell soil core in 6x9 bag-in-tray &gt; dry &gt; stones &gt; LOI = %SM, DB, Stones, LOI (Vol=248.82)</v>
      </c>
      <c r="D78" s="63">
        <f t="shared" si="209"/>
        <v>6</v>
      </c>
      <c r="E78" s="62">
        <v>1</v>
      </c>
      <c r="F78" s="62">
        <v>2</v>
      </c>
      <c r="G78" s="62">
        <v>3</v>
      </c>
      <c r="H78" s="62">
        <v>4</v>
      </c>
      <c r="I78" s="62">
        <v>5</v>
      </c>
      <c r="J78" s="62">
        <v>6</v>
      </c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4">
        <f>COUNTA(Z78:BC78)</f>
        <v>6</v>
      </c>
      <c r="Z78" s="66" t="s">
        <v>561</v>
      </c>
      <c r="AA78" s="66" t="s">
        <v>562</v>
      </c>
      <c r="AB78" s="96" t="s">
        <v>649</v>
      </c>
      <c r="AC78" s="95" t="s">
        <v>516</v>
      </c>
      <c r="AD78" s="66" t="s">
        <v>517</v>
      </c>
      <c r="AE78" s="66" t="s">
        <v>518</v>
      </c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75" t="s">
        <v>559</v>
      </c>
      <c r="BE78" s="75" t="s">
        <v>560</v>
      </c>
      <c r="BF78" s="71" t="s">
        <v>519</v>
      </c>
      <c r="BG78" s="71" t="s">
        <v>520</v>
      </c>
      <c r="BH78" t="s">
        <v>525</v>
      </c>
      <c r="BI78" s="75" t="s">
        <v>547</v>
      </c>
      <c r="BJ78" s="75" t="s">
        <v>548</v>
      </c>
      <c r="BK78" s="71" t="s">
        <v>521</v>
      </c>
      <c r="BL78" s="71" t="s">
        <v>522</v>
      </c>
      <c r="BM78" s="75" t="s">
        <v>527</v>
      </c>
      <c r="BN78" s="71" t="s">
        <v>523</v>
      </c>
      <c r="BO78" s="71" t="s">
        <v>524</v>
      </c>
      <c r="BP78" s="75" t="s">
        <v>442</v>
      </c>
      <c r="BQ78" s="71" t="s">
        <v>439</v>
      </c>
      <c r="BR78" s="75" t="s">
        <v>440</v>
      </c>
      <c r="BS78" s="71" t="s">
        <v>526</v>
      </c>
      <c r="BT78" s="71"/>
      <c r="BU78" s="71"/>
      <c r="BV78" s="71"/>
      <c r="BW78" s="71"/>
      <c r="BX78" s="71"/>
      <c r="BY78" s="71"/>
      <c r="BZ78" s="71"/>
      <c r="CA78" s="71"/>
      <c r="CB78" s="71"/>
      <c r="CC78" s="71"/>
      <c r="CD78" s="71"/>
      <c r="CE78" s="71"/>
      <c r="CF78" s="71"/>
      <c r="CG78" s="71"/>
      <c r="CH78" s="71"/>
      <c r="CI78" s="71"/>
      <c r="CJ78" s="71"/>
      <c r="CK78" s="71"/>
      <c r="CL78" s="71"/>
      <c r="CM78" s="71"/>
      <c r="CN78" s="71"/>
      <c r="CO78" s="71"/>
      <c r="CP78" s="71"/>
      <c r="CQ78" s="71"/>
      <c r="CR78" s="71"/>
      <c r="CS78" s="71"/>
      <c r="CT78" s="71"/>
      <c r="CU78" s="71"/>
      <c r="CV78" s="71"/>
      <c r="CW78" s="71"/>
      <c r="CX78" s="71"/>
      <c r="CY78" s="71"/>
      <c r="CZ78" s="71"/>
      <c r="DA78" s="71"/>
      <c r="DB78" s="71"/>
      <c r="DC78" s="74">
        <f t="shared" si="206"/>
        <v>76</v>
      </c>
      <c r="DD78">
        <v>100</v>
      </c>
      <c r="DE78">
        <v>80</v>
      </c>
      <c r="DF78">
        <v>5</v>
      </c>
      <c r="DG78">
        <v>15</v>
      </c>
      <c r="DH78">
        <v>20</v>
      </c>
      <c r="DI78">
        <v>18</v>
      </c>
      <c r="EH78">
        <v>3.3507799999999999</v>
      </c>
      <c r="EI78">
        <v>3.3352599999999999</v>
      </c>
      <c r="EJ78">
        <f>DD78-EH78-EI78</f>
        <v>93.313959999999994</v>
      </c>
      <c r="EK78">
        <f>DE78-EI78</f>
        <v>76.664739999999995</v>
      </c>
      <c r="EL78">
        <f>EJ78-EK78</f>
        <v>16.64922</v>
      </c>
      <c r="EM78">
        <f>DF78-EI78</f>
        <v>1.6647400000000001</v>
      </c>
      <c r="EN78">
        <f>EK78-EM78</f>
        <v>75</v>
      </c>
      <c r="EO78">
        <f>DH78-DG78</f>
        <v>5</v>
      </c>
      <c r="EP78">
        <f>DI78-DG78</f>
        <v>3</v>
      </c>
      <c r="EQ78">
        <f>EO78-EP78</f>
        <v>2</v>
      </c>
      <c r="ER78" s="90">
        <f>EL78/EK78*100</f>
        <v>21.716919668676894</v>
      </c>
      <c r="ES78" s="90" t="e">
        <f>EK78/VALUE(MID($A$1,FIND("Vol=",$A$1)+4,LEN($A$1)-(FIND("Vol=",$A$1)+4)))</f>
        <v>#VALUE!</v>
      </c>
      <c r="ET78" t="e">
        <f>100*(1-(ES78/2.65))</f>
        <v>#VALUE!</v>
      </c>
      <c r="EU78">
        <f>EM78/EK78*100</f>
        <v>2.171454569597445</v>
      </c>
      <c r="EV78">
        <f>EN78/EK78*100</f>
        <v>97.828545430402556</v>
      </c>
      <c r="EW78" s="80">
        <f>EQ78/EO78*100</f>
        <v>40</v>
      </c>
    </row>
    <row r="79" spans="1:153" ht="15.6" thickTop="1" thickBot="1" x14ac:dyDescent="0.35">
      <c r="A79" s="62">
        <f t="shared" si="179"/>
        <v>77</v>
      </c>
      <c r="B79" s="100" t="s">
        <v>563</v>
      </c>
      <c r="C79" s="62" t="str">
        <f t="shared" ref="C79:C80" si="216">CONCATENATE(A79,": ",B79)</f>
        <v>77: Labcell soil core in 5x7 bag-in-tray &gt; dry &gt; stones &gt; LOI = %SM, DB, Stones, LOI (Vol=248.82)</v>
      </c>
      <c r="D79" s="63">
        <f t="shared" ref="D79:D80" si="217">COUNT(E79:X79)</f>
        <v>6</v>
      </c>
      <c r="E79" s="62">
        <v>1</v>
      </c>
      <c r="F79" s="62">
        <v>2</v>
      </c>
      <c r="G79" s="62">
        <v>3</v>
      </c>
      <c r="H79" s="62">
        <v>4</v>
      </c>
      <c r="I79" s="62">
        <v>5</v>
      </c>
      <c r="J79" s="62">
        <v>6</v>
      </c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4">
        <f>COUNTA(Z79:BC79)</f>
        <v>6</v>
      </c>
      <c r="Z79" s="66" t="s">
        <v>561</v>
      </c>
      <c r="AA79" s="66" t="s">
        <v>562</v>
      </c>
      <c r="AB79" s="96" t="s">
        <v>546</v>
      </c>
      <c r="AC79" s="95" t="s">
        <v>516</v>
      </c>
      <c r="AD79" s="66" t="s">
        <v>517</v>
      </c>
      <c r="AE79" s="66" t="s">
        <v>518</v>
      </c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75" t="s">
        <v>559</v>
      </c>
      <c r="BE79" s="75" t="s">
        <v>560</v>
      </c>
      <c r="BF79" s="71" t="s">
        <v>519</v>
      </c>
      <c r="BG79" s="71" t="s">
        <v>520</v>
      </c>
      <c r="BH79" t="s">
        <v>525</v>
      </c>
      <c r="BI79" s="75" t="s">
        <v>547</v>
      </c>
      <c r="BJ79" s="75" t="s">
        <v>548</v>
      </c>
      <c r="BK79" s="71" t="s">
        <v>521</v>
      </c>
      <c r="BL79" s="71" t="s">
        <v>522</v>
      </c>
      <c r="BM79" s="75" t="s">
        <v>527</v>
      </c>
      <c r="BN79" s="71" t="s">
        <v>523</v>
      </c>
      <c r="BO79" s="71" t="s">
        <v>524</v>
      </c>
      <c r="BP79" s="75" t="s">
        <v>442</v>
      </c>
      <c r="BQ79" s="71" t="s">
        <v>439</v>
      </c>
      <c r="BR79" s="75" t="s">
        <v>440</v>
      </c>
      <c r="BS79" s="71" t="s">
        <v>526</v>
      </c>
      <c r="BT79" s="71"/>
      <c r="BU79" s="71"/>
      <c r="BV79" s="71"/>
      <c r="BW79" s="71"/>
      <c r="BX79" s="71"/>
      <c r="BY79" s="71"/>
      <c r="BZ79" s="71"/>
      <c r="CA79" s="71"/>
      <c r="CB79" s="71"/>
      <c r="CC79" s="71"/>
      <c r="CD79" s="71"/>
      <c r="CE79" s="71"/>
      <c r="CF79" s="71"/>
      <c r="CG79" s="71"/>
      <c r="CH79" s="71"/>
      <c r="CI79" s="71"/>
      <c r="CJ79" s="71"/>
      <c r="CK79" s="71"/>
      <c r="CL79" s="71"/>
      <c r="CM79" s="71"/>
      <c r="CN79" s="71"/>
      <c r="CO79" s="71"/>
      <c r="CP79" s="71"/>
      <c r="CQ79" s="71"/>
      <c r="CR79" s="71"/>
      <c r="CS79" s="71"/>
      <c r="CT79" s="71"/>
      <c r="CU79" s="71"/>
      <c r="CV79" s="71"/>
      <c r="CW79" s="71"/>
      <c r="CX79" s="71"/>
      <c r="CY79" s="71"/>
      <c r="CZ79" s="71"/>
      <c r="DA79" s="71"/>
      <c r="DB79" s="71"/>
      <c r="DC79" s="74">
        <f t="shared" ref="DC79:DC80" si="218">A79</f>
        <v>77</v>
      </c>
      <c r="DD79">
        <v>100</v>
      </c>
      <c r="DE79">
        <v>80</v>
      </c>
      <c r="DF79">
        <v>5</v>
      </c>
      <c r="DG79">
        <v>15</v>
      </c>
      <c r="DH79">
        <v>20</v>
      </c>
      <c r="DI79">
        <v>18</v>
      </c>
      <c r="EH79">
        <v>3.3507799999999999</v>
      </c>
      <c r="EI79">
        <v>3.3352599999999999</v>
      </c>
      <c r="EJ79" s="91">
        <f>DD79-EH79-EI79</f>
        <v>93.313959999999994</v>
      </c>
      <c r="EK79" s="91">
        <f>DE79-EI79</f>
        <v>76.664739999999995</v>
      </c>
      <c r="EL79" s="91">
        <f>EJ79-EK79</f>
        <v>16.64922</v>
      </c>
      <c r="EM79" s="91">
        <f>DF79</f>
        <v>5</v>
      </c>
      <c r="EN79" s="91">
        <f>EK79-EM79</f>
        <v>71.664739999999995</v>
      </c>
      <c r="EO79" s="91">
        <f>DH79-DG79</f>
        <v>5</v>
      </c>
      <c r="EP79" s="91">
        <f>DI79-DG79</f>
        <v>3</v>
      </c>
      <c r="EQ79" s="91">
        <f>EO79-EP79</f>
        <v>2</v>
      </c>
      <c r="ER79" s="92">
        <f>EL79/EK79*100</f>
        <v>21.716919668676894</v>
      </c>
      <c r="ES79" s="92" t="e">
        <f>EK79/VALUE(MID($A$1,FIND("Vol=",$A$1)+4,LEN($A$1)-(FIND("Vol=",$A$1)+4)))</f>
        <v>#VALUE!</v>
      </c>
      <c r="ET79" s="91" t="e">
        <f>100*(1-(ES79/2.65))</f>
        <v>#VALUE!</v>
      </c>
      <c r="EU79" s="91">
        <f>EM79/EK79*100</f>
        <v>6.5219030286935045</v>
      </c>
      <c r="EV79" s="91">
        <f>EN79/EK79*100</f>
        <v>93.478096971306499</v>
      </c>
      <c r="EW79" s="93">
        <f>EQ79/EO79*100</f>
        <v>40</v>
      </c>
    </row>
    <row r="80" spans="1:153" ht="15.6" thickTop="1" thickBot="1" x14ac:dyDescent="0.35">
      <c r="A80" s="62">
        <f t="shared" si="179"/>
        <v>78</v>
      </c>
      <c r="B80" s="100" t="s">
        <v>643</v>
      </c>
      <c r="C80" s="62" t="str">
        <f t="shared" si="216"/>
        <v>78: Root corer soil core in 6x9 bag-in-tray &gt; dry &gt; stones &gt; LOI = %SM, DB, Stones, LOI (Vol=248.82)</v>
      </c>
      <c r="D80" s="63">
        <f t="shared" si="217"/>
        <v>6</v>
      </c>
      <c r="E80" s="62">
        <v>1</v>
      </c>
      <c r="F80" s="62">
        <v>2</v>
      </c>
      <c r="G80" s="62">
        <v>3</v>
      </c>
      <c r="H80" s="62">
        <v>4</v>
      </c>
      <c r="I80" s="62">
        <v>5</v>
      </c>
      <c r="J80" s="62">
        <v>6</v>
      </c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4">
        <f>COUNTA(Z80:BC80)</f>
        <v>6</v>
      </c>
      <c r="Z80" s="66" t="s">
        <v>561</v>
      </c>
      <c r="AA80" s="66" t="s">
        <v>562</v>
      </c>
      <c r="AB80" s="96" t="s">
        <v>546</v>
      </c>
      <c r="AC80" s="95" t="s">
        <v>516</v>
      </c>
      <c r="AD80" s="66" t="s">
        <v>517</v>
      </c>
      <c r="AE80" s="66" t="s">
        <v>518</v>
      </c>
      <c r="AI80" s="66"/>
      <c r="AJ80" s="66"/>
      <c r="AK80" s="66"/>
      <c r="AL80" s="66"/>
      <c r="AM80" s="66"/>
      <c r="AN80" s="66"/>
      <c r="AO80" s="66"/>
      <c r="AP80" s="66"/>
      <c r="AQ80" s="66"/>
      <c r="AR80" s="66"/>
      <c r="AS80" s="66"/>
      <c r="AT80" s="66"/>
      <c r="AU80" s="66"/>
      <c r="AV80" s="66"/>
      <c r="AW80" s="66"/>
      <c r="AX80" s="66"/>
      <c r="AY80" s="66"/>
      <c r="AZ80" s="66"/>
      <c r="BA80" s="66"/>
      <c r="BB80" s="66"/>
      <c r="BC80" s="66"/>
      <c r="BD80" s="75" t="s">
        <v>559</v>
      </c>
      <c r="BE80" s="75" t="s">
        <v>560</v>
      </c>
      <c r="BF80" s="71" t="s">
        <v>519</v>
      </c>
      <c r="BG80" s="71" t="s">
        <v>520</v>
      </c>
      <c r="BH80" t="s">
        <v>525</v>
      </c>
      <c r="BI80" s="75" t="s">
        <v>547</v>
      </c>
      <c r="BJ80" s="75" t="s">
        <v>548</v>
      </c>
      <c r="BK80" s="71" t="s">
        <v>521</v>
      </c>
      <c r="BL80" s="71" t="s">
        <v>522</v>
      </c>
      <c r="BM80" s="75" t="s">
        <v>527</v>
      </c>
      <c r="BN80" s="71" t="s">
        <v>523</v>
      </c>
      <c r="BO80" s="71" t="s">
        <v>524</v>
      </c>
      <c r="BP80" s="75" t="s">
        <v>442</v>
      </c>
      <c r="BQ80" s="71" t="s">
        <v>439</v>
      </c>
      <c r="BR80" s="75" t="s">
        <v>440</v>
      </c>
      <c r="BS80" s="71" t="s">
        <v>526</v>
      </c>
      <c r="BT80" s="71"/>
      <c r="BU80" s="71"/>
      <c r="BV80" s="71"/>
      <c r="BW80" s="71"/>
      <c r="BX80" s="71"/>
      <c r="BY80" s="71"/>
      <c r="BZ80" s="71"/>
      <c r="CA80" s="71"/>
      <c r="CB80" s="71"/>
      <c r="CC80" s="71"/>
      <c r="CD80" s="71"/>
      <c r="CE80" s="71"/>
      <c r="CF80" s="71"/>
      <c r="CG80" s="71"/>
      <c r="CH80" s="71"/>
      <c r="CI80" s="71"/>
      <c r="CJ80" s="71"/>
      <c r="CK80" s="71"/>
      <c r="CL80" s="71"/>
      <c r="CM80" s="71"/>
      <c r="CN80" s="71"/>
      <c r="CO80" s="71"/>
      <c r="CP80" s="71"/>
      <c r="CQ80" s="71"/>
      <c r="CR80" s="71"/>
      <c r="CS80" s="71"/>
      <c r="CT80" s="71"/>
      <c r="CU80" s="71"/>
      <c r="CV80" s="71"/>
      <c r="CW80" s="71"/>
      <c r="CX80" s="71"/>
      <c r="CY80" s="71"/>
      <c r="CZ80" s="71"/>
      <c r="DA80" s="71"/>
      <c r="DB80" s="71"/>
      <c r="DC80" s="74">
        <f t="shared" si="218"/>
        <v>78</v>
      </c>
      <c r="DD80">
        <v>100</v>
      </c>
      <c r="DE80">
        <v>80</v>
      </c>
      <c r="DF80">
        <v>5</v>
      </c>
      <c r="DG80">
        <v>15</v>
      </c>
      <c r="DH80">
        <v>20</v>
      </c>
      <c r="DI80">
        <v>18</v>
      </c>
      <c r="EH80">
        <v>3.3507799999999999</v>
      </c>
      <c r="EI80">
        <v>3.3352599999999999</v>
      </c>
      <c r="EJ80" s="91">
        <f>DD80-EH80-EI80</f>
        <v>93.313959999999994</v>
      </c>
      <c r="EK80" s="91">
        <f>DE80-EI80</f>
        <v>76.664739999999995</v>
      </c>
      <c r="EL80" s="91">
        <f>EJ80-EK80</f>
        <v>16.64922</v>
      </c>
      <c r="EM80" s="91">
        <f>DF80</f>
        <v>5</v>
      </c>
      <c r="EN80" s="91">
        <f>EK80-EM80</f>
        <v>71.664739999999995</v>
      </c>
      <c r="EO80" s="91">
        <f>DH80-DG80</f>
        <v>5</v>
      </c>
      <c r="EP80" s="91">
        <f>DI80-DG80</f>
        <v>3</v>
      </c>
      <c r="EQ80" s="91">
        <f>EO80-EP80</f>
        <v>2</v>
      </c>
      <c r="ER80" s="92">
        <f>EL80/EK80*100</f>
        <v>21.716919668676894</v>
      </c>
      <c r="ES80" s="92" t="e">
        <f>EK80/VALUE(MID($A$1,FIND("Vol=",$A$1)+4,LEN($A$1)-(FIND("Vol=",$A$1)+4)))</f>
        <v>#VALUE!</v>
      </c>
      <c r="ET80" s="91" t="e">
        <f>100*(1-(ES80/2.65))</f>
        <v>#VALUE!</v>
      </c>
      <c r="EU80" s="91">
        <f>EM80/EK80*100</f>
        <v>6.5219030286935045</v>
      </c>
      <c r="EV80" s="91">
        <f>EN80/EK80*100</f>
        <v>93.478096971306499</v>
      </c>
      <c r="EW80" s="93">
        <f>EQ80/EO80*100</f>
        <v>40</v>
      </c>
    </row>
    <row r="81" spans="1:157" ht="15.6" thickTop="1" thickBot="1" x14ac:dyDescent="0.35">
      <c r="A81" s="62">
        <f t="shared" si="179"/>
        <v>79</v>
      </c>
      <c r="B81" s="100" t="s">
        <v>565</v>
      </c>
      <c r="C81" s="62" t="str">
        <f t="shared" ref="C81:C86" si="219">CONCATENATE(A80,": ",B81)</f>
        <v>78: variable soil core in bag-in-tray &gt; dry &gt; stones &gt; LOI = %SM, DB, Stones, LOI</v>
      </c>
      <c r="D81" s="63">
        <f t="shared" ref="D81" si="220">COUNT(E81:X81)</f>
        <v>6</v>
      </c>
      <c r="E81" s="62">
        <v>1</v>
      </c>
      <c r="F81" s="62">
        <v>2</v>
      </c>
      <c r="G81" s="62">
        <v>3</v>
      </c>
      <c r="H81" s="62">
        <v>4</v>
      </c>
      <c r="I81" s="62">
        <v>5</v>
      </c>
      <c r="J81" s="62">
        <v>6</v>
      </c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4">
        <f>COUNTA(Z81:BC81)</f>
        <v>6</v>
      </c>
      <c r="Z81" s="66" t="s">
        <v>561</v>
      </c>
      <c r="AA81" s="66" t="s">
        <v>562</v>
      </c>
      <c r="AB81" s="96" t="s">
        <v>546</v>
      </c>
      <c r="AC81" s="95" t="s">
        <v>516</v>
      </c>
      <c r="AD81" s="66" t="s">
        <v>517</v>
      </c>
      <c r="AE81" s="66" t="s">
        <v>518</v>
      </c>
      <c r="AI81" s="66"/>
      <c r="AJ81" s="66"/>
      <c r="AK81" s="66"/>
      <c r="AL81" s="66"/>
      <c r="AM81" s="66"/>
      <c r="AN81" s="66"/>
      <c r="AO81" s="66"/>
      <c r="AP81" s="66"/>
      <c r="AQ81" s="66"/>
      <c r="AR81" s="66"/>
      <c r="AS81" s="66"/>
      <c r="AT81" s="66"/>
      <c r="AU81" s="66"/>
      <c r="AV81" s="66"/>
      <c r="AW81" s="66"/>
      <c r="AX81" s="66"/>
      <c r="AY81" s="66"/>
      <c r="AZ81" s="66"/>
      <c r="BA81" s="66"/>
      <c r="BB81" s="66"/>
      <c r="BC81" s="66"/>
      <c r="BD81" s="75" t="s">
        <v>559</v>
      </c>
      <c r="BE81" s="75" t="s">
        <v>560</v>
      </c>
      <c r="BF81" s="71" t="s">
        <v>566</v>
      </c>
      <c r="BG81" s="71" t="s">
        <v>519</v>
      </c>
      <c r="BH81" s="71" t="s">
        <v>520</v>
      </c>
      <c r="BI81" t="s">
        <v>525</v>
      </c>
      <c r="BJ81" s="75" t="s">
        <v>547</v>
      </c>
      <c r="BK81" s="75" t="s">
        <v>548</v>
      </c>
      <c r="BL81" s="71" t="s">
        <v>521</v>
      </c>
      <c r="BM81" s="71" t="s">
        <v>522</v>
      </c>
      <c r="BN81" s="75" t="s">
        <v>527</v>
      </c>
      <c r="BO81" s="71" t="s">
        <v>523</v>
      </c>
      <c r="BP81" s="71" t="s">
        <v>524</v>
      </c>
      <c r="BQ81" s="75" t="s">
        <v>442</v>
      </c>
      <c r="BR81" s="71" t="s">
        <v>439</v>
      </c>
      <c r="BS81" s="75" t="s">
        <v>440</v>
      </c>
      <c r="BT81" s="71" t="s">
        <v>526</v>
      </c>
      <c r="BU81" s="71"/>
      <c r="BV81" s="71"/>
      <c r="BW81" s="71"/>
      <c r="BX81" s="71"/>
      <c r="BY81" s="71"/>
      <c r="BZ81" s="71"/>
      <c r="CA81" s="71"/>
      <c r="CB81" s="71"/>
      <c r="CC81" s="71"/>
      <c r="CD81" s="71"/>
      <c r="CE81" s="71"/>
      <c r="CF81" s="71"/>
      <c r="CG81" s="71"/>
      <c r="CH81" s="71"/>
      <c r="CI81" s="71"/>
      <c r="CJ81" s="71"/>
      <c r="CK81" s="71"/>
      <c r="CL81" s="71"/>
      <c r="CM81" s="71"/>
      <c r="CN81" s="71"/>
      <c r="CO81" s="71"/>
      <c r="CP81" s="71"/>
      <c r="CQ81" s="71"/>
      <c r="CR81" s="71"/>
      <c r="CS81" s="71"/>
      <c r="CT81" s="71"/>
      <c r="CU81" s="71"/>
      <c r="CV81" s="71"/>
      <c r="CW81" s="71"/>
      <c r="CX81" s="71"/>
      <c r="CY81" s="71"/>
      <c r="CZ81" s="71"/>
      <c r="DA81" s="71"/>
      <c r="DB81" s="71"/>
      <c r="DC81" s="74">
        <f t="shared" ref="DC81:DC86" si="221">A80</f>
        <v>78</v>
      </c>
      <c r="DD81">
        <v>100</v>
      </c>
      <c r="DE81">
        <v>80</v>
      </c>
      <c r="DF81">
        <v>5</v>
      </c>
      <c r="DG81">
        <v>15</v>
      </c>
      <c r="DH81">
        <v>20</v>
      </c>
      <c r="DI81">
        <v>18</v>
      </c>
      <c r="EH81">
        <v>3.3507799999999999</v>
      </c>
      <c r="EI81">
        <v>3.3352599999999999</v>
      </c>
      <c r="EJ81">
        <v>219.34</v>
      </c>
      <c r="EK81" s="91">
        <f>DD81-EH81-EI81</f>
        <v>93.313959999999994</v>
      </c>
      <c r="EL81" s="91">
        <f>DE81-EI81</f>
        <v>76.664739999999995</v>
      </c>
      <c r="EM81" s="91">
        <f>EK81-EL81</f>
        <v>16.64922</v>
      </c>
      <c r="EN81" s="91">
        <f>DF81</f>
        <v>5</v>
      </c>
      <c r="EO81" s="91">
        <f>EL81-EN81</f>
        <v>71.664739999999995</v>
      </c>
      <c r="EP81" s="91">
        <f>DH81-DG81</f>
        <v>5</v>
      </c>
      <c r="EQ81" s="91">
        <f>DI81-DG81</f>
        <v>3</v>
      </c>
      <c r="ER81" s="91">
        <f>EP81-EQ81</f>
        <v>2</v>
      </c>
      <c r="ES81" s="92">
        <f>EM81/EL81*100</f>
        <v>21.716919668676894</v>
      </c>
      <c r="ET81" s="92">
        <f>EL81/EJ81</f>
        <v>0.3495246649038023</v>
      </c>
      <c r="EU81" s="91">
        <f>100*(1-(ET81/2.65))</f>
        <v>86.810390003630104</v>
      </c>
      <c r="EV81" s="91">
        <f>EN81/EL81*100</f>
        <v>6.5219030286935045</v>
      </c>
      <c r="EW81" s="91">
        <f>EO81/EL81*100</f>
        <v>93.478096971306499</v>
      </c>
      <c r="EX81" s="93">
        <f>ER81/EP81*100</f>
        <v>40</v>
      </c>
    </row>
    <row r="82" spans="1:157" ht="15.6" thickTop="1" thickBot="1" x14ac:dyDescent="0.35">
      <c r="A82" s="62">
        <f t="shared" si="179"/>
        <v>80</v>
      </c>
      <c r="B82" s="62" t="s">
        <v>536</v>
      </c>
      <c r="C82" s="62" t="str">
        <f t="shared" si="219"/>
        <v>79: Fixed vol peat Db-LOI: Cruc &gt; dry+peat &gt; burnt (Vol=10.00)</v>
      </c>
      <c r="D82" s="63">
        <f t="shared" ref="D82:D84" si="222">COUNT(E82:X82)</f>
        <v>3</v>
      </c>
      <c r="E82" s="62">
        <v>1</v>
      </c>
      <c r="F82" s="62">
        <v>2</v>
      </c>
      <c r="G82" s="62">
        <v>3</v>
      </c>
      <c r="H82" s="62"/>
      <c r="I82" s="62"/>
      <c r="J82" s="62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4">
        <f t="shared" ref="Y82:Y84" si="223">COUNTA(Z82:BC82)</f>
        <v>3</v>
      </c>
      <c r="Z82" s="66" t="s">
        <v>516</v>
      </c>
      <c r="AA82" s="66" t="s">
        <v>532</v>
      </c>
      <c r="AB82" s="66" t="s">
        <v>533</v>
      </c>
      <c r="AC82" s="66"/>
      <c r="AD82" s="66"/>
      <c r="AE82" s="66"/>
      <c r="AF82" s="66"/>
      <c r="AG82" s="66"/>
      <c r="AH82" s="66"/>
      <c r="AI82" s="66"/>
      <c r="AJ82" s="66"/>
      <c r="AK82" s="66"/>
      <c r="AL82" s="66"/>
      <c r="AM82" s="66"/>
      <c r="AN82" s="66"/>
      <c r="AO82" s="66"/>
      <c r="AP82" s="66"/>
      <c r="AQ82" s="66"/>
      <c r="AR82" s="66"/>
      <c r="AS82" s="66"/>
      <c r="AT82" s="66"/>
      <c r="AU82" s="66"/>
      <c r="AV82" s="66"/>
      <c r="AW82" s="66"/>
      <c r="AX82" s="66"/>
      <c r="AY82" s="66"/>
      <c r="AZ82" s="66"/>
      <c r="BA82" s="66"/>
      <c r="BB82" s="66"/>
      <c r="BC82" s="66"/>
      <c r="BD82" s="71" t="s">
        <v>534</v>
      </c>
      <c r="BE82" s="71" t="s">
        <v>535</v>
      </c>
      <c r="BF82" s="71" t="s">
        <v>339</v>
      </c>
      <c r="BG82" s="71" t="s">
        <v>524</v>
      </c>
      <c r="BH82" s="71" t="s">
        <v>526</v>
      </c>
      <c r="BI82" s="71"/>
      <c r="BJ82" s="71"/>
      <c r="BK82" s="71"/>
      <c r="BL82" s="71"/>
      <c r="BM82" s="71"/>
      <c r="BN82" s="71"/>
      <c r="BO82" s="71"/>
      <c r="BP82" s="71"/>
      <c r="BQ82" s="71"/>
      <c r="BR82" s="71"/>
      <c r="BS82" s="71"/>
      <c r="BT82" s="71"/>
      <c r="BU82" s="71"/>
      <c r="BV82" s="71"/>
      <c r="BW82" s="71"/>
      <c r="BX82" s="71"/>
      <c r="BY82" s="71"/>
      <c r="BZ82" s="71"/>
      <c r="CA82" s="71"/>
      <c r="CB82" s="71"/>
      <c r="CC82" s="71"/>
      <c r="CD82" s="71"/>
      <c r="CE82" s="71"/>
      <c r="CF82" s="71"/>
      <c r="CG82" s="71"/>
      <c r="CH82" s="71"/>
      <c r="CI82" s="71"/>
      <c r="CJ82" s="71"/>
      <c r="CK82" s="71"/>
      <c r="CL82" s="71"/>
      <c r="CM82" s="71"/>
      <c r="CN82" s="71"/>
      <c r="CO82" s="71"/>
      <c r="CP82" s="71"/>
      <c r="CQ82" s="71"/>
      <c r="CR82" s="71"/>
      <c r="CS82" s="71"/>
      <c r="CT82" s="71"/>
      <c r="CU82" s="71"/>
      <c r="CV82" s="71"/>
      <c r="CW82" s="71"/>
      <c r="CX82" s="71"/>
      <c r="CY82" s="71"/>
      <c r="CZ82" s="71"/>
      <c r="DA82" s="71"/>
      <c r="DB82" s="71"/>
      <c r="DC82" s="74">
        <f t="shared" si="221"/>
        <v>79</v>
      </c>
      <c r="DD82">
        <v>10</v>
      </c>
      <c r="DE82">
        <v>15</v>
      </c>
      <c r="DF82">
        <v>12</v>
      </c>
      <c r="EH82">
        <f t="shared" ref="EH82:EH84" si="224">DE82-DD82</f>
        <v>5</v>
      </c>
      <c r="EI82">
        <f t="shared" ref="EI82:EI84" si="225">DF82-DD82</f>
        <v>2</v>
      </c>
      <c r="EJ82">
        <f t="shared" ref="EJ82" si="226">EH82-EI82</f>
        <v>3</v>
      </c>
      <c r="EK82" s="90" t="e">
        <f>EH82/VALUE(MID($A$1,FIND("Vol=",$A$1)+4,LEN($A$1)-(FIND("Vol=",$A$1)+4)))</f>
        <v>#VALUE!</v>
      </c>
      <c r="EL82" s="90">
        <f>EJ82/EH82*100</f>
        <v>60</v>
      </c>
    </row>
    <row r="83" spans="1:157" ht="15.6" thickTop="1" thickBot="1" x14ac:dyDescent="0.35">
      <c r="A83" s="62">
        <f t="shared" si="179"/>
        <v>81</v>
      </c>
      <c r="B83" s="62" t="s">
        <v>537</v>
      </c>
      <c r="C83" s="62" t="str">
        <f t="shared" si="219"/>
        <v>80: Fixed vol peat %SM-Db-%LOI: Cruc &gt; wet wt &gt; dry &gt; burnt (Vol=10.00)</v>
      </c>
      <c r="D83" s="63">
        <f t="shared" si="222"/>
        <v>4</v>
      </c>
      <c r="E83" s="62">
        <v>1</v>
      </c>
      <c r="F83" s="62">
        <v>2</v>
      </c>
      <c r="G83" s="62">
        <v>3</v>
      </c>
      <c r="H83" s="62">
        <v>4</v>
      </c>
      <c r="I83" s="62"/>
      <c r="J83" s="62"/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4">
        <f t="shared" si="223"/>
        <v>4</v>
      </c>
      <c r="Z83" s="66" t="s">
        <v>516</v>
      </c>
      <c r="AA83" s="66" t="s">
        <v>538</v>
      </c>
      <c r="AB83" s="66" t="s">
        <v>539</v>
      </c>
      <c r="AC83" s="66" t="s">
        <v>540</v>
      </c>
      <c r="AD83" s="66"/>
      <c r="AE83" s="66"/>
      <c r="AF83" s="66"/>
      <c r="AG83" s="66"/>
      <c r="AH83" s="66"/>
      <c r="AI83" s="66"/>
      <c r="AJ83" s="66"/>
      <c r="AK83" s="66"/>
      <c r="AL83" s="66"/>
      <c r="AM83" s="66"/>
      <c r="AN83" s="66"/>
      <c r="AO83" s="66"/>
      <c r="AP83" s="66"/>
      <c r="AQ83" s="66"/>
      <c r="AR83" s="66"/>
      <c r="AS83" s="66"/>
      <c r="AT83" s="66"/>
      <c r="AU83" s="66"/>
      <c r="AV83" s="66"/>
      <c r="AW83" s="66"/>
      <c r="AX83" s="66"/>
      <c r="AY83" s="66"/>
      <c r="AZ83" s="66"/>
      <c r="BA83" s="66"/>
      <c r="BB83" s="66"/>
      <c r="BC83" s="66"/>
      <c r="BD83" s="71" t="s">
        <v>541</v>
      </c>
      <c r="BE83" s="71" t="s">
        <v>534</v>
      </c>
      <c r="BF83" t="s">
        <v>525</v>
      </c>
      <c r="BG83" s="71" t="s">
        <v>535</v>
      </c>
      <c r="BH83" s="71" t="s">
        <v>542</v>
      </c>
      <c r="BI83" s="71" t="s">
        <v>543</v>
      </c>
      <c r="BJ83" s="71" t="s">
        <v>524</v>
      </c>
      <c r="BK83" s="71" t="s">
        <v>526</v>
      </c>
      <c r="BL83" s="71"/>
      <c r="BM83" s="71"/>
      <c r="BN83" s="71"/>
      <c r="BO83" s="71"/>
      <c r="BP83" s="71"/>
      <c r="BQ83" s="71"/>
      <c r="BR83" s="71"/>
      <c r="BS83" s="71"/>
      <c r="BT83" s="71"/>
      <c r="BU83" s="71"/>
      <c r="BV83" s="71"/>
      <c r="BW83" s="71"/>
      <c r="BX83" s="71"/>
      <c r="BY83" s="71"/>
      <c r="BZ83" s="71"/>
      <c r="CA83" s="71"/>
      <c r="CB83" s="71"/>
      <c r="CC83" s="71"/>
      <c r="CD83" s="71"/>
      <c r="CE83" s="71"/>
      <c r="CF83" s="71"/>
      <c r="CG83" s="71"/>
      <c r="CH83" s="71"/>
      <c r="CI83" s="71"/>
      <c r="CJ83" s="71"/>
      <c r="CK83" s="71"/>
      <c r="CL83" s="71"/>
      <c r="CM83" s="71"/>
      <c r="CN83" s="71"/>
      <c r="CO83" s="71"/>
      <c r="CP83" s="71"/>
      <c r="CQ83" s="71"/>
      <c r="CR83" s="71"/>
      <c r="CS83" s="71"/>
      <c r="CT83" s="71"/>
      <c r="CU83" s="71"/>
      <c r="CV83" s="71"/>
      <c r="CW83" s="71"/>
      <c r="CX83" s="71"/>
      <c r="CY83" s="71"/>
      <c r="CZ83" s="71"/>
      <c r="DA83" s="71"/>
      <c r="DB83" s="71"/>
      <c r="DC83" s="74">
        <f t="shared" si="221"/>
        <v>80</v>
      </c>
      <c r="DD83">
        <v>10</v>
      </c>
      <c r="DE83">
        <v>15</v>
      </c>
      <c r="DF83">
        <v>14</v>
      </c>
      <c r="DG83">
        <v>12</v>
      </c>
      <c r="EH83">
        <f t="shared" si="224"/>
        <v>5</v>
      </c>
      <c r="EI83">
        <f t="shared" si="225"/>
        <v>4</v>
      </c>
      <c r="EJ83">
        <f>EH83-EI83</f>
        <v>1</v>
      </c>
      <c r="EK83">
        <f>DG83-DD83</f>
        <v>2</v>
      </c>
      <c r="EL83">
        <f>EI83-EK83</f>
        <v>2</v>
      </c>
      <c r="EM83">
        <f>EJ83/EI83*100</f>
        <v>25</v>
      </c>
      <c r="EN83" t="e">
        <f>EI83/VALUE(MID($A$1,FIND("Vol=",$A$1)+4,LEN($A$1)-(FIND("Vol=",$A$1)+4)))</f>
        <v>#VALUE!</v>
      </c>
      <c r="EO83">
        <f>EL83/EI83*100</f>
        <v>50</v>
      </c>
    </row>
    <row r="84" spans="1:157" ht="22.2" thickTop="1" thickBot="1" x14ac:dyDescent="0.45">
      <c r="A84" s="62">
        <f t="shared" si="179"/>
        <v>82</v>
      </c>
      <c r="B84" s="62" t="s">
        <v>544</v>
      </c>
      <c r="C84" s="62" t="str">
        <f t="shared" si="219"/>
        <v>81: Fixed vol peat %SM-Db-%LOI: Cruc » wet wt &gt; dry &gt; burnt (Vol=10.00)</v>
      </c>
      <c r="D84" s="63">
        <f t="shared" si="222"/>
        <v>3</v>
      </c>
      <c r="E84" s="62">
        <v>1</v>
      </c>
      <c r="F84" s="62">
        <v>3</v>
      </c>
      <c r="G84" s="62">
        <v>4</v>
      </c>
      <c r="H84" s="62"/>
      <c r="I84" s="62"/>
      <c r="J84" s="62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4">
        <f t="shared" si="223"/>
        <v>4</v>
      </c>
      <c r="Z84" s="66" t="s">
        <v>516</v>
      </c>
      <c r="AA84" s="66" t="s">
        <v>538</v>
      </c>
      <c r="AB84" s="66" t="s">
        <v>539</v>
      </c>
      <c r="AC84" s="66" t="s">
        <v>540</v>
      </c>
      <c r="AD84" s="66"/>
      <c r="AE84" s="66"/>
      <c r="AF84" s="66"/>
      <c r="AG84" s="66"/>
      <c r="AH84" s="66"/>
      <c r="AI84" s="66"/>
      <c r="AJ84" s="66"/>
      <c r="AK84" s="66"/>
      <c r="AL84" s="66"/>
      <c r="AM84" s="66"/>
      <c r="AN84" s="66"/>
      <c r="AO84" s="66"/>
      <c r="AP84" s="66"/>
      <c r="AQ84" s="66"/>
      <c r="AR84" s="66"/>
      <c r="AS84" s="66"/>
      <c r="AT84" s="66"/>
      <c r="AU84" s="66"/>
      <c r="AV84" s="66"/>
      <c r="AW84" s="66"/>
      <c r="AX84" s="66"/>
      <c r="AY84" s="66"/>
      <c r="AZ84" s="66"/>
      <c r="BA84" s="66"/>
      <c r="BB84" s="66"/>
      <c r="BC84" s="66"/>
      <c r="BD84" s="71" t="s">
        <v>541</v>
      </c>
      <c r="BE84" s="71" t="s">
        <v>534</v>
      </c>
      <c r="BF84" t="s">
        <v>525</v>
      </c>
      <c r="BG84" s="71" t="s">
        <v>535</v>
      </c>
      <c r="BH84" s="71" t="s">
        <v>542</v>
      </c>
      <c r="BI84" s="71" t="s">
        <v>543</v>
      </c>
      <c r="BJ84" s="71" t="s">
        <v>524</v>
      </c>
      <c r="BK84" s="71" t="s">
        <v>526</v>
      </c>
      <c r="BL84" s="71"/>
      <c r="BM84" s="71"/>
      <c r="BN84" s="71"/>
      <c r="BO84" s="71"/>
      <c r="BP84" s="71"/>
      <c r="BQ84" s="71"/>
      <c r="BR84" s="71"/>
      <c r="BS84" s="71"/>
      <c r="BT84" s="71"/>
      <c r="BU84" s="71"/>
      <c r="BV84" s="71"/>
      <c r="BW84" s="71"/>
      <c r="BX84" s="71"/>
      <c r="BY84" s="71"/>
      <c r="BZ84" s="71"/>
      <c r="CA84" s="71"/>
      <c r="CB84" s="71"/>
      <c r="CC84" s="71"/>
      <c r="CD84" s="71"/>
      <c r="CE84" s="71"/>
      <c r="CF84" s="71"/>
      <c r="CG84" s="71"/>
      <c r="CH84" s="71"/>
      <c r="CI84" s="71"/>
      <c r="CJ84" s="71"/>
      <c r="CK84" s="71"/>
      <c r="CL84" s="71"/>
      <c r="CM84" s="71"/>
      <c r="CN84" s="71"/>
      <c r="CO84" s="71"/>
      <c r="CP84" s="71"/>
      <c r="CQ84" s="71"/>
      <c r="CR84" s="71"/>
      <c r="CS84" s="71"/>
      <c r="CT84" s="71"/>
      <c r="CU84" s="71"/>
      <c r="CV84" s="71"/>
      <c r="CW84" s="71"/>
      <c r="CX84" s="71"/>
      <c r="CY84" s="71"/>
      <c r="CZ84" s="71"/>
      <c r="DA84" s="71"/>
      <c r="DB84" s="71"/>
      <c r="DC84" s="74">
        <f t="shared" si="221"/>
        <v>81</v>
      </c>
      <c r="DD84">
        <v>10</v>
      </c>
      <c r="DE84">
        <v>15</v>
      </c>
      <c r="DF84">
        <v>14</v>
      </c>
      <c r="DG84">
        <v>12</v>
      </c>
      <c r="EH84">
        <f t="shared" si="224"/>
        <v>5</v>
      </c>
      <c r="EI84">
        <f t="shared" si="225"/>
        <v>4</v>
      </c>
      <c r="EJ84">
        <f>EH84-EI84</f>
        <v>1</v>
      </c>
      <c r="EK84">
        <f>DG84-DD84</f>
        <v>2</v>
      </c>
      <c r="EL84">
        <f>EI84-EK84</f>
        <v>2</v>
      </c>
      <c r="EM84">
        <f>EJ84/EI84*100</f>
        <v>25</v>
      </c>
      <c r="EN84" t="e">
        <f>EI84/VALUE(MID($A$1,FIND("Vol=",$A$1)+4,LEN($A$1)-(FIND("Vol=",$A$1)+4)))</f>
        <v>#VALUE!</v>
      </c>
      <c r="EO84">
        <f>EL84/EI84*100</f>
        <v>50</v>
      </c>
    </row>
    <row r="85" spans="1:157" ht="15.6" thickTop="1" thickBot="1" x14ac:dyDescent="0.35">
      <c r="A85" s="62">
        <f t="shared" si="179"/>
        <v>83</v>
      </c>
      <c r="B85" s="62" t="s">
        <v>603</v>
      </c>
      <c r="C85" s="62" t="str">
        <f t="shared" si="219"/>
        <v>82: Andy Cheung pot &gt; SM tin &gt; SM tin+wet &gt; empty bkrs &gt; SM tin+dry &gt; bkrs + dry sediment &gt; MT jar &gt; LOI</v>
      </c>
      <c r="D85" s="63">
        <f>COUNT(E85:X85)</f>
        <v>4</v>
      </c>
      <c r="E85" s="62">
        <v>1</v>
      </c>
      <c r="F85" s="62">
        <v>4</v>
      </c>
      <c r="G85" s="62">
        <v>10</v>
      </c>
      <c r="H85" s="62">
        <v>11</v>
      </c>
      <c r="I85" s="62"/>
      <c r="J85" s="62"/>
      <c r="K85" s="62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4">
        <f>COUNTA(Z85:BC85)</f>
        <v>27</v>
      </c>
      <c r="Z85" s="66" t="s">
        <v>569</v>
      </c>
      <c r="AA85" s="66" t="s">
        <v>570</v>
      </c>
      <c r="AB85" s="66" t="s">
        <v>571</v>
      </c>
      <c r="AC85" s="66" t="s">
        <v>572</v>
      </c>
      <c r="AD85" s="66" t="s">
        <v>573</v>
      </c>
      <c r="AE85" s="66" t="s">
        <v>574</v>
      </c>
      <c r="AF85" s="66" t="s">
        <v>575</v>
      </c>
      <c r="AG85" s="66" t="s">
        <v>576</v>
      </c>
      <c r="AH85" s="66" t="s">
        <v>577</v>
      </c>
      <c r="AI85" s="66" t="s">
        <v>584</v>
      </c>
      <c r="AJ85" s="103" t="s">
        <v>600</v>
      </c>
      <c r="AK85" s="66" t="s">
        <v>578</v>
      </c>
      <c r="AL85" s="66" t="s">
        <v>579</v>
      </c>
      <c r="AM85" s="66" t="s">
        <v>580</v>
      </c>
      <c r="AN85" s="66" t="s">
        <v>581</v>
      </c>
      <c r="AO85" s="66" t="s">
        <v>582</v>
      </c>
      <c r="AP85" s="66" t="s">
        <v>583</v>
      </c>
      <c r="AQ85" s="66" t="s">
        <v>585</v>
      </c>
      <c r="AR85" s="66" t="s">
        <v>597</v>
      </c>
      <c r="AS85" s="66" t="s">
        <v>598</v>
      </c>
      <c r="AT85" s="66" t="s">
        <v>604</v>
      </c>
      <c r="AU85" s="66" t="s">
        <v>610</v>
      </c>
      <c r="AV85" s="66" t="s">
        <v>608</v>
      </c>
      <c r="AW85" s="66" t="s">
        <v>609</v>
      </c>
      <c r="AX85" s="66" t="s">
        <v>605</v>
      </c>
      <c r="AY85" s="66" t="s">
        <v>606</v>
      </c>
      <c r="AZ85" s="66" t="s">
        <v>607</v>
      </c>
      <c r="BA85" s="66"/>
      <c r="BB85" s="66"/>
      <c r="BC85" s="66"/>
      <c r="BD85" s="71" t="s">
        <v>586</v>
      </c>
      <c r="BE85" s="71" t="s">
        <v>588</v>
      </c>
      <c r="BF85" s="75" t="s">
        <v>589</v>
      </c>
      <c r="BG85" s="75" t="s">
        <v>599</v>
      </c>
      <c r="BH85" s="71" t="s">
        <v>590</v>
      </c>
      <c r="BI85" s="71" t="s">
        <v>587</v>
      </c>
      <c r="BJ85" s="75" t="s">
        <v>601</v>
      </c>
      <c r="BK85" s="75" t="s">
        <v>602</v>
      </c>
      <c r="BL85" s="66" t="s">
        <v>591</v>
      </c>
      <c r="BM85" s="66" t="s">
        <v>592</v>
      </c>
      <c r="BN85" s="66" t="s">
        <v>593</v>
      </c>
      <c r="BO85" s="66" t="s">
        <v>594</v>
      </c>
      <c r="BP85" s="66" t="s">
        <v>595</v>
      </c>
      <c r="BQ85" s="66" t="s">
        <v>596</v>
      </c>
      <c r="BR85" s="71" t="s">
        <v>611</v>
      </c>
      <c r="BS85" s="71" t="s">
        <v>612</v>
      </c>
      <c r="BT85" s="71" t="s">
        <v>613</v>
      </c>
      <c r="BU85" s="71" t="s">
        <v>614</v>
      </c>
      <c r="BV85" s="71" t="s">
        <v>615</v>
      </c>
      <c r="BW85" s="71" t="s">
        <v>616</v>
      </c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4">
        <f t="shared" si="221"/>
        <v>82</v>
      </c>
      <c r="DD85">
        <v>300</v>
      </c>
      <c r="DE85">
        <v>10</v>
      </c>
      <c r="DF85">
        <v>15</v>
      </c>
      <c r="DG85">
        <v>180</v>
      </c>
      <c r="DH85">
        <v>181</v>
      </c>
      <c r="DI85">
        <v>182</v>
      </c>
      <c r="DJ85">
        <v>183</v>
      </c>
      <c r="DK85">
        <v>184</v>
      </c>
      <c r="DL85">
        <v>185</v>
      </c>
      <c r="DM85">
        <v>13</v>
      </c>
      <c r="DN85">
        <v>250</v>
      </c>
      <c r="DO85">
        <f>+DG85+1</f>
        <v>181</v>
      </c>
      <c r="DP85">
        <f>+DH85+2</f>
        <v>183</v>
      </c>
      <c r="DQ85">
        <f>+DI85+3</f>
        <v>185</v>
      </c>
      <c r="DR85">
        <f>+DJ85+4</f>
        <v>187</v>
      </c>
      <c r="DS85">
        <f>+DK85+5</f>
        <v>189</v>
      </c>
      <c r="DT85">
        <f>+DL85+6</f>
        <v>191</v>
      </c>
      <c r="DU85">
        <v>150</v>
      </c>
      <c r="DV85">
        <v>5</v>
      </c>
      <c r="DW85">
        <v>5</v>
      </c>
      <c r="DX85">
        <v>5</v>
      </c>
      <c r="DY85">
        <v>10</v>
      </c>
      <c r="DZ85">
        <v>13</v>
      </c>
      <c r="EA85">
        <v>12</v>
      </c>
      <c r="EB85">
        <v>9</v>
      </c>
      <c r="EC85">
        <v>12</v>
      </c>
      <c r="ED85">
        <v>11</v>
      </c>
      <c r="EH85">
        <f>DD85-DU85</f>
        <v>150</v>
      </c>
      <c r="EI85">
        <f>DF85-DE85</f>
        <v>5</v>
      </c>
      <c r="EJ85">
        <f>DM85-DE85</f>
        <v>3</v>
      </c>
      <c r="EK85">
        <f>EI85-EJ85</f>
        <v>2</v>
      </c>
      <c r="EL85">
        <f>EK85/EJ85*100</f>
        <v>66.666666666666657</v>
      </c>
      <c r="EM85">
        <f>EH85*(1-(EL85/100))</f>
        <v>50.000000000000021</v>
      </c>
      <c r="EN85">
        <f>DD85-DN85</f>
        <v>50</v>
      </c>
      <c r="EO85">
        <f>EN85*(1-(EL85/100))</f>
        <v>16.666666666666675</v>
      </c>
      <c r="EP85">
        <f t="shared" ref="EP85:EU85" si="227">DO85-DG85</f>
        <v>1</v>
      </c>
      <c r="EQ85">
        <f t="shared" si="227"/>
        <v>2</v>
      </c>
      <c r="ER85">
        <f t="shared" si="227"/>
        <v>3</v>
      </c>
      <c r="ES85">
        <f t="shared" si="227"/>
        <v>4</v>
      </c>
      <c r="ET85">
        <f t="shared" si="227"/>
        <v>5</v>
      </c>
      <c r="EU85">
        <f t="shared" si="227"/>
        <v>6</v>
      </c>
      <c r="EV85">
        <f>DZ85-DY85</f>
        <v>3</v>
      </c>
      <c r="EW85">
        <f>DZ85-EA85</f>
        <v>1</v>
      </c>
      <c r="EX85">
        <f>EW85/EV85*100</f>
        <v>33.333333333333329</v>
      </c>
      <c r="EY85">
        <f>EC85-EB85</f>
        <v>3</v>
      </c>
      <c r="EZ85">
        <f>EC85-ED85</f>
        <v>1</v>
      </c>
      <c r="FA85">
        <f>EZ85/EY85*100</f>
        <v>33.333333333333329</v>
      </c>
    </row>
    <row r="86" spans="1:157" ht="15.6" thickTop="1" thickBot="1" x14ac:dyDescent="0.35">
      <c r="A86" s="62">
        <f t="shared" si="179"/>
        <v>84</v>
      </c>
      <c r="B86" s="62" t="s">
        <v>617</v>
      </c>
      <c r="C86" s="62" t="str">
        <f t="shared" si="219"/>
        <v>83: Settling tube - 10 drops</v>
      </c>
      <c r="D86" s="63">
        <f>COUNT(E86:X86)</f>
        <v>10</v>
      </c>
      <c r="E86" s="62">
        <v>1</v>
      </c>
      <c r="F86" s="62">
        <v>2</v>
      </c>
      <c r="G86" s="62">
        <v>3</v>
      </c>
      <c r="H86" s="62">
        <v>4</v>
      </c>
      <c r="I86" s="62">
        <v>5</v>
      </c>
      <c r="J86" s="62">
        <v>6</v>
      </c>
      <c r="K86" s="62">
        <v>7</v>
      </c>
      <c r="L86" s="62">
        <v>8</v>
      </c>
      <c r="M86" s="62">
        <v>9</v>
      </c>
      <c r="N86" s="62">
        <v>10</v>
      </c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4">
        <f>COUNTA(Z86:BC86)</f>
        <v>10</v>
      </c>
      <c r="Z86" s="66" t="s">
        <v>618</v>
      </c>
      <c r="AA86" s="66" t="s">
        <v>619</v>
      </c>
      <c r="AB86" s="66" t="s">
        <v>620</v>
      </c>
      <c r="AC86" s="66" t="s">
        <v>621</v>
      </c>
      <c r="AD86" s="66" t="s">
        <v>622</v>
      </c>
      <c r="AE86" s="66" t="s">
        <v>623</v>
      </c>
      <c r="AF86" s="66" t="s">
        <v>624</v>
      </c>
      <c r="AG86" s="66" t="s">
        <v>625</v>
      </c>
      <c r="AH86" s="66" t="s">
        <v>626</v>
      </c>
      <c r="AI86" s="66" t="s">
        <v>627</v>
      </c>
      <c r="AJ86" s="66"/>
      <c r="AK86" s="66"/>
      <c r="AL86" s="66"/>
      <c r="AM86" s="66"/>
      <c r="AN86" s="66"/>
      <c r="AO86" s="66"/>
      <c r="AP86" s="66"/>
      <c r="AQ86" s="66"/>
      <c r="AR86" s="66"/>
      <c r="AS86" s="66"/>
      <c r="AT86" s="66"/>
      <c r="AU86" s="66"/>
      <c r="AV86" s="66"/>
      <c r="AW86" s="66"/>
      <c r="AX86" s="66"/>
      <c r="AY86" s="66"/>
      <c r="AZ86" s="66"/>
      <c r="BA86" s="66"/>
      <c r="BB86" s="66"/>
      <c r="BC86" s="66"/>
      <c r="BD86" s="71"/>
      <c r="BE86" s="71"/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/>
      <c r="CG86" s="71"/>
      <c r="CH86" s="71"/>
      <c r="CI86" s="71"/>
      <c r="CJ86" s="71"/>
      <c r="CK86" s="71"/>
      <c r="CL86" s="71"/>
      <c r="CM86" s="71"/>
      <c r="CN86" s="71"/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4">
        <f t="shared" si="221"/>
        <v>83</v>
      </c>
    </row>
    <row r="87" spans="1:157" ht="15.6" thickTop="1" thickBot="1" x14ac:dyDescent="0.35">
      <c r="A87" s="62">
        <f t="shared" si="179"/>
        <v>85</v>
      </c>
      <c r="B87" s="62"/>
      <c r="C87" s="62" t="str">
        <f t="shared" si="168"/>
        <v xml:space="preserve">85: </v>
      </c>
      <c r="D87" s="63">
        <f t="shared" si="180"/>
        <v>0</v>
      </c>
      <c r="E87" s="62"/>
      <c r="F87" s="62"/>
      <c r="G87" s="62"/>
      <c r="H87" s="62"/>
      <c r="I87" s="62"/>
      <c r="J87" s="62"/>
      <c r="K87" s="62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4">
        <f t="shared" si="190"/>
        <v>0</v>
      </c>
      <c r="Z87" s="66"/>
      <c r="AA87" s="66"/>
      <c r="AB87" s="66"/>
      <c r="AC87" s="66"/>
      <c r="AD87" s="66"/>
      <c r="AE87" s="66"/>
      <c r="AF87" s="66"/>
      <c r="AG87" s="66"/>
      <c r="AH87" s="66"/>
      <c r="AI87" s="66"/>
      <c r="AJ87" s="66"/>
      <c r="AK87" s="66"/>
      <c r="AL87" s="66"/>
      <c r="AM87" s="66"/>
      <c r="AN87" s="66"/>
      <c r="AO87" s="66"/>
      <c r="AP87" s="66"/>
      <c r="AQ87" s="66"/>
      <c r="AR87" s="66"/>
      <c r="AS87" s="66"/>
      <c r="AT87" s="66"/>
      <c r="AU87" s="66"/>
      <c r="AV87" s="66"/>
      <c r="AW87" s="66"/>
      <c r="AX87" s="66"/>
      <c r="AY87" s="66"/>
      <c r="AZ87" s="66"/>
      <c r="BA87" s="66"/>
      <c r="BB87" s="66"/>
      <c r="BC87" s="66"/>
      <c r="BD87" s="71"/>
      <c r="BE87" s="71"/>
      <c r="BF87" s="71"/>
      <c r="BG87" s="71"/>
      <c r="BH87" s="71"/>
      <c r="BI87" s="71"/>
      <c r="BJ87" s="71"/>
      <c r="BK87" s="71"/>
      <c r="BL87" s="71"/>
      <c r="BM87" s="71"/>
      <c r="BN87" s="71"/>
      <c r="BO87" s="71"/>
      <c r="BP87" s="71"/>
      <c r="BQ87" s="71"/>
      <c r="BR87" s="71"/>
      <c r="BS87" s="71"/>
      <c r="BT87" s="71"/>
      <c r="BU87" s="71"/>
      <c r="BV87" s="71"/>
      <c r="BW87" s="71"/>
      <c r="BX87" s="71"/>
      <c r="BY87" s="71"/>
      <c r="BZ87" s="71"/>
      <c r="CA87" s="71"/>
      <c r="CB87" s="71"/>
      <c r="CC87" s="71"/>
      <c r="CD87" s="71"/>
      <c r="CE87" s="71"/>
      <c r="CF87" s="71"/>
      <c r="CG87" s="71"/>
      <c r="CH87" s="71"/>
      <c r="CI87" s="71"/>
      <c r="CJ87" s="71"/>
      <c r="CK87" s="71"/>
      <c r="CL87" s="71"/>
      <c r="CM87" s="71"/>
      <c r="CN87" s="71"/>
      <c r="CO87" s="71"/>
      <c r="CP87" s="71"/>
      <c r="CQ87" s="71"/>
      <c r="CR87" s="71"/>
      <c r="CS87" s="71"/>
      <c r="CT87" s="71"/>
      <c r="CU87" s="71"/>
      <c r="CV87" s="71"/>
      <c r="CW87" s="71"/>
      <c r="CX87" s="71"/>
      <c r="CY87" s="71"/>
      <c r="CZ87" s="71"/>
      <c r="DA87" s="71"/>
      <c r="DB87" s="71"/>
      <c r="DC87" s="74">
        <f t="shared" si="169"/>
        <v>85</v>
      </c>
    </row>
    <row r="88" spans="1:157" ht="15.6" thickTop="1" thickBot="1" x14ac:dyDescent="0.35">
      <c r="A88" s="62">
        <f t="shared" si="179"/>
        <v>86</v>
      </c>
      <c r="B88" s="62"/>
      <c r="C88" s="62" t="str">
        <f t="shared" si="168"/>
        <v xml:space="preserve">86: </v>
      </c>
      <c r="D88" s="63">
        <f t="shared" si="180"/>
        <v>0</v>
      </c>
      <c r="E88" s="62"/>
      <c r="F88" s="62"/>
      <c r="G88" s="62"/>
      <c r="H88" s="62"/>
      <c r="I88" s="62"/>
      <c r="J88" s="62"/>
      <c r="K88" s="62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4">
        <f t="shared" si="190"/>
        <v>0</v>
      </c>
      <c r="Z88" s="66"/>
      <c r="AA88" s="66"/>
      <c r="AB88" s="66"/>
      <c r="AC88" s="66"/>
      <c r="AD88" s="66"/>
      <c r="AE88" s="66"/>
      <c r="AF88" s="66"/>
      <c r="AG88" s="66"/>
      <c r="AH88" s="66"/>
      <c r="AI88" s="66"/>
      <c r="AJ88" s="66"/>
      <c r="AK88" s="66"/>
      <c r="AL88" s="66"/>
      <c r="AM88" s="66"/>
      <c r="AN88" s="66"/>
      <c r="AO88" s="66"/>
      <c r="AP88" s="66"/>
      <c r="AQ88" s="66"/>
      <c r="AR88" s="66"/>
      <c r="AS88" s="66"/>
      <c r="AT88" s="66"/>
      <c r="AU88" s="66"/>
      <c r="AV88" s="66"/>
      <c r="AW88" s="66"/>
      <c r="AX88" s="66"/>
      <c r="AY88" s="66"/>
      <c r="AZ88" s="66"/>
      <c r="BA88" s="66"/>
      <c r="BB88" s="66"/>
      <c r="BC88" s="66"/>
      <c r="BD88" s="71"/>
      <c r="BE88" s="71"/>
      <c r="BF88" s="71"/>
      <c r="BG88" s="71"/>
      <c r="BH88" s="71"/>
      <c r="BI88" s="71"/>
      <c r="BJ88" s="71"/>
      <c r="BK88" s="71"/>
      <c r="BL88" s="71"/>
      <c r="BM88" s="71"/>
      <c r="BN88" s="71"/>
      <c r="BO88" s="71"/>
      <c r="BP88" s="71"/>
      <c r="BQ88" s="71"/>
      <c r="BR88" s="71"/>
      <c r="BS88" s="71"/>
      <c r="BT88" s="71"/>
      <c r="BU88" s="71"/>
      <c r="BV88" s="71"/>
      <c r="BW88" s="71"/>
      <c r="BX88" s="71"/>
      <c r="BY88" s="71"/>
      <c r="BZ88" s="71"/>
      <c r="CA88" s="71"/>
      <c r="CB88" s="71"/>
      <c r="CC88" s="71"/>
      <c r="CD88" s="71"/>
      <c r="CE88" s="71"/>
      <c r="CF88" s="71"/>
      <c r="CG88" s="71"/>
      <c r="CH88" s="71"/>
      <c r="CI88" s="71"/>
      <c r="CJ88" s="71"/>
      <c r="CK88" s="71"/>
      <c r="CL88" s="71"/>
      <c r="CM88" s="71"/>
      <c r="CN88" s="71"/>
      <c r="CO88" s="71"/>
      <c r="CP88" s="71"/>
      <c r="CQ88" s="71"/>
      <c r="CR88" s="71"/>
      <c r="CS88" s="71"/>
      <c r="CT88" s="71"/>
      <c r="CU88" s="71"/>
      <c r="CV88" s="71"/>
      <c r="CW88" s="71"/>
      <c r="CX88" s="71"/>
      <c r="CY88" s="71"/>
      <c r="CZ88" s="71"/>
      <c r="DA88" s="71"/>
      <c r="DB88" s="71"/>
      <c r="DC88" s="74">
        <f t="shared" si="169"/>
        <v>86</v>
      </c>
    </row>
    <row r="89" spans="1:157" ht="15.6" thickTop="1" thickBot="1" x14ac:dyDescent="0.35">
      <c r="A89" s="62">
        <f t="shared" si="179"/>
        <v>87</v>
      </c>
      <c r="B89" s="62"/>
      <c r="C89" s="62" t="str">
        <f t="shared" si="168"/>
        <v xml:space="preserve">87: </v>
      </c>
      <c r="D89" s="63">
        <f t="shared" si="180"/>
        <v>0</v>
      </c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4">
        <f t="shared" si="190"/>
        <v>0</v>
      </c>
      <c r="Z89" s="66"/>
      <c r="AA89" s="66"/>
      <c r="AB89" s="66"/>
      <c r="AC89" s="66"/>
      <c r="AD89" s="66"/>
      <c r="AE89" s="66"/>
      <c r="AF89" s="66"/>
      <c r="AG89" s="66"/>
      <c r="AH89" s="66"/>
      <c r="AI89" s="66"/>
      <c r="AJ89" s="66"/>
      <c r="AK89" s="66"/>
      <c r="AL89" s="66"/>
      <c r="AM89" s="66"/>
      <c r="AN89" s="66"/>
      <c r="AO89" s="66"/>
      <c r="AP89" s="66"/>
      <c r="AQ89" s="66"/>
      <c r="AR89" s="66"/>
      <c r="AS89" s="66"/>
      <c r="AT89" s="66"/>
      <c r="AU89" s="66"/>
      <c r="AV89" s="66"/>
      <c r="AW89" s="66"/>
      <c r="AX89" s="66"/>
      <c r="AY89" s="66"/>
      <c r="AZ89" s="66"/>
      <c r="BA89" s="66"/>
      <c r="BB89" s="66"/>
      <c r="BC89" s="66"/>
      <c r="BD89" s="71"/>
      <c r="BE89" s="71"/>
      <c r="BF89" s="71"/>
      <c r="BG89" s="71"/>
      <c r="BH89" s="71"/>
      <c r="BI89" s="71"/>
      <c r="BJ89" s="71"/>
      <c r="BK89" s="71"/>
      <c r="BL89" s="71"/>
      <c r="BM89" s="71"/>
      <c r="BN89" s="71"/>
      <c r="BO89" s="71"/>
      <c r="BP89" s="71"/>
      <c r="BQ89" s="71"/>
      <c r="BR89" s="71"/>
      <c r="BS89" s="71"/>
      <c r="BT89" s="71"/>
      <c r="BU89" s="71"/>
      <c r="BV89" s="71"/>
      <c r="BW89" s="71"/>
      <c r="BX89" s="71"/>
      <c r="BY89" s="71"/>
      <c r="BZ89" s="71"/>
      <c r="CA89" s="71"/>
      <c r="CB89" s="71"/>
      <c r="CC89" s="71"/>
      <c r="CD89" s="71"/>
      <c r="CE89" s="71"/>
      <c r="CF89" s="71"/>
      <c r="CG89" s="71"/>
      <c r="CH89" s="71"/>
      <c r="CI89" s="71"/>
      <c r="CJ89" s="71"/>
      <c r="CK89" s="71"/>
      <c r="CL89" s="71"/>
      <c r="CM89" s="71"/>
      <c r="CN89" s="71"/>
      <c r="CO89" s="71"/>
      <c r="CP89" s="71"/>
      <c r="CQ89" s="71"/>
      <c r="CR89" s="71"/>
      <c r="CS89" s="71"/>
      <c r="CT89" s="71"/>
      <c r="CU89" s="71"/>
      <c r="CV89" s="71"/>
      <c r="CW89" s="71"/>
      <c r="CX89" s="71"/>
      <c r="CY89" s="71"/>
      <c r="CZ89" s="71"/>
      <c r="DA89" s="71"/>
      <c r="DB89" s="71"/>
      <c r="DC89" s="74">
        <f t="shared" si="169"/>
        <v>87</v>
      </c>
    </row>
    <row r="90" spans="1:157" ht="15.6" thickTop="1" thickBot="1" x14ac:dyDescent="0.35">
      <c r="A90" s="62">
        <f t="shared" si="179"/>
        <v>88</v>
      </c>
      <c r="B90" s="62"/>
      <c r="C90" s="62" t="str">
        <f t="shared" si="168"/>
        <v xml:space="preserve">88: </v>
      </c>
      <c r="D90" s="63">
        <f t="shared" si="180"/>
        <v>0</v>
      </c>
      <c r="E90" s="62"/>
      <c r="F90" s="62"/>
      <c r="G90" s="62"/>
      <c r="H90" s="62"/>
      <c r="I90" s="62"/>
      <c r="J90" s="62"/>
      <c r="K90" s="62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4">
        <f t="shared" si="190"/>
        <v>0</v>
      </c>
      <c r="Z90" s="66"/>
      <c r="AA90" s="66"/>
      <c r="AB90" s="66"/>
      <c r="AC90" s="66"/>
      <c r="AD90" s="66"/>
      <c r="AE90" s="66"/>
      <c r="AF90" s="66"/>
      <c r="AG90" s="66"/>
      <c r="AH90" s="66"/>
      <c r="AI90" s="66"/>
      <c r="AJ90" s="66"/>
      <c r="AK90" s="66"/>
      <c r="AL90" s="66"/>
      <c r="AM90" s="66"/>
      <c r="AN90" s="66"/>
      <c r="AO90" s="66"/>
      <c r="AP90" s="66"/>
      <c r="AQ90" s="66"/>
      <c r="AR90" s="66"/>
      <c r="AS90" s="66"/>
      <c r="AT90" s="66"/>
      <c r="AU90" s="66"/>
      <c r="AV90" s="66"/>
      <c r="AW90" s="66"/>
      <c r="AX90" s="66"/>
      <c r="AY90" s="66"/>
      <c r="AZ90" s="66"/>
      <c r="BA90" s="66"/>
      <c r="BB90" s="66"/>
      <c r="BC90" s="66"/>
      <c r="BD90" s="71"/>
      <c r="BE90" s="71"/>
      <c r="BF90" s="71"/>
      <c r="BG90" s="71"/>
      <c r="BH90" s="71"/>
      <c r="BI90" s="71"/>
      <c r="BJ90" s="71"/>
      <c r="BK90" s="71"/>
      <c r="BL90" s="71"/>
      <c r="BM90" s="71"/>
      <c r="BN90" s="71"/>
      <c r="BO90" s="71"/>
      <c r="BP90" s="71"/>
      <c r="BQ90" s="71"/>
      <c r="BR90" s="71"/>
      <c r="BS90" s="71"/>
      <c r="BT90" s="71"/>
      <c r="BU90" s="71"/>
      <c r="BV90" s="71"/>
      <c r="BW90" s="71"/>
      <c r="BX90" s="71"/>
      <c r="BY90" s="71"/>
      <c r="BZ90" s="71"/>
      <c r="CA90" s="71"/>
      <c r="CB90" s="71"/>
      <c r="CC90" s="71"/>
      <c r="CD90" s="71"/>
      <c r="CE90" s="71"/>
      <c r="CF90" s="71"/>
      <c r="CG90" s="71"/>
      <c r="CH90" s="71"/>
      <c r="CI90" s="71"/>
      <c r="CJ90" s="71"/>
      <c r="CK90" s="71"/>
      <c r="CL90" s="71"/>
      <c r="CM90" s="71"/>
      <c r="CN90" s="71"/>
      <c r="CO90" s="71"/>
      <c r="CP90" s="71"/>
      <c r="CQ90" s="71"/>
      <c r="CR90" s="71"/>
      <c r="CS90" s="71"/>
      <c r="CT90" s="71"/>
      <c r="CU90" s="71"/>
      <c r="CV90" s="71"/>
      <c r="CW90" s="71"/>
      <c r="CX90" s="71"/>
      <c r="CY90" s="71"/>
      <c r="CZ90" s="71"/>
      <c r="DA90" s="71"/>
      <c r="DB90" s="71"/>
      <c r="DC90" s="74">
        <f t="shared" si="169"/>
        <v>88</v>
      </c>
    </row>
    <row r="91" spans="1:157" ht="15.6" thickTop="1" thickBot="1" x14ac:dyDescent="0.35">
      <c r="A91" s="62">
        <f t="shared" si="179"/>
        <v>89</v>
      </c>
      <c r="B91" s="62"/>
      <c r="C91" s="62" t="str">
        <f t="shared" si="168"/>
        <v xml:space="preserve">89: </v>
      </c>
      <c r="D91" s="63">
        <f t="shared" si="180"/>
        <v>0</v>
      </c>
      <c r="E91" s="62"/>
      <c r="F91" s="62"/>
      <c r="G91" s="62"/>
      <c r="H91" s="62"/>
      <c r="I91" s="62"/>
      <c r="J91" s="62"/>
      <c r="K91" s="62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4">
        <f t="shared" si="190"/>
        <v>0</v>
      </c>
      <c r="Z91" s="66"/>
      <c r="AA91" s="66"/>
      <c r="AB91" s="66"/>
      <c r="AC91" s="66"/>
      <c r="AD91" s="66"/>
      <c r="AE91" s="66"/>
      <c r="AF91" s="66"/>
      <c r="AG91" s="66"/>
      <c r="AH91" s="66"/>
      <c r="AI91" s="66"/>
      <c r="AJ91" s="66"/>
      <c r="AK91" s="66"/>
      <c r="AL91" s="66"/>
      <c r="AM91" s="66"/>
      <c r="AN91" s="66"/>
      <c r="AO91" s="66"/>
      <c r="AP91" s="66"/>
      <c r="AQ91" s="66"/>
      <c r="AR91" s="66"/>
      <c r="AS91" s="66"/>
      <c r="AT91" s="66"/>
      <c r="AU91" s="66"/>
      <c r="AV91" s="66"/>
      <c r="AW91" s="66"/>
      <c r="AX91" s="66"/>
      <c r="AY91" s="66"/>
      <c r="AZ91" s="66"/>
      <c r="BA91" s="66"/>
      <c r="BB91" s="66"/>
      <c r="BC91" s="66"/>
      <c r="BD91" s="71"/>
      <c r="BE91" s="71"/>
      <c r="BF91" s="71"/>
      <c r="BG91" s="71"/>
      <c r="BH91" s="71"/>
      <c r="BI91" s="71"/>
      <c r="BJ91" s="71"/>
      <c r="BK91" s="71"/>
      <c r="BL91" s="71"/>
      <c r="BM91" s="71"/>
      <c r="BN91" s="71"/>
      <c r="BO91" s="71"/>
      <c r="BP91" s="71"/>
      <c r="BQ91" s="71"/>
      <c r="BR91" s="71"/>
      <c r="BS91" s="71"/>
      <c r="BT91" s="71"/>
      <c r="BU91" s="71"/>
      <c r="BV91" s="71"/>
      <c r="BW91" s="71"/>
      <c r="BX91" s="71"/>
      <c r="BY91" s="71"/>
      <c r="BZ91" s="71"/>
      <c r="CA91" s="71"/>
      <c r="CB91" s="71"/>
      <c r="CC91" s="71"/>
      <c r="CD91" s="71"/>
      <c r="CE91" s="71"/>
      <c r="CF91" s="71"/>
      <c r="CG91" s="71"/>
      <c r="CH91" s="71"/>
      <c r="CI91" s="71"/>
      <c r="CJ91" s="71"/>
      <c r="CK91" s="71"/>
      <c r="CL91" s="71"/>
      <c r="CM91" s="71"/>
      <c r="CN91" s="71"/>
      <c r="CO91" s="71"/>
      <c r="CP91" s="71"/>
      <c r="CQ91" s="71"/>
      <c r="CR91" s="71"/>
      <c r="CS91" s="71"/>
      <c r="CT91" s="71"/>
      <c r="CU91" s="71"/>
      <c r="CV91" s="71"/>
      <c r="CW91" s="71"/>
      <c r="CX91" s="71"/>
      <c r="CY91" s="71"/>
      <c r="CZ91" s="71"/>
      <c r="DA91" s="71"/>
      <c r="DB91" s="71"/>
      <c r="DC91" s="74">
        <f t="shared" si="169"/>
        <v>89</v>
      </c>
    </row>
    <row r="92" spans="1:157" ht="15.6" thickTop="1" thickBot="1" x14ac:dyDescent="0.35">
      <c r="A92" s="62">
        <f t="shared" si="179"/>
        <v>90</v>
      </c>
      <c r="B92" s="62"/>
      <c r="C92" s="62" t="str">
        <f t="shared" si="168"/>
        <v xml:space="preserve">90: </v>
      </c>
      <c r="D92" s="63">
        <f t="shared" si="180"/>
        <v>0</v>
      </c>
      <c r="E92" s="62"/>
      <c r="F92" s="62"/>
      <c r="G92" s="62"/>
      <c r="H92" s="62"/>
      <c r="I92" s="62"/>
      <c r="J92" s="62"/>
      <c r="K92" s="62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4">
        <f t="shared" si="190"/>
        <v>0</v>
      </c>
      <c r="Z92" s="66"/>
      <c r="AA92" s="66"/>
      <c r="AB92" s="66"/>
      <c r="AC92" s="66"/>
      <c r="AD92" s="66"/>
      <c r="AE92" s="66"/>
      <c r="AF92" s="66"/>
      <c r="AG92" s="66"/>
      <c r="AH92" s="66"/>
      <c r="AI92" s="66"/>
      <c r="AJ92" s="66"/>
      <c r="AK92" s="66"/>
      <c r="AL92" s="66"/>
      <c r="AM92" s="66"/>
      <c r="AN92" s="66"/>
      <c r="AO92" s="66"/>
      <c r="AP92" s="66"/>
      <c r="AQ92" s="66"/>
      <c r="AR92" s="66"/>
      <c r="AS92" s="66"/>
      <c r="AT92" s="66"/>
      <c r="AU92" s="66"/>
      <c r="AV92" s="66"/>
      <c r="AW92" s="66"/>
      <c r="AX92" s="66"/>
      <c r="AY92" s="66"/>
      <c r="AZ92" s="66"/>
      <c r="BA92" s="66"/>
      <c r="BB92" s="66"/>
      <c r="BC92" s="66"/>
      <c r="BD92" s="71"/>
      <c r="BE92" s="71"/>
      <c r="BF92" s="71"/>
      <c r="BG92" s="71"/>
      <c r="BH92" s="71"/>
      <c r="BI92" s="71"/>
      <c r="BJ92" s="71"/>
      <c r="BK92" s="71"/>
      <c r="BL92" s="71"/>
      <c r="BM92" s="71"/>
      <c r="BN92" s="71"/>
      <c r="BO92" s="71"/>
      <c r="BP92" s="71"/>
      <c r="BQ92" s="71"/>
      <c r="BR92" s="71"/>
      <c r="BS92" s="71"/>
      <c r="BT92" s="71"/>
      <c r="BU92" s="71"/>
      <c r="BV92" s="71"/>
      <c r="BW92" s="71"/>
      <c r="BX92" s="71"/>
      <c r="BY92" s="71"/>
      <c r="BZ92" s="71"/>
      <c r="CA92" s="71"/>
      <c r="CB92" s="71"/>
      <c r="CC92" s="71"/>
      <c r="CD92" s="71"/>
      <c r="CE92" s="71"/>
      <c r="CF92" s="71"/>
      <c r="CG92" s="71"/>
      <c r="CH92" s="71"/>
      <c r="CI92" s="71"/>
      <c r="CJ92" s="71"/>
      <c r="CK92" s="71"/>
      <c r="CL92" s="71"/>
      <c r="CM92" s="71"/>
      <c r="CN92" s="71"/>
      <c r="CO92" s="71"/>
      <c r="CP92" s="71"/>
      <c r="CQ92" s="71"/>
      <c r="CR92" s="71"/>
      <c r="CS92" s="71"/>
      <c r="CT92" s="71"/>
      <c r="CU92" s="71"/>
      <c r="CV92" s="71"/>
      <c r="CW92" s="71"/>
      <c r="CX92" s="71"/>
      <c r="CY92" s="71"/>
      <c r="CZ92" s="71"/>
      <c r="DA92" s="71"/>
      <c r="DB92" s="71"/>
      <c r="DC92" s="74">
        <f t="shared" si="169"/>
        <v>90</v>
      </c>
    </row>
    <row r="93" spans="1:157" ht="15.6" thickTop="1" thickBot="1" x14ac:dyDescent="0.35">
      <c r="A93" s="62">
        <f t="shared" si="179"/>
        <v>91</v>
      </c>
      <c r="B93" s="62"/>
      <c r="C93" s="62" t="str">
        <f t="shared" si="168"/>
        <v xml:space="preserve">91: </v>
      </c>
      <c r="D93" s="63">
        <f t="shared" si="180"/>
        <v>0</v>
      </c>
      <c r="E93" s="62"/>
      <c r="F93" s="62"/>
      <c r="G93" s="62"/>
      <c r="H93" s="62"/>
      <c r="I93" s="62"/>
      <c r="J93" s="62"/>
      <c r="K93" s="62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4">
        <f t="shared" si="190"/>
        <v>0</v>
      </c>
      <c r="Z93" s="66"/>
      <c r="AA93" s="66"/>
      <c r="AB93" s="66"/>
      <c r="AC93" s="66"/>
      <c r="AD93" s="66"/>
      <c r="AE93" s="66"/>
      <c r="AF93" s="66"/>
      <c r="AG93" s="66"/>
      <c r="AH93" s="66"/>
      <c r="AI93" s="66"/>
      <c r="AJ93" s="66"/>
      <c r="AK93" s="66"/>
      <c r="AL93" s="66"/>
      <c r="AM93" s="66"/>
      <c r="AN93" s="66"/>
      <c r="AO93" s="66"/>
      <c r="AP93" s="66"/>
      <c r="AQ93" s="66"/>
      <c r="AR93" s="66"/>
      <c r="AS93" s="66"/>
      <c r="AT93" s="66"/>
      <c r="AU93" s="66"/>
      <c r="AV93" s="66"/>
      <c r="AW93" s="66"/>
      <c r="AX93" s="66"/>
      <c r="AY93" s="66"/>
      <c r="AZ93" s="66"/>
      <c r="BA93" s="66"/>
      <c r="BB93" s="66"/>
      <c r="BC93" s="66"/>
      <c r="BD93" s="71"/>
      <c r="BE93" s="71"/>
      <c r="BF93" s="71"/>
      <c r="BG93" s="71"/>
      <c r="BH93" s="71"/>
      <c r="BI93" s="71"/>
      <c r="BJ93" s="71"/>
      <c r="BK93" s="71"/>
      <c r="BL93" s="71"/>
      <c r="BM93" s="71"/>
      <c r="BN93" s="71"/>
      <c r="BO93" s="71"/>
      <c r="BP93" s="71"/>
      <c r="BQ93" s="71"/>
      <c r="BR93" s="71"/>
      <c r="BS93" s="71"/>
      <c r="BT93" s="71"/>
      <c r="BU93" s="71"/>
      <c r="BV93" s="71"/>
      <c r="BW93" s="71"/>
      <c r="BX93" s="71"/>
      <c r="BY93" s="71"/>
      <c r="BZ93" s="71"/>
      <c r="CA93" s="71"/>
      <c r="CB93" s="71"/>
      <c r="CC93" s="71"/>
      <c r="CD93" s="71"/>
      <c r="CE93" s="71"/>
      <c r="CF93" s="71"/>
      <c r="CG93" s="71"/>
      <c r="CH93" s="71"/>
      <c r="CI93" s="71"/>
      <c r="CJ93" s="71"/>
      <c r="CK93" s="71"/>
      <c r="CL93" s="71"/>
      <c r="CM93" s="71"/>
      <c r="CN93" s="71"/>
      <c r="CO93" s="71"/>
      <c r="CP93" s="71"/>
      <c r="CQ93" s="71"/>
      <c r="CR93" s="71"/>
      <c r="CS93" s="71"/>
      <c r="CT93" s="71"/>
      <c r="CU93" s="71"/>
      <c r="CV93" s="71"/>
      <c r="CW93" s="71"/>
      <c r="CX93" s="71"/>
      <c r="CY93" s="71"/>
      <c r="CZ93" s="71"/>
      <c r="DA93" s="71"/>
      <c r="DB93" s="71"/>
      <c r="DC93" s="74">
        <f t="shared" si="169"/>
        <v>91</v>
      </c>
    </row>
    <row r="94" spans="1:157" ht="15.6" thickTop="1" thickBot="1" x14ac:dyDescent="0.35">
      <c r="A94" s="62">
        <f t="shared" si="179"/>
        <v>92</v>
      </c>
      <c r="B94" s="62"/>
      <c r="C94" s="62" t="str">
        <f t="shared" si="168"/>
        <v xml:space="preserve">92: </v>
      </c>
      <c r="D94" s="63">
        <f t="shared" si="180"/>
        <v>0</v>
      </c>
      <c r="E94" s="62"/>
      <c r="F94" s="62"/>
      <c r="G94" s="62"/>
      <c r="H94" s="62"/>
      <c r="I94" s="62"/>
      <c r="J94" s="62"/>
      <c r="K94" s="62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4">
        <f t="shared" si="190"/>
        <v>0</v>
      </c>
      <c r="Z94" s="66"/>
      <c r="AA94" s="66"/>
      <c r="AB94" s="66"/>
      <c r="AC94" s="66"/>
      <c r="AD94" s="66"/>
      <c r="AE94" s="66"/>
      <c r="AF94" s="66"/>
      <c r="AG94" s="66"/>
      <c r="AH94" s="66"/>
      <c r="AI94" s="66"/>
      <c r="AJ94" s="66"/>
      <c r="AK94" s="66"/>
      <c r="AL94" s="66"/>
      <c r="AM94" s="66"/>
      <c r="AN94" s="66"/>
      <c r="AO94" s="66"/>
      <c r="AP94" s="66"/>
      <c r="AQ94" s="66"/>
      <c r="AR94" s="66"/>
      <c r="AS94" s="66"/>
      <c r="AT94" s="66"/>
      <c r="AU94" s="66"/>
      <c r="AV94" s="66"/>
      <c r="AW94" s="66"/>
      <c r="AX94" s="66"/>
      <c r="AY94" s="66"/>
      <c r="AZ94" s="66"/>
      <c r="BA94" s="66"/>
      <c r="BB94" s="66"/>
      <c r="BC94" s="66"/>
      <c r="BD94" s="71"/>
      <c r="BE94" s="71"/>
      <c r="BF94" s="71"/>
      <c r="BG94" s="71"/>
      <c r="BH94" s="71"/>
      <c r="BI94" s="71"/>
      <c r="BJ94" s="71"/>
      <c r="BK94" s="71"/>
      <c r="BL94" s="71"/>
      <c r="BM94" s="71"/>
      <c r="BN94" s="71"/>
      <c r="BO94" s="71"/>
      <c r="BP94" s="71"/>
      <c r="BQ94" s="71"/>
      <c r="BR94" s="71"/>
      <c r="BS94" s="71"/>
      <c r="BT94" s="71"/>
      <c r="BU94" s="71"/>
      <c r="BV94" s="71"/>
      <c r="BW94" s="71"/>
      <c r="BX94" s="71"/>
      <c r="BY94" s="71"/>
      <c r="BZ94" s="71"/>
      <c r="CA94" s="71"/>
      <c r="CB94" s="71"/>
      <c r="CC94" s="71"/>
      <c r="CD94" s="71"/>
      <c r="CE94" s="71"/>
      <c r="CF94" s="71"/>
      <c r="CG94" s="71"/>
      <c r="CH94" s="71"/>
      <c r="CI94" s="71"/>
      <c r="CJ94" s="71"/>
      <c r="CK94" s="71"/>
      <c r="CL94" s="71"/>
      <c r="CM94" s="71"/>
      <c r="CN94" s="71"/>
      <c r="CO94" s="71"/>
      <c r="CP94" s="71"/>
      <c r="CQ94" s="71"/>
      <c r="CR94" s="71"/>
      <c r="CS94" s="71"/>
      <c r="CT94" s="71"/>
      <c r="CU94" s="71"/>
      <c r="CV94" s="71"/>
      <c r="CW94" s="71"/>
      <c r="CX94" s="71"/>
      <c r="CY94" s="71"/>
      <c r="CZ94" s="71"/>
      <c r="DA94" s="71"/>
      <c r="DB94" s="71"/>
      <c r="DC94" s="74">
        <f t="shared" si="169"/>
        <v>92</v>
      </c>
    </row>
    <row r="95" spans="1:157" ht="15.6" thickTop="1" thickBot="1" x14ac:dyDescent="0.35">
      <c r="A95" s="62">
        <f t="shared" si="179"/>
        <v>93</v>
      </c>
      <c r="B95" s="62"/>
      <c r="C95" s="62" t="str">
        <f t="shared" si="168"/>
        <v xml:space="preserve">93: </v>
      </c>
      <c r="D95" s="63">
        <f t="shared" si="180"/>
        <v>0</v>
      </c>
      <c r="E95" s="62"/>
      <c r="F95" s="62"/>
      <c r="G95" s="62"/>
      <c r="H95" s="62"/>
      <c r="I95" s="62"/>
      <c r="J95" s="62"/>
      <c r="K95" s="62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4">
        <f t="shared" si="190"/>
        <v>0</v>
      </c>
      <c r="Z95" s="66"/>
      <c r="AA95" s="66"/>
      <c r="AB95" s="66"/>
      <c r="AC95" s="66"/>
      <c r="AD95" s="66"/>
      <c r="AE95" s="66"/>
      <c r="AF95" s="66"/>
      <c r="AG95" s="66"/>
      <c r="AH95" s="66"/>
      <c r="AI95" s="66"/>
      <c r="AJ95" s="66"/>
      <c r="AK95" s="66"/>
      <c r="AL95" s="66"/>
      <c r="AM95" s="66"/>
      <c r="AN95" s="66"/>
      <c r="AO95" s="66"/>
      <c r="AP95" s="66"/>
      <c r="AQ95" s="66"/>
      <c r="AR95" s="66"/>
      <c r="AS95" s="66"/>
      <c r="AT95" s="66"/>
      <c r="AU95" s="66"/>
      <c r="AV95" s="66"/>
      <c r="AW95" s="66"/>
      <c r="AX95" s="66"/>
      <c r="AY95" s="66"/>
      <c r="AZ95" s="66"/>
      <c r="BA95" s="66"/>
      <c r="BB95" s="66"/>
      <c r="BC95" s="66"/>
      <c r="BD95" s="71"/>
      <c r="BE95" s="71"/>
      <c r="BF95" s="71"/>
      <c r="BG95" s="71"/>
      <c r="BH95" s="71"/>
      <c r="BI95" s="71"/>
      <c r="BJ95" s="71"/>
      <c r="BK95" s="71"/>
      <c r="BL95" s="71"/>
      <c r="BM95" s="71"/>
      <c r="BN95" s="71"/>
      <c r="BO95" s="71"/>
      <c r="BP95" s="71"/>
      <c r="BQ95" s="71"/>
      <c r="BR95" s="71"/>
      <c r="BS95" s="71"/>
      <c r="BT95" s="71"/>
      <c r="BU95" s="71"/>
      <c r="BV95" s="71"/>
      <c r="BW95" s="71"/>
      <c r="BX95" s="71"/>
      <c r="BY95" s="71"/>
      <c r="BZ95" s="71"/>
      <c r="CA95" s="71"/>
      <c r="CB95" s="71"/>
      <c r="CC95" s="71"/>
      <c r="CD95" s="71"/>
      <c r="CE95" s="71"/>
      <c r="CF95" s="71"/>
      <c r="CG95" s="71"/>
      <c r="CH95" s="71"/>
      <c r="CI95" s="71"/>
      <c r="CJ95" s="71"/>
      <c r="CK95" s="71"/>
      <c r="CL95" s="71"/>
      <c r="CM95" s="71"/>
      <c r="CN95" s="71"/>
      <c r="CO95" s="71"/>
      <c r="CP95" s="71"/>
      <c r="CQ95" s="71"/>
      <c r="CR95" s="71"/>
      <c r="CS95" s="71"/>
      <c r="CT95" s="71"/>
      <c r="CU95" s="71"/>
      <c r="CV95" s="71"/>
      <c r="CW95" s="71"/>
      <c r="CX95" s="71"/>
      <c r="CY95" s="71"/>
      <c r="CZ95" s="71"/>
      <c r="DA95" s="71"/>
      <c r="DB95" s="71"/>
      <c r="DC95" s="74">
        <f t="shared" si="169"/>
        <v>93</v>
      </c>
    </row>
    <row r="96" spans="1:157" ht="15.6" thickTop="1" thickBot="1" x14ac:dyDescent="0.35">
      <c r="A96" s="62">
        <f t="shared" si="179"/>
        <v>94</v>
      </c>
      <c r="B96" s="62"/>
      <c r="C96" s="62" t="str">
        <f t="shared" si="168"/>
        <v xml:space="preserve">94: </v>
      </c>
      <c r="D96" s="63">
        <f t="shared" si="180"/>
        <v>0</v>
      </c>
      <c r="E96" s="62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4">
        <f t="shared" si="190"/>
        <v>0</v>
      </c>
      <c r="Z96" s="66"/>
      <c r="AA96" s="66"/>
      <c r="AB96" s="66"/>
      <c r="AC96" s="66"/>
      <c r="AD96" s="66"/>
      <c r="AE96" s="66"/>
      <c r="AF96" s="66"/>
      <c r="AG96" s="66"/>
      <c r="AH96" s="66"/>
      <c r="AI96" s="66"/>
      <c r="AJ96" s="66"/>
      <c r="AK96" s="66"/>
      <c r="AL96" s="66"/>
      <c r="AM96" s="66"/>
      <c r="AN96" s="66"/>
      <c r="AO96" s="66"/>
      <c r="AP96" s="66"/>
      <c r="AQ96" s="66"/>
      <c r="AR96" s="66"/>
      <c r="AS96" s="66"/>
      <c r="AT96" s="66"/>
      <c r="AU96" s="66"/>
      <c r="AV96" s="66"/>
      <c r="AW96" s="66"/>
      <c r="AX96" s="66"/>
      <c r="AY96" s="66"/>
      <c r="AZ96" s="66"/>
      <c r="BA96" s="66"/>
      <c r="BB96" s="66"/>
      <c r="BC96" s="66"/>
      <c r="BD96" s="71"/>
      <c r="BE96" s="71"/>
      <c r="BF96" s="71"/>
      <c r="BG96" s="71"/>
      <c r="BH96" s="71"/>
      <c r="BI96" s="71"/>
      <c r="BJ96" s="71"/>
      <c r="BK96" s="71"/>
      <c r="BL96" s="71"/>
      <c r="BM96" s="71"/>
      <c r="BN96" s="71"/>
      <c r="BO96" s="71"/>
      <c r="BP96" s="71"/>
      <c r="BQ96" s="71"/>
      <c r="BR96" s="71"/>
      <c r="BS96" s="71"/>
      <c r="BT96" s="71"/>
      <c r="BU96" s="71"/>
      <c r="BV96" s="71"/>
      <c r="BW96" s="71"/>
      <c r="BX96" s="71"/>
      <c r="BY96" s="71"/>
      <c r="BZ96" s="71"/>
      <c r="CA96" s="71"/>
      <c r="CB96" s="71"/>
      <c r="CC96" s="71"/>
      <c r="CD96" s="71"/>
      <c r="CE96" s="71"/>
      <c r="CF96" s="71"/>
      <c r="CG96" s="71"/>
      <c r="CH96" s="71"/>
      <c r="CI96" s="71"/>
      <c r="CJ96" s="71"/>
      <c r="CK96" s="71"/>
      <c r="CL96" s="71"/>
      <c r="CM96" s="71"/>
      <c r="CN96" s="71"/>
      <c r="CO96" s="71"/>
      <c r="CP96" s="71"/>
      <c r="CQ96" s="71"/>
      <c r="CR96" s="71"/>
      <c r="CS96" s="71"/>
      <c r="CT96" s="71"/>
      <c r="CU96" s="71"/>
      <c r="CV96" s="71"/>
      <c r="CW96" s="71"/>
      <c r="CX96" s="71"/>
      <c r="CY96" s="71"/>
      <c r="CZ96" s="71"/>
      <c r="DA96" s="71"/>
      <c r="DB96" s="71"/>
      <c r="DC96" s="74">
        <f t="shared" si="169"/>
        <v>94</v>
      </c>
    </row>
    <row r="97" spans="1:107" ht="15.6" thickTop="1" thickBot="1" x14ac:dyDescent="0.35">
      <c r="A97" s="62">
        <f t="shared" si="179"/>
        <v>95</v>
      </c>
      <c r="B97" s="62"/>
      <c r="C97" s="62" t="str">
        <f t="shared" si="168"/>
        <v xml:space="preserve">95: </v>
      </c>
      <c r="D97" s="63">
        <f t="shared" si="180"/>
        <v>0</v>
      </c>
      <c r="E97" s="62"/>
      <c r="F97" s="62"/>
      <c r="G97" s="62"/>
      <c r="H97" s="62"/>
      <c r="I97" s="62"/>
      <c r="J97" s="62"/>
      <c r="K97" s="62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4">
        <f t="shared" si="190"/>
        <v>0</v>
      </c>
      <c r="Z97" s="66"/>
      <c r="AA97" s="66"/>
      <c r="AB97" s="66"/>
      <c r="AC97" s="66"/>
      <c r="AD97" s="66"/>
      <c r="AE97" s="66"/>
      <c r="AF97" s="66"/>
      <c r="AG97" s="66"/>
      <c r="AH97" s="66"/>
      <c r="AI97" s="66"/>
      <c r="AJ97" s="66"/>
      <c r="AK97" s="66"/>
      <c r="AL97" s="66"/>
      <c r="AM97" s="66"/>
      <c r="AN97" s="66"/>
      <c r="AO97" s="66"/>
      <c r="AP97" s="66"/>
      <c r="AQ97" s="66"/>
      <c r="AR97" s="66"/>
      <c r="AS97" s="66"/>
      <c r="AT97" s="66"/>
      <c r="AU97" s="66"/>
      <c r="AV97" s="66"/>
      <c r="AW97" s="66"/>
      <c r="AX97" s="66"/>
      <c r="AY97" s="66"/>
      <c r="AZ97" s="66"/>
      <c r="BA97" s="66"/>
      <c r="BB97" s="66"/>
      <c r="BC97" s="66"/>
      <c r="BD97" s="71"/>
      <c r="BE97" s="71"/>
      <c r="BF97" s="71"/>
      <c r="BG97" s="71"/>
      <c r="BH97" s="71"/>
      <c r="BI97" s="71"/>
      <c r="BJ97" s="71"/>
      <c r="BK97" s="71"/>
      <c r="BL97" s="71"/>
      <c r="BM97" s="71"/>
      <c r="BN97" s="71"/>
      <c r="BO97" s="71"/>
      <c r="BP97" s="71"/>
      <c r="BQ97" s="71"/>
      <c r="BR97" s="71"/>
      <c r="BS97" s="71"/>
      <c r="BT97" s="71"/>
      <c r="BU97" s="71"/>
      <c r="BV97" s="71"/>
      <c r="BW97" s="71"/>
      <c r="BX97" s="71"/>
      <c r="BY97" s="71"/>
      <c r="BZ97" s="71"/>
      <c r="CA97" s="71"/>
      <c r="CB97" s="71"/>
      <c r="CC97" s="71"/>
      <c r="CD97" s="71"/>
      <c r="CE97" s="71"/>
      <c r="CF97" s="71"/>
      <c r="CG97" s="71"/>
      <c r="CH97" s="71"/>
      <c r="CI97" s="71"/>
      <c r="CJ97" s="71"/>
      <c r="CK97" s="71"/>
      <c r="CL97" s="71"/>
      <c r="CM97" s="71"/>
      <c r="CN97" s="71"/>
      <c r="CO97" s="71"/>
      <c r="CP97" s="71"/>
      <c r="CQ97" s="71"/>
      <c r="CR97" s="71"/>
      <c r="CS97" s="71"/>
      <c r="CT97" s="71"/>
      <c r="CU97" s="71"/>
      <c r="CV97" s="71"/>
      <c r="CW97" s="71"/>
      <c r="CX97" s="71"/>
      <c r="CY97" s="71"/>
      <c r="CZ97" s="71"/>
      <c r="DA97" s="71"/>
      <c r="DB97" s="71"/>
      <c r="DC97" s="74">
        <f t="shared" si="169"/>
        <v>95</v>
      </c>
    </row>
    <row r="98" spans="1:107" ht="15.6" thickTop="1" thickBot="1" x14ac:dyDescent="0.35">
      <c r="A98" s="62">
        <f t="shared" si="179"/>
        <v>96</v>
      </c>
      <c r="B98" s="62"/>
      <c r="C98" s="62" t="str">
        <f t="shared" si="168"/>
        <v xml:space="preserve">96: </v>
      </c>
      <c r="D98" s="63">
        <f t="shared" si="180"/>
        <v>0</v>
      </c>
      <c r="E98" s="62"/>
      <c r="F98" s="62"/>
      <c r="G98" s="62"/>
      <c r="H98" s="62"/>
      <c r="I98" s="62"/>
      <c r="J98" s="62"/>
      <c r="K98" s="62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4">
        <f t="shared" si="190"/>
        <v>0</v>
      </c>
      <c r="Z98" s="66"/>
      <c r="AA98" s="66"/>
      <c r="AB98" s="66"/>
      <c r="AC98" s="66"/>
      <c r="AD98" s="66"/>
      <c r="AE98" s="66"/>
      <c r="AF98" s="66"/>
      <c r="AG98" s="66"/>
      <c r="AH98" s="66"/>
      <c r="AI98" s="66"/>
      <c r="AJ98" s="66"/>
      <c r="AK98" s="66"/>
      <c r="AL98" s="66"/>
      <c r="AM98" s="66"/>
      <c r="AN98" s="66"/>
      <c r="AO98" s="66"/>
      <c r="AP98" s="66"/>
      <c r="AQ98" s="66"/>
      <c r="AR98" s="66"/>
      <c r="AS98" s="66"/>
      <c r="AT98" s="66"/>
      <c r="AU98" s="66"/>
      <c r="AV98" s="66"/>
      <c r="AW98" s="66"/>
      <c r="AX98" s="66"/>
      <c r="AY98" s="66"/>
      <c r="AZ98" s="66"/>
      <c r="BA98" s="66"/>
      <c r="BB98" s="66"/>
      <c r="BC98" s="66"/>
      <c r="BD98" s="71"/>
      <c r="BE98" s="71"/>
      <c r="BF98" s="71"/>
      <c r="BG98" s="71"/>
      <c r="BH98" s="71"/>
      <c r="BI98" s="71"/>
      <c r="BJ98" s="71"/>
      <c r="BK98" s="71"/>
      <c r="BL98" s="71"/>
      <c r="BM98" s="71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4">
        <f t="shared" si="169"/>
        <v>96</v>
      </c>
    </row>
    <row r="99" spans="1:107" ht="15.6" thickTop="1" thickBot="1" x14ac:dyDescent="0.35">
      <c r="A99" s="62">
        <f t="shared" si="179"/>
        <v>97</v>
      </c>
      <c r="B99" s="62"/>
      <c r="C99" s="62" t="str">
        <f t="shared" si="168"/>
        <v xml:space="preserve">97: </v>
      </c>
      <c r="D99" s="63">
        <f t="shared" si="180"/>
        <v>0</v>
      </c>
      <c r="E99" s="62"/>
      <c r="F99" s="62"/>
      <c r="G99" s="62"/>
      <c r="H99" s="62"/>
      <c r="I99" s="62"/>
      <c r="J99" s="62"/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4">
        <f t="shared" si="190"/>
        <v>0</v>
      </c>
      <c r="Z99" s="66"/>
      <c r="AA99" s="66"/>
      <c r="AB99" s="66"/>
      <c r="AC99" s="66"/>
      <c r="AD99" s="66"/>
      <c r="AE99" s="66"/>
      <c r="AF99" s="66"/>
      <c r="AG99" s="66"/>
      <c r="AH99" s="66"/>
      <c r="AI99" s="66"/>
      <c r="AJ99" s="66"/>
      <c r="AK99" s="66"/>
      <c r="AL99" s="66"/>
      <c r="AM99" s="66"/>
      <c r="AN99" s="66"/>
      <c r="AO99" s="66"/>
      <c r="AP99" s="66"/>
      <c r="AQ99" s="66"/>
      <c r="AR99" s="66"/>
      <c r="AS99" s="66"/>
      <c r="AT99" s="66"/>
      <c r="AU99" s="66"/>
      <c r="AV99" s="66"/>
      <c r="AW99" s="66"/>
      <c r="AX99" s="66"/>
      <c r="AY99" s="66"/>
      <c r="AZ99" s="66"/>
      <c r="BA99" s="66"/>
      <c r="BB99" s="66"/>
      <c r="BC99" s="66"/>
      <c r="BD99" s="71"/>
      <c r="BE99" s="71"/>
      <c r="BF99" s="71"/>
      <c r="BG99" s="71"/>
      <c r="BH99" s="71"/>
      <c r="BI99" s="71"/>
      <c r="BJ99" s="71"/>
      <c r="BK99" s="71"/>
      <c r="BL99" s="71"/>
      <c r="BM99" s="71"/>
      <c r="BN99" s="71"/>
      <c r="BO99" s="71"/>
      <c r="BP99" s="71"/>
      <c r="BQ99" s="71"/>
      <c r="BR99" s="71"/>
      <c r="BS99" s="71"/>
      <c r="BT99" s="71"/>
      <c r="BU99" s="71"/>
      <c r="BV99" s="71"/>
      <c r="BW99" s="71"/>
      <c r="BX99" s="71"/>
      <c r="BY99" s="71"/>
      <c r="BZ99" s="71"/>
      <c r="CA99" s="71"/>
      <c r="CB99" s="71"/>
      <c r="CC99" s="71"/>
      <c r="CD99" s="71"/>
      <c r="CE99" s="71"/>
      <c r="CF99" s="71"/>
      <c r="CG99" s="71"/>
      <c r="CH99" s="71"/>
      <c r="CI99" s="71"/>
      <c r="CJ99" s="71"/>
      <c r="CK99" s="71"/>
      <c r="CL99" s="71"/>
      <c r="CM99" s="71"/>
      <c r="CN99" s="71"/>
      <c r="CO99" s="71"/>
      <c r="CP99" s="71"/>
      <c r="CQ99" s="71"/>
      <c r="CR99" s="71"/>
      <c r="CS99" s="71"/>
      <c r="CT99" s="71"/>
      <c r="CU99" s="71"/>
      <c r="CV99" s="71"/>
      <c r="CW99" s="71"/>
      <c r="CX99" s="71"/>
      <c r="CY99" s="71"/>
      <c r="CZ99" s="71"/>
      <c r="DA99" s="71"/>
      <c r="DB99" s="71"/>
      <c r="DC99" s="74">
        <f t="shared" si="169"/>
        <v>97</v>
      </c>
    </row>
    <row r="100" spans="1:107" ht="15.6" thickTop="1" thickBot="1" x14ac:dyDescent="0.35">
      <c r="A100" s="62">
        <f t="shared" si="179"/>
        <v>98</v>
      </c>
      <c r="B100" s="62"/>
      <c r="C100" s="62" t="str">
        <f t="shared" si="168"/>
        <v xml:space="preserve">98: </v>
      </c>
      <c r="D100" s="63">
        <f t="shared" si="180"/>
        <v>0</v>
      </c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4">
        <f t="shared" si="190"/>
        <v>0</v>
      </c>
      <c r="Z100" s="66"/>
      <c r="AA100" s="66"/>
      <c r="AB100" s="66"/>
      <c r="AC100" s="66"/>
      <c r="AD100" s="66"/>
      <c r="AE100" s="66"/>
      <c r="AF100" s="66"/>
      <c r="AG100" s="66"/>
      <c r="AH100" s="66"/>
      <c r="AI100" s="66"/>
      <c r="AJ100" s="66"/>
      <c r="AK100" s="66"/>
      <c r="AL100" s="66"/>
      <c r="AM100" s="66"/>
      <c r="AN100" s="66"/>
      <c r="AO100" s="66"/>
      <c r="AP100" s="66"/>
      <c r="AQ100" s="66"/>
      <c r="AR100" s="66"/>
      <c r="AS100" s="66"/>
      <c r="AT100" s="66"/>
      <c r="AU100" s="66"/>
      <c r="AV100" s="66"/>
      <c r="AW100" s="66"/>
      <c r="AX100" s="66"/>
      <c r="AY100" s="66"/>
      <c r="AZ100" s="66"/>
      <c r="BA100" s="66"/>
      <c r="BB100" s="66"/>
      <c r="BC100" s="66"/>
      <c r="BD100" s="71"/>
      <c r="BE100" s="71"/>
      <c r="BF100" s="71"/>
      <c r="BG100" s="71"/>
      <c r="BH100" s="71"/>
      <c r="BI100" s="71"/>
      <c r="BJ100" s="71"/>
      <c r="BK100" s="71"/>
      <c r="BL100" s="71"/>
      <c r="BM100" s="71"/>
      <c r="BN100" s="71"/>
      <c r="BO100" s="71"/>
      <c r="BP100" s="71"/>
      <c r="BQ100" s="71"/>
      <c r="BR100" s="71"/>
      <c r="BS100" s="71"/>
      <c r="BT100" s="71"/>
      <c r="BU100" s="71"/>
      <c r="BV100" s="71"/>
      <c r="BW100" s="71"/>
      <c r="BX100" s="71"/>
      <c r="BY100" s="71"/>
      <c r="BZ100" s="71"/>
      <c r="CA100" s="71"/>
      <c r="CB100" s="71"/>
      <c r="CC100" s="71"/>
      <c r="CD100" s="71"/>
      <c r="CE100" s="71"/>
      <c r="CF100" s="71"/>
      <c r="CG100" s="71"/>
      <c r="CH100" s="71"/>
      <c r="CI100" s="71"/>
      <c r="CJ100" s="71"/>
      <c r="CK100" s="71"/>
      <c r="CL100" s="71"/>
      <c r="CM100" s="71"/>
      <c r="CN100" s="71"/>
      <c r="CO100" s="71"/>
      <c r="CP100" s="71"/>
      <c r="CQ100" s="71"/>
      <c r="CR100" s="71"/>
      <c r="CS100" s="71"/>
      <c r="CT100" s="71"/>
      <c r="CU100" s="71"/>
      <c r="CV100" s="71"/>
      <c r="CW100" s="71"/>
      <c r="CX100" s="71"/>
      <c r="CY100" s="71"/>
      <c r="CZ100" s="71"/>
      <c r="DA100" s="71"/>
      <c r="DB100" s="71"/>
      <c r="DC100" s="74">
        <f t="shared" si="169"/>
        <v>98</v>
      </c>
    </row>
    <row r="101" spans="1:107" ht="15.6" thickTop="1" thickBot="1" x14ac:dyDescent="0.35">
      <c r="A101" s="62">
        <f t="shared" si="179"/>
        <v>99</v>
      </c>
      <c r="B101" s="62"/>
      <c r="C101" s="62" t="str">
        <f t="shared" si="168"/>
        <v xml:space="preserve">99: </v>
      </c>
      <c r="D101" s="63">
        <f t="shared" si="180"/>
        <v>0</v>
      </c>
      <c r="E101" s="62"/>
      <c r="F101" s="62"/>
      <c r="G101" s="62"/>
      <c r="H101" s="62"/>
      <c r="I101" s="62"/>
      <c r="J101" s="62"/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4">
        <f t="shared" ref="Y101:Y102" si="228">COUNTA(Z101:BC101)</f>
        <v>0</v>
      </c>
      <c r="Z101" s="66"/>
      <c r="AA101" s="66"/>
      <c r="AB101" s="66"/>
      <c r="AC101" s="66"/>
      <c r="AD101" s="66"/>
      <c r="AE101" s="66"/>
      <c r="AF101" s="66"/>
      <c r="AG101" s="66"/>
      <c r="AH101" s="66"/>
      <c r="AI101" s="66"/>
      <c r="AJ101" s="66"/>
      <c r="AK101" s="66"/>
      <c r="AL101" s="66"/>
      <c r="AM101" s="66"/>
      <c r="AN101" s="66"/>
      <c r="AO101" s="66"/>
      <c r="AP101" s="66"/>
      <c r="AQ101" s="66"/>
      <c r="AR101" s="66"/>
      <c r="AS101" s="66"/>
      <c r="AT101" s="66"/>
      <c r="AU101" s="66"/>
      <c r="AV101" s="66"/>
      <c r="AW101" s="66"/>
      <c r="AX101" s="66"/>
      <c r="AY101" s="66"/>
      <c r="AZ101" s="66"/>
      <c r="BA101" s="66"/>
      <c r="BB101" s="66"/>
      <c r="BC101" s="66"/>
      <c r="BD101" s="71"/>
      <c r="BE101" s="71"/>
      <c r="BF101" s="71"/>
      <c r="BG101" s="71"/>
      <c r="BH101" s="71"/>
      <c r="BI101" s="71"/>
      <c r="BJ101" s="71"/>
      <c r="BK101" s="71"/>
      <c r="BL101" s="71"/>
      <c r="BM101" s="71"/>
      <c r="BN101" s="71"/>
      <c r="BO101" s="71"/>
      <c r="BP101" s="71"/>
      <c r="BQ101" s="71"/>
      <c r="BR101" s="71"/>
      <c r="BS101" s="71"/>
      <c r="BT101" s="71"/>
      <c r="BU101" s="71"/>
      <c r="BV101" s="71"/>
      <c r="BW101" s="71"/>
      <c r="BX101" s="71"/>
      <c r="BY101" s="71"/>
      <c r="BZ101" s="71"/>
      <c r="CA101" s="71"/>
      <c r="CB101" s="71"/>
      <c r="CC101" s="71"/>
      <c r="CD101" s="71"/>
      <c r="CE101" s="71"/>
      <c r="CF101" s="71"/>
      <c r="CG101" s="71"/>
      <c r="CH101" s="71"/>
      <c r="CI101" s="71"/>
      <c r="CJ101" s="71"/>
      <c r="CK101" s="71"/>
      <c r="CL101" s="71"/>
      <c r="CM101" s="71"/>
      <c r="CN101" s="71"/>
      <c r="CO101" s="71"/>
      <c r="CP101" s="71"/>
      <c r="CQ101" s="71"/>
      <c r="CR101" s="71"/>
      <c r="CS101" s="71"/>
      <c r="CT101" s="71"/>
      <c r="CU101" s="71"/>
      <c r="CV101" s="71"/>
      <c r="CW101" s="71"/>
      <c r="CX101" s="71"/>
      <c r="CY101" s="71"/>
      <c r="CZ101" s="71"/>
      <c r="DA101" s="71"/>
      <c r="DB101" s="71"/>
      <c r="DC101" s="74">
        <f t="shared" si="169"/>
        <v>99</v>
      </c>
    </row>
    <row r="102" spans="1:107" ht="15.6" thickTop="1" thickBot="1" x14ac:dyDescent="0.35">
      <c r="A102" s="62">
        <f t="shared" si="179"/>
        <v>100</v>
      </c>
      <c r="B102" s="62"/>
      <c r="C102" s="62" t="str">
        <f t="shared" si="168"/>
        <v xml:space="preserve">100: </v>
      </c>
      <c r="D102" s="63">
        <f t="shared" si="180"/>
        <v>0</v>
      </c>
      <c r="E102" s="62"/>
      <c r="F102" s="62"/>
      <c r="G102" s="62"/>
      <c r="H102" s="62"/>
      <c r="I102" s="62"/>
      <c r="J102" s="62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4">
        <f t="shared" si="228"/>
        <v>0</v>
      </c>
      <c r="Z102" s="66"/>
      <c r="AA102" s="66"/>
      <c r="AB102" s="66"/>
      <c r="AC102" s="66"/>
      <c r="AD102" s="66"/>
      <c r="AE102" s="66"/>
      <c r="AF102" s="66"/>
      <c r="AG102" s="66"/>
      <c r="AH102" s="66"/>
      <c r="AI102" s="66"/>
      <c r="AJ102" s="66"/>
      <c r="AK102" s="66"/>
      <c r="AL102" s="66"/>
      <c r="AM102" s="66"/>
      <c r="AN102" s="66"/>
      <c r="AO102" s="66"/>
      <c r="AP102" s="66"/>
      <c r="AQ102" s="66"/>
      <c r="AR102" s="66"/>
      <c r="AS102" s="66"/>
      <c r="AT102" s="66"/>
      <c r="AU102" s="66"/>
      <c r="AV102" s="66"/>
      <c r="AW102" s="66"/>
      <c r="AX102" s="66"/>
      <c r="AY102" s="66"/>
      <c r="AZ102" s="66"/>
      <c r="BA102" s="66"/>
      <c r="BB102" s="66"/>
      <c r="BC102" s="66"/>
      <c r="BD102" s="71"/>
      <c r="BE102" s="71"/>
      <c r="BF102" s="71"/>
      <c r="BG102" s="71"/>
      <c r="BH102" s="71"/>
      <c r="BI102" s="71"/>
      <c r="BJ102" s="71"/>
      <c r="BK102" s="71"/>
      <c r="BL102" s="71"/>
      <c r="BM102" s="71"/>
      <c r="BN102" s="71"/>
      <c r="BO102" s="71"/>
      <c r="BP102" s="71"/>
      <c r="BQ102" s="71"/>
      <c r="BR102" s="71"/>
      <c r="BS102" s="71"/>
      <c r="BT102" s="71"/>
      <c r="BU102" s="71"/>
      <c r="BV102" s="71"/>
      <c r="BW102" s="71"/>
      <c r="BX102" s="71"/>
      <c r="BY102" s="71"/>
      <c r="BZ102" s="71"/>
      <c r="CA102" s="71"/>
      <c r="CB102" s="71"/>
      <c r="CC102" s="71"/>
      <c r="CD102" s="71"/>
      <c r="CE102" s="71"/>
      <c r="CF102" s="71"/>
      <c r="CG102" s="71"/>
      <c r="CH102" s="71"/>
      <c r="CI102" s="71"/>
      <c r="CJ102" s="71"/>
      <c r="CK102" s="71"/>
      <c r="CL102" s="71"/>
      <c r="CM102" s="71"/>
      <c r="CN102" s="71"/>
      <c r="CO102" s="71"/>
      <c r="CP102" s="71"/>
      <c r="CQ102" s="71"/>
      <c r="CR102" s="71"/>
      <c r="CS102" s="71"/>
      <c r="CT102" s="71"/>
      <c r="CU102" s="71"/>
      <c r="CV102" s="71"/>
      <c r="CW102" s="71"/>
      <c r="CX102" s="71"/>
      <c r="CY102" s="71"/>
      <c r="CZ102" s="71"/>
      <c r="DA102" s="71"/>
      <c r="DB102" s="71"/>
      <c r="DC102" s="74">
        <f t="shared" si="169"/>
        <v>100</v>
      </c>
    </row>
    <row r="103" spans="1:107" ht="15.6" thickTop="1" thickBot="1" x14ac:dyDescent="0.35">
      <c r="A103" s="62"/>
      <c r="B103" s="62"/>
      <c r="C103" s="62"/>
      <c r="D103" s="62"/>
      <c r="E103" s="62"/>
      <c r="F103" s="62"/>
      <c r="G103" s="62"/>
      <c r="H103" s="62"/>
      <c r="I103" s="62"/>
      <c r="J103" s="62"/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6"/>
      <c r="AA103" s="66"/>
      <c r="AB103" s="66"/>
      <c r="AC103" s="66"/>
      <c r="AD103" s="66"/>
      <c r="AE103" s="66"/>
      <c r="AF103" s="66"/>
      <c r="AG103" s="66"/>
      <c r="AH103" s="66"/>
      <c r="AI103" s="66"/>
      <c r="AJ103" s="66"/>
      <c r="AK103" s="66"/>
      <c r="AL103" s="66"/>
      <c r="AM103" s="66"/>
      <c r="AN103" s="66"/>
      <c r="AO103" s="66"/>
      <c r="AP103" s="66"/>
      <c r="AQ103" s="66"/>
      <c r="AR103" s="66"/>
      <c r="AS103" s="66"/>
      <c r="AT103" s="66"/>
      <c r="AU103" s="66"/>
      <c r="AV103" s="66"/>
      <c r="AW103" s="66"/>
      <c r="AX103" s="66"/>
      <c r="AY103" s="66"/>
      <c r="AZ103" s="66"/>
      <c r="BA103" s="66"/>
      <c r="BB103" s="66"/>
      <c r="BC103" s="66"/>
      <c r="BD103" s="71"/>
      <c r="BE103" s="71"/>
      <c r="BF103" s="71"/>
      <c r="BG103" s="71"/>
      <c r="BH103" s="71"/>
      <c r="BI103" s="71"/>
      <c r="BJ103" s="71"/>
      <c r="BK103" s="71"/>
      <c r="BL103" s="71"/>
      <c r="BM103" s="71"/>
      <c r="BN103" s="71"/>
      <c r="BO103" s="71"/>
      <c r="BP103" s="71"/>
      <c r="BQ103" s="71"/>
      <c r="BR103" s="71"/>
      <c r="BS103" s="71"/>
      <c r="BT103" s="71"/>
      <c r="BU103" s="71"/>
      <c r="BV103" s="71"/>
      <c r="BW103" s="71"/>
      <c r="BX103" s="71"/>
      <c r="BY103" s="71"/>
      <c r="BZ103" s="71"/>
      <c r="CA103" s="71"/>
      <c r="CB103" s="71"/>
      <c r="CC103" s="71"/>
      <c r="CD103" s="71"/>
      <c r="CE103" s="71"/>
      <c r="CF103" s="71"/>
      <c r="CG103" s="71"/>
      <c r="CH103" s="71"/>
      <c r="CI103" s="71"/>
      <c r="CJ103" s="71"/>
      <c r="CK103" s="71"/>
      <c r="CL103" s="71"/>
      <c r="CM103" s="71"/>
      <c r="CN103" s="71"/>
      <c r="CO103" s="71"/>
      <c r="CP103" s="71"/>
      <c r="CQ103" s="71"/>
      <c r="CR103" s="71"/>
      <c r="CS103" s="71"/>
      <c r="CT103" s="71"/>
      <c r="CU103" s="71"/>
      <c r="CV103" s="71"/>
      <c r="CW103" s="71"/>
      <c r="CX103" s="71"/>
      <c r="CY103" s="71"/>
      <c r="CZ103" s="71"/>
      <c r="DA103" s="71"/>
      <c r="DB103" s="71"/>
      <c r="DC103" s="74">
        <f t="shared" si="169"/>
        <v>0</v>
      </c>
    </row>
    <row r="104" spans="1:107" ht="15.6" thickTop="1" thickBot="1" x14ac:dyDescent="0.35">
      <c r="A104" s="62"/>
      <c r="B104" s="62"/>
      <c r="C104" s="62"/>
      <c r="D104" s="62"/>
      <c r="E104" s="62"/>
      <c r="F104" s="62"/>
      <c r="G104" s="62"/>
      <c r="H104" s="62"/>
      <c r="I104" s="62"/>
      <c r="J104" s="62"/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6"/>
      <c r="AA104" s="66"/>
      <c r="AB104" s="66"/>
      <c r="AC104" s="66"/>
      <c r="AD104" s="66"/>
      <c r="AE104" s="66"/>
      <c r="AF104" s="66"/>
      <c r="AG104" s="66"/>
      <c r="AH104" s="66"/>
      <c r="AI104" s="66"/>
      <c r="AJ104" s="66"/>
      <c r="AK104" s="66"/>
      <c r="AL104" s="66"/>
      <c r="AM104" s="66"/>
      <c r="AN104" s="66"/>
      <c r="AO104" s="66"/>
      <c r="AP104" s="66"/>
      <c r="AQ104" s="66"/>
      <c r="AR104" s="66"/>
      <c r="AS104" s="66"/>
      <c r="AT104" s="66"/>
      <c r="AU104" s="66"/>
      <c r="AV104" s="66"/>
      <c r="AW104" s="66"/>
      <c r="AX104" s="66"/>
      <c r="AY104" s="66"/>
      <c r="AZ104" s="66"/>
      <c r="BA104" s="66"/>
      <c r="BB104" s="66"/>
      <c r="BC104" s="66"/>
      <c r="BD104" s="71"/>
      <c r="BE104" s="71"/>
      <c r="BF104" s="71"/>
      <c r="BG104" s="71"/>
      <c r="BH104" s="71"/>
      <c r="BI104" s="71"/>
      <c r="BJ104" s="71"/>
      <c r="BK104" s="71"/>
      <c r="BL104" s="71"/>
      <c r="BM104" s="71"/>
      <c r="BN104" s="71"/>
      <c r="BO104" s="71"/>
      <c r="BP104" s="71"/>
      <c r="BQ104" s="71"/>
      <c r="BR104" s="71"/>
      <c r="BS104" s="71"/>
      <c r="BT104" s="71"/>
      <c r="BU104" s="71"/>
      <c r="BV104" s="71"/>
      <c r="BW104" s="71"/>
      <c r="BX104" s="71"/>
      <c r="BY104" s="71"/>
      <c r="BZ104" s="71"/>
      <c r="CA104" s="71"/>
      <c r="CB104" s="71"/>
      <c r="CC104" s="71"/>
      <c r="CD104" s="71"/>
      <c r="CE104" s="71"/>
      <c r="CF104" s="71"/>
      <c r="CG104" s="71"/>
      <c r="CH104" s="71"/>
      <c r="CI104" s="71"/>
      <c r="CJ104" s="71"/>
      <c r="CK104" s="71"/>
      <c r="CL104" s="71"/>
      <c r="CM104" s="71"/>
      <c r="CN104" s="71"/>
      <c r="CO104" s="71"/>
      <c r="CP104" s="71"/>
      <c r="CQ104" s="71"/>
      <c r="CR104" s="71"/>
      <c r="CS104" s="71"/>
      <c r="CT104" s="71"/>
      <c r="CU104" s="71"/>
      <c r="CV104" s="71"/>
      <c r="CW104" s="71"/>
      <c r="CX104" s="71"/>
      <c r="CY104" s="71"/>
      <c r="CZ104" s="71"/>
      <c r="DA104" s="71"/>
      <c r="DB104" s="71"/>
      <c r="DC104" s="74">
        <f t="shared" si="169"/>
        <v>0</v>
      </c>
    </row>
    <row r="105" spans="1:107" ht="15.6" thickTop="1" thickBot="1" x14ac:dyDescent="0.35">
      <c r="A105" s="62"/>
      <c r="B105" s="62"/>
      <c r="C105" s="62"/>
      <c r="D105" s="62"/>
      <c r="E105" s="62"/>
      <c r="F105" s="62"/>
      <c r="G105" s="62"/>
      <c r="H105" s="62"/>
      <c r="I105" s="62"/>
      <c r="J105" s="62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6"/>
      <c r="AA105" s="66"/>
      <c r="AB105" s="66"/>
      <c r="AC105" s="66"/>
      <c r="AD105" s="66"/>
      <c r="AE105" s="66"/>
      <c r="AF105" s="66"/>
      <c r="AG105" s="66"/>
      <c r="AH105" s="66"/>
      <c r="AI105" s="66"/>
      <c r="AJ105" s="66"/>
      <c r="AK105" s="66"/>
      <c r="AL105" s="66"/>
      <c r="AM105" s="66"/>
      <c r="AN105" s="66"/>
      <c r="AO105" s="66"/>
      <c r="AP105" s="66"/>
      <c r="AQ105" s="66"/>
      <c r="AR105" s="66"/>
      <c r="AS105" s="66"/>
      <c r="AT105" s="66"/>
      <c r="AU105" s="66"/>
      <c r="AV105" s="66"/>
      <c r="AW105" s="66"/>
      <c r="AX105" s="66"/>
      <c r="AY105" s="66"/>
      <c r="AZ105" s="66"/>
      <c r="BA105" s="66"/>
      <c r="BB105" s="66"/>
      <c r="BC105" s="66"/>
      <c r="BD105" s="71"/>
      <c r="BE105" s="71"/>
      <c r="BF105" s="71"/>
      <c r="BG105" s="71"/>
      <c r="BH105" s="71"/>
      <c r="BI105" s="71"/>
      <c r="BJ105" s="71"/>
      <c r="BK105" s="71"/>
      <c r="BL105" s="71"/>
      <c r="BM105" s="71"/>
      <c r="BN105" s="71"/>
      <c r="BO105" s="71"/>
      <c r="BP105" s="71"/>
      <c r="BQ105" s="71"/>
      <c r="BR105" s="71"/>
      <c r="BS105" s="71"/>
      <c r="BT105" s="71"/>
      <c r="BU105" s="71"/>
      <c r="BV105" s="71"/>
      <c r="BW105" s="71"/>
      <c r="BX105" s="71"/>
      <c r="BY105" s="71"/>
      <c r="BZ105" s="71"/>
      <c r="CA105" s="71"/>
      <c r="CB105" s="71"/>
      <c r="CC105" s="71"/>
      <c r="CD105" s="71"/>
      <c r="CE105" s="71"/>
      <c r="CF105" s="71"/>
      <c r="CG105" s="71"/>
      <c r="CH105" s="71"/>
      <c r="CI105" s="71"/>
      <c r="CJ105" s="71"/>
      <c r="CK105" s="71"/>
      <c r="CL105" s="71"/>
      <c r="CM105" s="71"/>
      <c r="CN105" s="71"/>
      <c r="CO105" s="71"/>
      <c r="CP105" s="71"/>
      <c r="CQ105" s="71"/>
      <c r="CR105" s="71"/>
      <c r="CS105" s="71"/>
      <c r="CT105" s="71"/>
      <c r="CU105" s="71"/>
      <c r="CV105" s="71"/>
      <c r="CW105" s="71"/>
      <c r="CX105" s="71"/>
      <c r="CY105" s="71"/>
      <c r="CZ105" s="71"/>
      <c r="DA105" s="71"/>
      <c r="DB105" s="71"/>
      <c r="DC105" s="74">
        <f t="shared" si="169"/>
        <v>0</v>
      </c>
    </row>
    <row r="106" spans="1:107" ht="15.6" thickTop="1" thickBot="1" x14ac:dyDescent="0.35">
      <c r="A106" s="62"/>
      <c r="B106" s="62"/>
      <c r="C106" s="62"/>
      <c r="D106" s="62"/>
      <c r="E106" s="62"/>
      <c r="F106" s="62"/>
      <c r="G106" s="62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6"/>
      <c r="AA106" s="66"/>
      <c r="AB106" s="66"/>
      <c r="AC106" s="66"/>
      <c r="AD106" s="66"/>
      <c r="AE106" s="66"/>
      <c r="AF106" s="66"/>
      <c r="AG106" s="66"/>
      <c r="AH106" s="66"/>
      <c r="AI106" s="66"/>
      <c r="AJ106" s="66"/>
      <c r="AK106" s="66"/>
      <c r="AL106" s="66"/>
      <c r="AM106" s="66"/>
      <c r="AN106" s="66"/>
      <c r="AO106" s="66"/>
      <c r="AP106" s="66"/>
      <c r="AQ106" s="66"/>
      <c r="AR106" s="66"/>
      <c r="AS106" s="66"/>
      <c r="AT106" s="66"/>
      <c r="AU106" s="66"/>
      <c r="AV106" s="66"/>
      <c r="AW106" s="66"/>
      <c r="AX106" s="66"/>
      <c r="AY106" s="66"/>
      <c r="AZ106" s="66"/>
      <c r="BA106" s="66"/>
      <c r="BB106" s="66"/>
      <c r="BC106" s="66"/>
      <c r="BD106" s="71"/>
      <c r="BE106" s="71"/>
      <c r="BF106" s="71"/>
      <c r="BG106" s="71"/>
      <c r="BH106" s="71"/>
      <c r="BI106" s="71"/>
      <c r="BJ106" s="71"/>
      <c r="BK106" s="71"/>
      <c r="BL106" s="71"/>
      <c r="BM106" s="71"/>
      <c r="BN106" s="71"/>
      <c r="BO106" s="71"/>
      <c r="BP106" s="71"/>
      <c r="BQ106" s="71"/>
      <c r="BR106" s="71"/>
      <c r="BS106" s="71"/>
      <c r="BT106" s="71"/>
      <c r="BU106" s="71"/>
      <c r="BV106" s="71"/>
      <c r="BW106" s="71"/>
      <c r="BX106" s="71"/>
      <c r="BY106" s="71"/>
      <c r="BZ106" s="71"/>
      <c r="CA106" s="71"/>
      <c r="CB106" s="71"/>
      <c r="CC106" s="71"/>
      <c r="CD106" s="71"/>
      <c r="CE106" s="71"/>
      <c r="CF106" s="71"/>
      <c r="CG106" s="71"/>
      <c r="CH106" s="71"/>
      <c r="CI106" s="71"/>
      <c r="CJ106" s="71"/>
      <c r="CK106" s="71"/>
      <c r="CL106" s="71"/>
      <c r="CM106" s="71"/>
      <c r="CN106" s="71"/>
      <c r="CO106" s="71"/>
      <c r="CP106" s="71"/>
      <c r="CQ106" s="71"/>
      <c r="CR106" s="71"/>
      <c r="CS106" s="71"/>
      <c r="CT106" s="71"/>
      <c r="CU106" s="71"/>
      <c r="CV106" s="71"/>
      <c r="CW106" s="71"/>
      <c r="CX106" s="71"/>
      <c r="CY106" s="71"/>
      <c r="CZ106" s="71"/>
      <c r="DA106" s="71"/>
      <c r="DB106" s="71"/>
      <c r="DC106" s="74">
        <f t="shared" si="169"/>
        <v>0</v>
      </c>
    </row>
    <row r="107" spans="1:107" ht="15.6" thickTop="1" thickBot="1" x14ac:dyDescent="0.35">
      <c r="A107" s="62"/>
      <c r="B107" s="62"/>
      <c r="C107" s="62"/>
      <c r="D107" s="62"/>
      <c r="E107" s="62"/>
      <c r="F107" s="62"/>
      <c r="G107" s="62"/>
      <c r="H107" s="62"/>
      <c r="I107" s="62"/>
      <c r="J107" s="62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6"/>
      <c r="AA107" s="66"/>
      <c r="AB107" s="66"/>
      <c r="AC107" s="66"/>
      <c r="AD107" s="66"/>
      <c r="AE107" s="66"/>
      <c r="AF107" s="66"/>
      <c r="AG107" s="66"/>
      <c r="AH107" s="66"/>
      <c r="AI107" s="66"/>
      <c r="AJ107" s="66"/>
      <c r="AK107" s="66"/>
      <c r="AL107" s="66"/>
      <c r="AM107" s="66"/>
      <c r="AN107" s="66"/>
      <c r="AO107" s="66"/>
      <c r="AP107" s="66"/>
      <c r="AQ107" s="66"/>
      <c r="AR107" s="66"/>
      <c r="AS107" s="66"/>
      <c r="AT107" s="66"/>
      <c r="AU107" s="66"/>
      <c r="AV107" s="66"/>
      <c r="AW107" s="66"/>
      <c r="AX107" s="66"/>
      <c r="AY107" s="66"/>
      <c r="AZ107" s="66"/>
      <c r="BA107" s="66"/>
      <c r="BB107" s="66"/>
      <c r="BC107" s="66"/>
      <c r="BD107" s="71"/>
      <c r="BE107" s="71"/>
      <c r="BF107" s="71"/>
      <c r="BG107" s="71"/>
      <c r="BH107" s="71"/>
      <c r="BI107" s="71"/>
      <c r="BJ107" s="71"/>
      <c r="BK107" s="71"/>
      <c r="BL107" s="71"/>
      <c r="BM107" s="71"/>
      <c r="BN107" s="71"/>
      <c r="BO107" s="71"/>
      <c r="BP107" s="71"/>
      <c r="BQ107" s="71"/>
      <c r="BR107" s="71"/>
      <c r="BS107" s="71"/>
      <c r="BT107" s="71"/>
      <c r="BU107" s="71"/>
      <c r="BV107" s="71"/>
      <c r="BW107" s="71"/>
      <c r="BX107" s="71"/>
      <c r="BY107" s="71"/>
      <c r="BZ107" s="71"/>
      <c r="CA107" s="71"/>
      <c r="CB107" s="71"/>
      <c r="CC107" s="71"/>
      <c r="CD107" s="71"/>
      <c r="CE107" s="71"/>
      <c r="CF107" s="71"/>
      <c r="CG107" s="71"/>
      <c r="CH107" s="71"/>
      <c r="CI107" s="71"/>
      <c r="CJ107" s="71"/>
      <c r="CK107" s="71"/>
      <c r="CL107" s="71"/>
      <c r="CM107" s="71"/>
      <c r="CN107" s="71"/>
      <c r="CO107" s="71"/>
      <c r="CP107" s="71"/>
      <c r="CQ107" s="71"/>
      <c r="CR107" s="71"/>
      <c r="CS107" s="71"/>
      <c r="CT107" s="71"/>
      <c r="CU107" s="71"/>
      <c r="CV107" s="71"/>
      <c r="CW107" s="71"/>
      <c r="CX107" s="71"/>
      <c r="CY107" s="71"/>
      <c r="CZ107" s="71"/>
      <c r="DA107" s="71"/>
      <c r="DB107" s="71"/>
      <c r="DC107" s="74">
        <f t="shared" si="169"/>
        <v>0</v>
      </c>
    </row>
    <row r="108" spans="1:107" ht="15.6" thickTop="1" thickBot="1" x14ac:dyDescent="0.35">
      <c r="A108" s="62"/>
      <c r="B108" s="62"/>
      <c r="C108" s="62"/>
      <c r="D108" s="62"/>
      <c r="E108" s="62"/>
      <c r="F108" s="62"/>
      <c r="G108" s="62"/>
      <c r="H108" s="62"/>
      <c r="I108" s="62"/>
      <c r="J108" s="62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6"/>
      <c r="AA108" s="66"/>
      <c r="AB108" s="66"/>
      <c r="AC108" s="66"/>
      <c r="AD108" s="66"/>
      <c r="AE108" s="66"/>
      <c r="AF108" s="66"/>
      <c r="AG108" s="66"/>
      <c r="AH108" s="66"/>
      <c r="AI108" s="66"/>
      <c r="AJ108" s="66"/>
      <c r="AK108" s="66"/>
      <c r="AL108" s="66"/>
      <c r="AM108" s="66"/>
      <c r="AN108" s="66"/>
      <c r="AO108" s="66"/>
      <c r="AP108" s="66"/>
      <c r="AQ108" s="66"/>
      <c r="AR108" s="66"/>
      <c r="AS108" s="66"/>
      <c r="AT108" s="66"/>
      <c r="AU108" s="66"/>
      <c r="AV108" s="66"/>
      <c r="AW108" s="66"/>
      <c r="AX108" s="66"/>
      <c r="AY108" s="66"/>
      <c r="AZ108" s="66"/>
      <c r="BA108" s="66"/>
      <c r="BB108" s="66"/>
      <c r="BC108" s="66"/>
      <c r="BD108" s="71"/>
      <c r="BE108" s="71"/>
      <c r="BF108" s="71"/>
      <c r="BG108" s="71"/>
      <c r="BH108" s="71"/>
      <c r="BI108" s="71"/>
      <c r="BJ108" s="71"/>
      <c r="BK108" s="71"/>
      <c r="BL108" s="71"/>
      <c r="BM108" s="71"/>
      <c r="BN108" s="71"/>
      <c r="BO108" s="71"/>
      <c r="BP108" s="71"/>
      <c r="BQ108" s="71"/>
      <c r="BR108" s="71"/>
      <c r="BS108" s="71"/>
      <c r="BT108" s="71"/>
      <c r="BU108" s="71"/>
      <c r="BV108" s="71"/>
      <c r="BW108" s="71"/>
      <c r="BX108" s="71"/>
      <c r="BY108" s="71"/>
      <c r="BZ108" s="71"/>
      <c r="CA108" s="71"/>
      <c r="CB108" s="71"/>
      <c r="CC108" s="71"/>
      <c r="CD108" s="71"/>
      <c r="CE108" s="71"/>
      <c r="CF108" s="71"/>
      <c r="CG108" s="71"/>
      <c r="CH108" s="71"/>
      <c r="CI108" s="71"/>
      <c r="CJ108" s="71"/>
      <c r="CK108" s="71"/>
      <c r="CL108" s="71"/>
      <c r="CM108" s="71"/>
      <c r="CN108" s="71"/>
      <c r="CO108" s="71"/>
      <c r="CP108" s="71"/>
      <c r="CQ108" s="71"/>
      <c r="CR108" s="71"/>
      <c r="CS108" s="71"/>
      <c r="CT108" s="71"/>
      <c r="CU108" s="71"/>
      <c r="CV108" s="71"/>
      <c r="CW108" s="71"/>
      <c r="CX108" s="71"/>
      <c r="CY108" s="71"/>
      <c r="CZ108" s="71"/>
      <c r="DA108" s="71"/>
      <c r="DB108" s="71"/>
      <c r="DC108" s="74">
        <f t="shared" si="169"/>
        <v>0</v>
      </c>
    </row>
    <row r="109" spans="1:107" ht="15.6" thickTop="1" thickBot="1" x14ac:dyDescent="0.35">
      <c r="A109" s="62"/>
      <c r="B109" s="62"/>
      <c r="C109" s="62"/>
      <c r="D109" s="62"/>
      <c r="E109" s="62"/>
      <c r="F109" s="62"/>
      <c r="G109" s="62"/>
      <c r="H109" s="62"/>
      <c r="I109" s="62"/>
      <c r="J109" s="62"/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6"/>
      <c r="AA109" s="66"/>
      <c r="AB109" s="66"/>
      <c r="AC109" s="66"/>
      <c r="AD109" s="66"/>
      <c r="AE109" s="66"/>
      <c r="AF109" s="66"/>
      <c r="AG109" s="66"/>
      <c r="AH109" s="66"/>
      <c r="AI109" s="66"/>
      <c r="AJ109" s="66"/>
      <c r="AK109" s="66"/>
      <c r="AL109" s="66"/>
      <c r="AM109" s="66"/>
      <c r="AN109" s="66"/>
      <c r="AO109" s="66"/>
      <c r="AP109" s="66"/>
      <c r="AQ109" s="66"/>
      <c r="AR109" s="66"/>
      <c r="AS109" s="66"/>
      <c r="AT109" s="66"/>
      <c r="AU109" s="66"/>
      <c r="AV109" s="66"/>
      <c r="AW109" s="66"/>
      <c r="AX109" s="66"/>
      <c r="AY109" s="66"/>
      <c r="AZ109" s="66"/>
      <c r="BA109" s="66"/>
      <c r="BB109" s="66"/>
      <c r="BC109" s="66"/>
      <c r="BD109" s="71"/>
      <c r="BE109" s="71"/>
      <c r="BF109" s="71"/>
      <c r="BG109" s="71"/>
      <c r="BH109" s="71"/>
      <c r="BI109" s="71"/>
      <c r="BJ109" s="71"/>
      <c r="BK109" s="71"/>
      <c r="BL109" s="71"/>
      <c r="BM109" s="71"/>
      <c r="BN109" s="71"/>
      <c r="BO109" s="71"/>
      <c r="BP109" s="71"/>
      <c r="BQ109" s="71"/>
      <c r="BR109" s="71"/>
      <c r="BS109" s="71"/>
      <c r="BT109" s="71"/>
      <c r="BU109" s="71"/>
      <c r="BV109" s="71"/>
      <c r="BW109" s="71"/>
      <c r="BX109" s="71"/>
      <c r="BY109" s="71"/>
      <c r="BZ109" s="71"/>
      <c r="CA109" s="71"/>
      <c r="CB109" s="71"/>
      <c r="CC109" s="71"/>
      <c r="CD109" s="71"/>
      <c r="CE109" s="71"/>
      <c r="CF109" s="71"/>
      <c r="CG109" s="71"/>
      <c r="CH109" s="71"/>
      <c r="CI109" s="71"/>
      <c r="CJ109" s="71"/>
      <c r="CK109" s="71"/>
      <c r="CL109" s="71"/>
      <c r="CM109" s="71"/>
      <c r="CN109" s="71"/>
      <c r="CO109" s="71"/>
      <c r="CP109" s="71"/>
      <c r="CQ109" s="71"/>
      <c r="CR109" s="71"/>
      <c r="CS109" s="71"/>
      <c r="CT109" s="71"/>
      <c r="CU109" s="71"/>
      <c r="CV109" s="71"/>
      <c r="CW109" s="71"/>
      <c r="CX109" s="71"/>
      <c r="CY109" s="71"/>
      <c r="CZ109" s="71"/>
      <c r="DA109" s="71"/>
      <c r="DB109" s="71"/>
      <c r="DC109" s="74">
        <f t="shared" si="169"/>
        <v>0</v>
      </c>
    </row>
    <row r="110" spans="1:107" ht="15.6" thickTop="1" thickBot="1" x14ac:dyDescent="0.35">
      <c r="A110" s="62"/>
      <c r="B110" s="62"/>
      <c r="C110" s="62"/>
      <c r="D110" s="62"/>
      <c r="E110" s="62"/>
      <c r="F110" s="62"/>
      <c r="G110" s="62"/>
      <c r="H110" s="62"/>
      <c r="I110" s="62"/>
      <c r="J110" s="62"/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6"/>
      <c r="AA110" s="66"/>
      <c r="AB110" s="66"/>
      <c r="AC110" s="66"/>
      <c r="AD110" s="66"/>
      <c r="AE110" s="66"/>
      <c r="AF110" s="66"/>
      <c r="AG110" s="66"/>
      <c r="AH110" s="66"/>
      <c r="AI110" s="66"/>
      <c r="AJ110" s="66"/>
      <c r="AK110" s="66"/>
      <c r="AL110" s="66"/>
      <c r="AM110" s="66"/>
      <c r="AN110" s="66"/>
      <c r="AO110" s="66"/>
      <c r="AP110" s="66"/>
      <c r="AQ110" s="66"/>
      <c r="AR110" s="66"/>
      <c r="AS110" s="66"/>
      <c r="AT110" s="66"/>
      <c r="AU110" s="66"/>
      <c r="AV110" s="66"/>
      <c r="AW110" s="66"/>
      <c r="AX110" s="66"/>
      <c r="AY110" s="66"/>
      <c r="AZ110" s="66"/>
      <c r="BA110" s="66"/>
      <c r="BB110" s="66"/>
      <c r="BC110" s="66"/>
      <c r="BD110" s="71"/>
      <c r="BE110" s="71"/>
      <c r="BF110" s="71"/>
      <c r="BG110" s="71"/>
      <c r="BH110" s="71"/>
      <c r="BI110" s="71"/>
      <c r="BJ110" s="71"/>
      <c r="BK110" s="71"/>
      <c r="BL110" s="71"/>
      <c r="BM110" s="71"/>
      <c r="BN110" s="71"/>
      <c r="BO110" s="71"/>
      <c r="BP110" s="71"/>
      <c r="BQ110" s="71"/>
      <c r="BR110" s="71"/>
      <c r="BS110" s="71"/>
      <c r="BT110" s="71"/>
      <c r="BU110" s="71"/>
      <c r="BV110" s="71"/>
      <c r="BW110" s="71"/>
      <c r="BX110" s="71"/>
      <c r="BY110" s="71"/>
      <c r="BZ110" s="71"/>
      <c r="CA110" s="71"/>
      <c r="CB110" s="71"/>
      <c r="CC110" s="71"/>
      <c r="CD110" s="71"/>
      <c r="CE110" s="71"/>
      <c r="CF110" s="71"/>
      <c r="CG110" s="71"/>
      <c r="CH110" s="71"/>
      <c r="CI110" s="71"/>
      <c r="CJ110" s="71"/>
      <c r="CK110" s="71"/>
      <c r="CL110" s="71"/>
      <c r="CM110" s="71"/>
      <c r="CN110" s="71"/>
      <c r="CO110" s="71"/>
      <c r="CP110" s="71"/>
      <c r="CQ110" s="71"/>
      <c r="CR110" s="71"/>
      <c r="CS110" s="71"/>
      <c r="CT110" s="71"/>
      <c r="CU110" s="71"/>
      <c r="CV110" s="71"/>
      <c r="CW110" s="71"/>
      <c r="CX110" s="71"/>
      <c r="CY110" s="71"/>
      <c r="CZ110" s="71"/>
      <c r="DA110" s="71"/>
      <c r="DB110" s="71"/>
      <c r="DC110" s="74">
        <f t="shared" si="169"/>
        <v>0</v>
      </c>
    </row>
    <row r="111" spans="1:107" ht="15.6" thickTop="1" thickBot="1" x14ac:dyDescent="0.35">
      <c r="A111" s="62"/>
      <c r="B111" s="62"/>
      <c r="C111" s="62"/>
      <c r="D111" s="62"/>
      <c r="E111" s="62"/>
      <c r="F111" s="62"/>
      <c r="G111" s="62"/>
      <c r="H111" s="62"/>
      <c r="I111" s="62"/>
      <c r="J111" s="62"/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6"/>
      <c r="AA111" s="66"/>
      <c r="AB111" s="66"/>
      <c r="AC111" s="66"/>
      <c r="AD111" s="66"/>
      <c r="AE111" s="66"/>
      <c r="AF111" s="66"/>
      <c r="AG111" s="66"/>
      <c r="AH111" s="66"/>
      <c r="AI111" s="66"/>
      <c r="AJ111" s="66"/>
      <c r="AK111" s="66"/>
      <c r="AL111" s="66"/>
      <c r="AM111" s="66"/>
      <c r="AN111" s="66"/>
      <c r="AO111" s="66"/>
      <c r="AP111" s="66"/>
      <c r="AQ111" s="66"/>
      <c r="AR111" s="66"/>
      <c r="AS111" s="66"/>
      <c r="AT111" s="66"/>
      <c r="AU111" s="66"/>
      <c r="AV111" s="66"/>
      <c r="AW111" s="66"/>
      <c r="AX111" s="66"/>
      <c r="AY111" s="66"/>
      <c r="AZ111" s="66"/>
      <c r="BA111" s="66"/>
      <c r="BB111" s="66"/>
      <c r="BC111" s="66"/>
      <c r="BD111" s="71"/>
      <c r="BE111" s="71"/>
      <c r="BF111" s="71"/>
      <c r="BG111" s="71"/>
      <c r="BH111" s="71"/>
      <c r="BI111" s="71"/>
      <c r="BJ111" s="71"/>
      <c r="BK111" s="71"/>
      <c r="BL111" s="71"/>
      <c r="BM111" s="71"/>
      <c r="BN111" s="71"/>
      <c r="BO111" s="71"/>
      <c r="BP111" s="71"/>
      <c r="BQ111" s="71"/>
      <c r="BR111" s="71"/>
      <c r="BS111" s="71"/>
      <c r="BT111" s="71"/>
      <c r="BU111" s="71"/>
      <c r="BV111" s="71"/>
      <c r="BW111" s="71"/>
      <c r="BX111" s="71"/>
      <c r="BY111" s="71"/>
      <c r="BZ111" s="71"/>
      <c r="CA111" s="71"/>
      <c r="CB111" s="71"/>
      <c r="CC111" s="71"/>
      <c r="CD111" s="71"/>
      <c r="CE111" s="71"/>
      <c r="CF111" s="71"/>
      <c r="CG111" s="71"/>
      <c r="CH111" s="71"/>
      <c r="CI111" s="71"/>
      <c r="CJ111" s="71"/>
      <c r="CK111" s="71"/>
      <c r="CL111" s="71"/>
      <c r="CM111" s="71"/>
      <c r="CN111" s="71"/>
      <c r="CO111" s="71"/>
      <c r="CP111" s="71"/>
      <c r="CQ111" s="71"/>
      <c r="CR111" s="71"/>
      <c r="CS111" s="71"/>
      <c r="CT111" s="71"/>
      <c r="CU111" s="71"/>
      <c r="CV111" s="71"/>
      <c r="CW111" s="71"/>
      <c r="CX111" s="71"/>
      <c r="CY111" s="71"/>
      <c r="CZ111" s="71"/>
      <c r="DA111" s="71"/>
      <c r="DB111" s="71"/>
      <c r="DC111" s="74">
        <f t="shared" si="169"/>
        <v>0</v>
      </c>
    </row>
    <row r="112" spans="1:107" ht="15.6" thickTop="1" thickBot="1" x14ac:dyDescent="0.35">
      <c r="A112" s="62"/>
      <c r="B112" s="62"/>
      <c r="C112" s="62"/>
      <c r="D112" s="62"/>
      <c r="E112" s="62"/>
      <c r="F112" s="62"/>
      <c r="G112" s="62"/>
      <c r="H112" s="62"/>
      <c r="I112" s="62"/>
      <c r="J112" s="62"/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6"/>
      <c r="AA112" s="66"/>
      <c r="AB112" s="66"/>
      <c r="AC112" s="66"/>
      <c r="AD112" s="66"/>
      <c r="AE112" s="66"/>
      <c r="AF112" s="66"/>
      <c r="AG112" s="66"/>
      <c r="AH112" s="66"/>
      <c r="AI112" s="66"/>
      <c r="AJ112" s="66"/>
      <c r="AK112" s="66"/>
      <c r="AL112" s="66"/>
      <c r="AM112" s="66"/>
      <c r="AN112" s="66"/>
      <c r="AO112" s="66"/>
      <c r="AP112" s="66"/>
      <c r="AQ112" s="66"/>
      <c r="AR112" s="66"/>
      <c r="AS112" s="66"/>
      <c r="AT112" s="66"/>
      <c r="AU112" s="66"/>
      <c r="AV112" s="66"/>
      <c r="AW112" s="66"/>
      <c r="AX112" s="66"/>
      <c r="AY112" s="66"/>
      <c r="AZ112" s="66"/>
      <c r="BA112" s="66"/>
      <c r="BB112" s="66"/>
      <c r="BC112" s="66"/>
      <c r="BD112" s="71"/>
      <c r="BE112" s="71"/>
      <c r="BF112" s="71"/>
      <c r="BG112" s="71"/>
      <c r="BH112" s="71"/>
      <c r="BI112" s="71"/>
      <c r="BJ112" s="71"/>
      <c r="BK112" s="71"/>
      <c r="BL112" s="71"/>
      <c r="BM112" s="71"/>
      <c r="BN112" s="71"/>
      <c r="BO112" s="71"/>
      <c r="BP112" s="71"/>
      <c r="BQ112" s="71"/>
      <c r="BR112" s="71"/>
      <c r="BS112" s="71"/>
      <c r="BT112" s="71"/>
      <c r="BU112" s="71"/>
      <c r="BV112" s="71"/>
      <c r="BW112" s="71"/>
      <c r="BX112" s="71"/>
      <c r="BY112" s="71"/>
      <c r="BZ112" s="71"/>
      <c r="CA112" s="71"/>
      <c r="CB112" s="71"/>
      <c r="CC112" s="71"/>
      <c r="CD112" s="71"/>
      <c r="CE112" s="71"/>
      <c r="CF112" s="71"/>
      <c r="CG112" s="71"/>
      <c r="CH112" s="71"/>
      <c r="CI112" s="71"/>
      <c r="CJ112" s="71"/>
      <c r="CK112" s="71"/>
      <c r="CL112" s="71"/>
      <c r="CM112" s="71"/>
      <c r="CN112" s="71"/>
      <c r="CO112" s="71"/>
      <c r="CP112" s="71"/>
      <c r="CQ112" s="71"/>
      <c r="CR112" s="71"/>
      <c r="CS112" s="71"/>
      <c r="CT112" s="71"/>
      <c r="CU112" s="71"/>
      <c r="CV112" s="71"/>
      <c r="CW112" s="71"/>
      <c r="CX112" s="71"/>
      <c r="CY112" s="71"/>
      <c r="CZ112" s="71"/>
      <c r="DA112" s="71"/>
      <c r="DB112" s="71"/>
      <c r="DC112" s="74">
        <f t="shared" si="169"/>
        <v>0</v>
      </c>
    </row>
    <row r="113" spans="1:107" ht="15.6" thickTop="1" thickBot="1" x14ac:dyDescent="0.35">
      <c r="A113" s="62"/>
      <c r="B113" s="62"/>
      <c r="C113" s="62"/>
      <c r="D113" s="62"/>
      <c r="E113" s="62"/>
      <c r="F113" s="62"/>
      <c r="G113" s="62"/>
      <c r="H113" s="62"/>
      <c r="I113" s="62"/>
      <c r="J113" s="62"/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6"/>
      <c r="AA113" s="66"/>
      <c r="AB113" s="66"/>
      <c r="AC113" s="66"/>
      <c r="AD113" s="66"/>
      <c r="AE113" s="66"/>
      <c r="AF113" s="66"/>
      <c r="AG113" s="66"/>
      <c r="AH113" s="66"/>
      <c r="AI113" s="66"/>
      <c r="AJ113" s="66"/>
      <c r="AK113" s="66"/>
      <c r="AL113" s="66"/>
      <c r="AM113" s="66"/>
      <c r="AN113" s="66"/>
      <c r="AO113" s="66"/>
      <c r="AP113" s="66"/>
      <c r="AQ113" s="66"/>
      <c r="AR113" s="66"/>
      <c r="AS113" s="66"/>
      <c r="AT113" s="66"/>
      <c r="AU113" s="66"/>
      <c r="AV113" s="66"/>
      <c r="AW113" s="66"/>
      <c r="AX113" s="66"/>
      <c r="AY113" s="66"/>
      <c r="AZ113" s="66"/>
      <c r="BA113" s="66"/>
      <c r="BB113" s="66"/>
      <c r="BC113" s="66"/>
      <c r="BD113" s="71"/>
      <c r="BE113" s="71"/>
      <c r="BF113" s="71"/>
      <c r="BG113" s="71"/>
      <c r="BH113" s="71"/>
      <c r="BI113" s="71"/>
      <c r="BJ113" s="71"/>
      <c r="BK113" s="71"/>
      <c r="BL113" s="71"/>
      <c r="BM113" s="71"/>
      <c r="BN113" s="71"/>
      <c r="BO113" s="71"/>
      <c r="BP113" s="71"/>
      <c r="BQ113" s="71"/>
      <c r="BR113" s="71"/>
      <c r="BS113" s="71"/>
      <c r="BT113" s="71"/>
      <c r="BU113" s="71"/>
      <c r="BV113" s="71"/>
      <c r="BW113" s="71"/>
      <c r="BX113" s="71"/>
      <c r="BY113" s="71"/>
      <c r="BZ113" s="71"/>
      <c r="CA113" s="71"/>
      <c r="CB113" s="71"/>
      <c r="CC113" s="71"/>
      <c r="CD113" s="71"/>
      <c r="CE113" s="71"/>
      <c r="CF113" s="71"/>
      <c r="CG113" s="71"/>
      <c r="CH113" s="71"/>
      <c r="CI113" s="71"/>
      <c r="CJ113" s="71"/>
      <c r="CK113" s="71"/>
      <c r="CL113" s="71"/>
      <c r="CM113" s="71"/>
      <c r="CN113" s="71"/>
      <c r="CO113" s="71"/>
      <c r="CP113" s="71"/>
      <c r="CQ113" s="71"/>
      <c r="CR113" s="71"/>
      <c r="CS113" s="71"/>
      <c r="CT113" s="71"/>
      <c r="CU113" s="71"/>
      <c r="CV113" s="71"/>
      <c r="CW113" s="71"/>
      <c r="CX113" s="71"/>
      <c r="CY113" s="71"/>
      <c r="CZ113" s="71"/>
      <c r="DA113" s="71"/>
      <c r="DB113" s="71"/>
      <c r="DC113" s="74">
        <f t="shared" si="169"/>
        <v>0</v>
      </c>
    </row>
    <row r="114" spans="1:107" ht="15.6" thickTop="1" thickBot="1" x14ac:dyDescent="0.35">
      <c r="A114" s="62"/>
      <c r="B114" s="62"/>
      <c r="C114" s="62"/>
      <c r="D114" s="62"/>
      <c r="E114" s="62"/>
      <c r="F114" s="62"/>
      <c r="G114" s="62"/>
      <c r="H114" s="62"/>
      <c r="I114" s="62"/>
      <c r="J114" s="62"/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6"/>
      <c r="AA114" s="66"/>
      <c r="AB114" s="66"/>
      <c r="AC114" s="66"/>
      <c r="AD114" s="66"/>
      <c r="AE114" s="66"/>
      <c r="AF114" s="66"/>
      <c r="AG114" s="66"/>
      <c r="AH114" s="66"/>
      <c r="AI114" s="66"/>
      <c r="AJ114" s="66"/>
      <c r="AK114" s="66"/>
      <c r="AL114" s="66"/>
      <c r="AM114" s="66"/>
      <c r="AN114" s="66"/>
      <c r="AO114" s="66"/>
      <c r="AP114" s="66"/>
      <c r="AQ114" s="66"/>
      <c r="AR114" s="66"/>
      <c r="AS114" s="66"/>
      <c r="AT114" s="66"/>
      <c r="AU114" s="66"/>
      <c r="AV114" s="66"/>
      <c r="AW114" s="66"/>
      <c r="AX114" s="66"/>
      <c r="AY114" s="66"/>
      <c r="AZ114" s="66"/>
      <c r="BA114" s="66"/>
      <c r="BB114" s="66"/>
      <c r="BC114" s="66"/>
      <c r="BD114" s="71"/>
      <c r="BE114" s="71"/>
      <c r="BF114" s="71"/>
      <c r="BG114" s="71"/>
      <c r="BH114" s="71"/>
      <c r="BI114" s="71"/>
      <c r="BJ114" s="71"/>
      <c r="BK114" s="71"/>
      <c r="BL114" s="71"/>
      <c r="BM114" s="71"/>
      <c r="BN114" s="71"/>
      <c r="BO114" s="71"/>
      <c r="BP114" s="71"/>
      <c r="BQ114" s="71"/>
      <c r="BR114" s="71"/>
      <c r="BS114" s="71"/>
      <c r="BT114" s="71"/>
      <c r="BU114" s="71"/>
      <c r="BV114" s="71"/>
      <c r="BW114" s="71"/>
      <c r="BX114" s="71"/>
      <c r="BY114" s="71"/>
      <c r="BZ114" s="71"/>
      <c r="CA114" s="71"/>
      <c r="CB114" s="71"/>
      <c r="CC114" s="71"/>
      <c r="CD114" s="71"/>
      <c r="CE114" s="71"/>
      <c r="CF114" s="71"/>
      <c r="CG114" s="71"/>
      <c r="CH114" s="71"/>
      <c r="CI114" s="71"/>
      <c r="CJ114" s="71"/>
      <c r="CK114" s="71"/>
      <c r="CL114" s="71"/>
      <c r="CM114" s="71"/>
      <c r="CN114" s="71"/>
      <c r="CO114" s="71"/>
      <c r="CP114" s="71"/>
      <c r="CQ114" s="71"/>
      <c r="CR114" s="71"/>
      <c r="CS114" s="71"/>
      <c r="CT114" s="71"/>
      <c r="CU114" s="71"/>
      <c r="CV114" s="71"/>
      <c r="CW114" s="71"/>
      <c r="CX114" s="71"/>
      <c r="CY114" s="71"/>
      <c r="CZ114" s="71"/>
      <c r="DA114" s="71"/>
      <c r="DB114" s="71"/>
      <c r="DC114" s="74">
        <f t="shared" si="169"/>
        <v>0</v>
      </c>
    </row>
    <row r="115" spans="1:107" ht="15.6" thickTop="1" thickBot="1" x14ac:dyDescent="0.35">
      <c r="A115" s="62"/>
      <c r="B115" s="62"/>
      <c r="C115" s="62"/>
      <c r="D115" s="62"/>
      <c r="E115" s="62"/>
      <c r="F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6"/>
      <c r="AA115" s="66"/>
      <c r="AB115" s="66"/>
      <c r="AC115" s="66"/>
      <c r="AD115" s="66"/>
      <c r="AE115" s="66"/>
      <c r="AF115" s="66"/>
      <c r="AG115" s="66"/>
      <c r="AH115" s="66"/>
      <c r="AI115" s="66"/>
      <c r="AJ115" s="66"/>
      <c r="AK115" s="66"/>
      <c r="AL115" s="66"/>
      <c r="AM115" s="66"/>
      <c r="AN115" s="66"/>
      <c r="AO115" s="66"/>
      <c r="AP115" s="66"/>
      <c r="AQ115" s="66"/>
      <c r="AR115" s="66"/>
      <c r="AS115" s="66"/>
      <c r="AT115" s="66"/>
      <c r="AU115" s="66"/>
      <c r="AV115" s="66"/>
      <c r="AW115" s="66"/>
      <c r="AX115" s="66"/>
      <c r="AY115" s="66"/>
      <c r="AZ115" s="66"/>
      <c r="BA115" s="66"/>
      <c r="BB115" s="66"/>
      <c r="BC115" s="66"/>
      <c r="BD115" s="71"/>
      <c r="BE115" s="71"/>
      <c r="BF115" s="71"/>
      <c r="BG115" s="71"/>
      <c r="BH115" s="71"/>
      <c r="BI115" s="71"/>
      <c r="BJ115" s="71"/>
      <c r="BK115" s="71"/>
      <c r="BL115" s="71"/>
      <c r="BM115" s="71"/>
      <c r="BN115" s="71"/>
      <c r="BO115" s="71"/>
      <c r="BP115" s="71"/>
      <c r="BQ115" s="71"/>
      <c r="BR115" s="71"/>
      <c r="BS115" s="71"/>
      <c r="BT115" s="71"/>
      <c r="BU115" s="71"/>
      <c r="BV115" s="71"/>
      <c r="BW115" s="71"/>
      <c r="BX115" s="71"/>
      <c r="BY115" s="71"/>
      <c r="BZ115" s="71"/>
      <c r="CA115" s="71"/>
      <c r="CB115" s="71"/>
      <c r="CC115" s="71"/>
      <c r="CD115" s="71"/>
      <c r="CE115" s="71"/>
      <c r="CF115" s="71"/>
      <c r="CG115" s="71"/>
      <c r="CH115" s="71"/>
      <c r="CI115" s="71"/>
      <c r="CJ115" s="71"/>
      <c r="CK115" s="71"/>
      <c r="CL115" s="71"/>
      <c r="CM115" s="71"/>
      <c r="CN115" s="71"/>
      <c r="CO115" s="71"/>
      <c r="CP115" s="71"/>
      <c r="CQ115" s="71"/>
      <c r="CR115" s="71"/>
      <c r="CS115" s="71"/>
      <c r="CT115" s="71"/>
      <c r="CU115" s="71"/>
      <c r="CV115" s="71"/>
      <c r="CW115" s="71"/>
      <c r="CX115" s="71"/>
      <c r="CY115" s="71"/>
      <c r="CZ115" s="71"/>
      <c r="DA115" s="71"/>
      <c r="DB115" s="71"/>
      <c r="DC115" s="74">
        <f t="shared" si="169"/>
        <v>0</v>
      </c>
    </row>
    <row r="116" spans="1:107" ht="15.6" thickTop="1" thickBot="1" x14ac:dyDescent="0.35">
      <c r="A116" s="62"/>
      <c r="B116" s="62"/>
      <c r="C116" s="62"/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6"/>
      <c r="AA116" s="66"/>
      <c r="AB116" s="66"/>
      <c r="AC116" s="66"/>
      <c r="AD116" s="66"/>
      <c r="AE116" s="66"/>
      <c r="AF116" s="66"/>
      <c r="AG116" s="66"/>
      <c r="AH116" s="66"/>
      <c r="AI116" s="66"/>
      <c r="AJ116" s="66"/>
      <c r="AK116" s="66"/>
      <c r="AL116" s="66"/>
      <c r="AM116" s="66"/>
      <c r="AN116" s="66"/>
      <c r="AO116" s="66"/>
      <c r="AP116" s="66"/>
      <c r="AQ116" s="66"/>
      <c r="AR116" s="66"/>
      <c r="AS116" s="66"/>
      <c r="AT116" s="66"/>
      <c r="AU116" s="66"/>
      <c r="AV116" s="66"/>
      <c r="AW116" s="66"/>
      <c r="AX116" s="66"/>
      <c r="AY116" s="66"/>
      <c r="AZ116" s="66"/>
      <c r="BA116" s="66"/>
      <c r="BB116" s="66"/>
      <c r="BC116" s="66"/>
      <c r="BD116" s="71"/>
      <c r="BE116" s="71"/>
      <c r="BF116" s="71"/>
      <c r="BG116" s="71"/>
      <c r="BH116" s="71"/>
      <c r="BI116" s="71"/>
      <c r="BJ116" s="71"/>
      <c r="BK116" s="71"/>
      <c r="BL116" s="71"/>
      <c r="BM116" s="71"/>
      <c r="BN116" s="71"/>
      <c r="BO116" s="71"/>
      <c r="BP116" s="71"/>
      <c r="BQ116" s="71"/>
      <c r="BR116" s="71"/>
      <c r="BS116" s="71"/>
      <c r="BT116" s="71"/>
      <c r="BU116" s="71"/>
      <c r="BV116" s="71"/>
      <c r="BW116" s="71"/>
      <c r="BX116" s="71"/>
      <c r="BY116" s="71"/>
      <c r="BZ116" s="71"/>
      <c r="CA116" s="71"/>
      <c r="CB116" s="71"/>
      <c r="CC116" s="71"/>
      <c r="CD116" s="71"/>
      <c r="CE116" s="71"/>
      <c r="CF116" s="71"/>
      <c r="CG116" s="71"/>
      <c r="CH116" s="71"/>
      <c r="CI116" s="71"/>
      <c r="CJ116" s="71"/>
      <c r="CK116" s="71"/>
      <c r="CL116" s="71"/>
      <c r="CM116" s="71"/>
      <c r="CN116" s="71"/>
      <c r="CO116" s="71"/>
      <c r="CP116" s="71"/>
      <c r="CQ116" s="71"/>
      <c r="CR116" s="71"/>
      <c r="CS116" s="71"/>
      <c r="CT116" s="71"/>
      <c r="CU116" s="71"/>
      <c r="CV116" s="71"/>
      <c r="CW116" s="71"/>
      <c r="CX116" s="71"/>
      <c r="CY116" s="71"/>
      <c r="CZ116" s="71"/>
      <c r="DA116" s="71"/>
      <c r="DB116" s="71"/>
      <c r="DC116" s="74">
        <f t="shared" si="169"/>
        <v>0</v>
      </c>
    </row>
    <row r="117" spans="1:107" ht="15.6" thickTop="1" thickBot="1" x14ac:dyDescent="0.35">
      <c r="A117" s="62"/>
      <c r="B117" s="62"/>
      <c r="C117" s="62"/>
      <c r="D117" s="62"/>
      <c r="E117" s="62"/>
      <c r="F117" s="62"/>
      <c r="G117" s="62"/>
      <c r="H117" s="62"/>
      <c r="I117" s="62"/>
      <c r="J117" s="62"/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6"/>
      <c r="AA117" s="66"/>
      <c r="AB117" s="66"/>
      <c r="AC117" s="66"/>
      <c r="AD117" s="66"/>
      <c r="AE117" s="66"/>
      <c r="AF117" s="66"/>
      <c r="AG117" s="66"/>
      <c r="AH117" s="66"/>
      <c r="AI117" s="66"/>
      <c r="AJ117" s="66"/>
      <c r="AK117" s="66"/>
      <c r="AL117" s="66"/>
      <c r="AM117" s="66"/>
      <c r="AN117" s="66"/>
      <c r="AO117" s="66"/>
      <c r="AP117" s="66"/>
      <c r="AQ117" s="66"/>
      <c r="AR117" s="66"/>
      <c r="AS117" s="66"/>
      <c r="AT117" s="66"/>
      <c r="AU117" s="66"/>
      <c r="AV117" s="66"/>
      <c r="AW117" s="66"/>
      <c r="AX117" s="66"/>
      <c r="AY117" s="66"/>
      <c r="AZ117" s="66"/>
      <c r="BA117" s="66"/>
      <c r="BB117" s="66"/>
      <c r="BC117" s="66"/>
      <c r="BD117" s="71"/>
      <c r="BE117" s="71"/>
      <c r="BF117" s="71"/>
      <c r="BG117" s="71"/>
      <c r="BH117" s="71"/>
      <c r="BI117" s="71"/>
      <c r="BJ117" s="71"/>
      <c r="BK117" s="71"/>
      <c r="BL117" s="71"/>
      <c r="BM117" s="71"/>
      <c r="BN117" s="71"/>
      <c r="BO117" s="71"/>
      <c r="BP117" s="71"/>
      <c r="BQ117" s="71"/>
      <c r="BR117" s="71"/>
      <c r="BS117" s="71"/>
      <c r="BT117" s="71"/>
      <c r="BU117" s="71"/>
      <c r="BV117" s="71"/>
      <c r="BW117" s="71"/>
      <c r="BX117" s="71"/>
      <c r="BY117" s="71"/>
      <c r="BZ117" s="71"/>
      <c r="CA117" s="71"/>
      <c r="CB117" s="71"/>
      <c r="CC117" s="71"/>
      <c r="CD117" s="71"/>
      <c r="CE117" s="71"/>
      <c r="CF117" s="71"/>
      <c r="CG117" s="71"/>
      <c r="CH117" s="71"/>
      <c r="CI117" s="71"/>
      <c r="CJ117" s="71"/>
      <c r="CK117" s="71"/>
      <c r="CL117" s="71"/>
      <c r="CM117" s="71"/>
      <c r="CN117" s="71"/>
      <c r="CO117" s="71"/>
      <c r="CP117" s="71"/>
      <c r="CQ117" s="71"/>
      <c r="CR117" s="71"/>
      <c r="CS117" s="71"/>
      <c r="CT117" s="71"/>
      <c r="CU117" s="71"/>
      <c r="CV117" s="71"/>
      <c r="CW117" s="71"/>
      <c r="CX117" s="71"/>
      <c r="CY117" s="71"/>
      <c r="CZ117" s="71"/>
      <c r="DA117" s="71"/>
      <c r="DB117" s="71"/>
      <c r="DC117" s="74">
        <f t="shared" si="169"/>
        <v>0</v>
      </c>
    </row>
    <row r="118" spans="1:107" ht="15.6" thickTop="1" thickBot="1" x14ac:dyDescent="0.35">
      <c r="A118" s="62"/>
      <c r="B118" s="62"/>
      <c r="C118" s="62"/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6"/>
      <c r="AA118" s="66"/>
      <c r="AB118" s="66"/>
      <c r="AC118" s="66"/>
      <c r="AD118" s="66"/>
      <c r="AE118" s="66"/>
      <c r="AF118" s="66"/>
      <c r="AG118" s="66"/>
      <c r="AH118" s="66"/>
      <c r="AI118" s="66"/>
      <c r="AJ118" s="66"/>
      <c r="AK118" s="66"/>
      <c r="AL118" s="66"/>
      <c r="AM118" s="66"/>
      <c r="AN118" s="66"/>
      <c r="AO118" s="66"/>
      <c r="AP118" s="66"/>
      <c r="AQ118" s="66"/>
      <c r="AR118" s="66"/>
      <c r="AS118" s="66"/>
      <c r="AT118" s="66"/>
      <c r="AU118" s="66"/>
      <c r="AV118" s="66"/>
      <c r="AW118" s="66"/>
      <c r="AX118" s="66"/>
      <c r="AY118" s="66"/>
      <c r="AZ118" s="66"/>
      <c r="BA118" s="66"/>
      <c r="BB118" s="66"/>
      <c r="BC118" s="66"/>
      <c r="BD118" s="71"/>
      <c r="BE118" s="71"/>
      <c r="BF118" s="71"/>
      <c r="BG118" s="71"/>
      <c r="BH118" s="71"/>
      <c r="BI118" s="71"/>
      <c r="BJ118" s="71"/>
      <c r="BK118" s="71"/>
      <c r="BL118" s="71"/>
      <c r="BM118" s="71"/>
      <c r="BN118" s="71"/>
      <c r="BO118" s="71"/>
      <c r="BP118" s="71"/>
      <c r="BQ118" s="71"/>
      <c r="BR118" s="71"/>
      <c r="BS118" s="71"/>
      <c r="BT118" s="71"/>
      <c r="BU118" s="71"/>
      <c r="BV118" s="71"/>
      <c r="BW118" s="71"/>
      <c r="BX118" s="71"/>
      <c r="BY118" s="71"/>
      <c r="BZ118" s="71"/>
      <c r="CA118" s="71"/>
      <c r="CB118" s="71"/>
      <c r="CC118" s="71"/>
      <c r="CD118" s="71"/>
      <c r="CE118" s="71"/>
      <c r="CF118" s="71"/>
      <c r="CG118" s="71"/>
      <c r="CH118" s="71"/>
      <c r="CI118" s="71"/>
      <c r="CJ118" s="71"/>
      <c r="CK118" s="71"/>
      <c r="CL118" s="71"/>
      <c r="CM118" s="71"/>
      <c r="CN118" s="71"/>
      <c r="CO118" s="71"/>
      <c r="CP118" s="71"/>
      <c r="CQ118" s="71"/>
      <c r="CR118" s="71"/>
      <c r="CS118" s="71"/>
      <c r="CT118" s="71"/>
      <c r="CU118" s="71"/>
      <c r="CV118" s="71"/>
      <c r="CW118" s="71"/>
      <c r="CX118" s="71"/>
      <c r="CY118" s="71"/>
      <c r="CZ118" s="71"/>
      <c r="DA118" s="71"/>
      <c r="DB118" s="71"/>
      <c r="DC118" s="74">
        <f t="shared" si="169"/>
        <v>0</v>
      </c>
    </row>
    <row r="119" spans="1:107" ht="15.6" thickTop="1" thickBot="1" x14ac:dyDescent="0.35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6"/>
      <c r="AA119" s="66"/>
      <c r="AB119" s="66"/>
      <c r="AC119" s="66"/>
      <c r="AD119" s="66"/>
      <c r="AE119" s="66"/>
      <c r="AF119" s="66"/>
      <c r="AG119" s="66"/>
      <c r="AH119" s="66"/>
      <c r="AI119" s="66"/>
      <c r="AJ119" s="66"/>
      <c r="AK119" s="66"/>
      <c r="AL119" s="66"/>
      <c r="AM119" s="66"/>
      <c r="AN119" s="66"/>
      <c r="AO119" s="66"/>
      <c r="AP119" s="66"/>
      <c r="AQ119" s="66"/>
      <c r="AR119" s="66"/>
      <c r="AS119" s="66"/>
      <c r="AT119" s="66"/>
      <c r="AU119" s="66"/>
      <c r="AV119" s="66"/>
      <c r="AW119" s="66"/>
      <c r="AX119" s="66"/>
      <c r="AY119" s="66"/>
      <c r="AZ119" s="66"/>
      <c r="BA119" s="66"/>
      <c r="BB119" s="66"/>
      <c r="BC119" s="66"/>
      <c r="BD119" s="71"/>
      <c r="BE119" s="71"/>
      <c r="BF119" s="71"/>
      <c r="BG119" s="71"/>
      <c r="BH119" s="71"/>
      <c r="BI119" s="71"/>
      <c r="BJ119" s="71"/>
      <c r="BK119" s="71"/>
      <c r="BL119" s="71"/>
      <c r="BM119" s="71"/>
      <c r="BN119" s="71"/>
      <c r="BO119" s="71"/>
      <c r="BP119" s="71"/>
      <c r="BQ119" s="71"/>
      <c r="BR119" s="71"/>
      <c r="BS119" s="71"/>
      <c r="BT119" s="71"/>
      <c r="BU119" s="71"/>
      <c r="BV119" s="71"/>
      <c r="BW119" s="71"/>
      <c r="BX119" s="71"/>
      <c r="BY119" s="71"/>
      <c r="BZ119" s="71"/>
      <c r="CA119" s="71"/>
      <c r="CB119" s="71"/>
      <c r="CC119" s="71"/>
      <c r="CD119" s="71"/>
      <c r="CE119" s="71"/>
      <c r="CF119" s="71"/>
      <c r="CG119" s="71"/>
      <c r="CH119" s="71"/>
      <c r="CI119" s="71"/>
      <c r="CJ119" s="71"/>
      <c r="CK119" s="71"/>
      <c r="CL119" s="71"/>
      <c r="CM119" s="71"/>
      <c r="CN119" s="71"/>
      <c r="CO119" s="71"/>
      <c r="CP119" s="71"/>
      <c r="CQ119" s="71"/>
      <c r="CR119" s="71"/>
      <c r="CS119" s="71"/>
      <c r="CT119" s="71"/>
      <c r="CU119" s="71"/>
      <c r="CV119" s="71"/>
      <c r="CW119" s="71"/>
      <c r="CX119" s="71"/>
      <c r="CY119" s="71"/>
      <c r="CZ119" s="71"/>
      <c r="DA119" s="71"/>
      <c r="DB119" s="71"/>
      <c r="DC119" s="74">
        <f t="shared" si="169"/>
        <v>0</v>
      </c>
    </row>
    <row r="120" spans="1:107" ht="15.6" thickTop="1" thickBot="1" x14ac:dyDescent="0.35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6"/>
      <c r="AA120" s="66"/>
      <c r="AB120" s="66"/>
      <c r="AC120" s="66"/>
      <c r="AD120" s="66"/>
      <c r="AE120" s="66"/>
      <c r="AF120" s="66"/>
      <c r="AG120" s="66"/>
      <c r="AH120" s="66"/>
      <c r="AI120" s="66"/>
      <c r="AJ120" s="66"/>
      <c r="AK120" s="66"/>
      <c r="AL120" s="66"/>
      <c r="AM120" s="66"/>
      <c r="AN120" s="66"/>
      <c r="AO120" s="66"/>
      <c r="AP120" s="66"/>
      <c r="AQ120" s="66"/>
      <c r="AR120" s="66"/>
      <c r="AS120" s="66"/>
      <c r="AT120" s="66"/>
      <c r="AU120" s="66"/>
      <c r="AV120" s="66"/>
      <c r="AW120" s="66"/>
      <c r="AX120" s="66"/>
      <c r="AY120" s="66"/>
      <c r="AZ120" s="66"/>
      <c r="BA120" s="66"/>
      <c r="BB120" s="66"/>
      <c r="BC120" s="66"/>
      <c r="BD120" s="71"/>
      <c r="BE120" s="71"/>
      <c r="BF120" s="71"/>
      <c r="BG120" s="71"/>
      <c r="BH120" s="71"/>
      <c r="BI120" s="71"/>
      <c r="BJ120" s="71"/>
      <c r="BK120" s="71"/>
      <c r="BL120" s="71"/>
      <c r="BM120" s="71"/>
      <c r="BN120" s="71"/>
      <c r="BO120" s="71"/>
      <c r="BP120" s="71"/>
      <c r="BQ120" s="71"/>
      <c r="BR120" s="71"/>
      <c r="BS120" s="71"/>
      <c r="BT120" s="71"/>
      <c r="BU120" s="71"/>
      <c r="BV120" s="71"/>
      <c r="BW120" s="71"/>
      <c r="BX120" s="71"/>
      <c r="BY120" s="71"/>
      <c r="BZ120" s="71"/>
      <c r="CA120" s="71"/>
      <c r="CB120" s="71"/>
      <c r="CC120" s="71"/>
      <c r="CD120" s="71"/>
      <c r="CE120" s="71"/>
      <c r="CF120" s="71"/>
      <c r="CG120" s="71"/>
      <c r="CH120" s="71"/>
      <c r="CI120" s="71"/>
      <c r="CJ120" s="71"/>
      <c r="CK120" s="71"/>
      <c r="CL120" s="71"/>
      <c r="CM120" s="71"/>
      <c r="CN120" s="71"/>
      <c r="CO120" s="71"/>
      <c r="CP120" s="71"/>
      <c r="CQ120" s="71"/>
      <c r="CR120" s="71"/>
      <c r="CS120" s="71"/>
      <c r="CT120" s="71"/>
      <c r="CU120" s="71"/>
      <c r="CV120" s="71"/>
      <c r="CW120" s="71"/>
      <c r="CX120" s="71"/>
      <c r="CY120" s="71"/>
      <c r="CZ120" s="71"/>
      <c r="DA120" s="71"/>
      <c r="DB120" s="71"/>
      <c r="DC120" s="74">
        <f t="shared" si="169"/>
        <v>0</v>
      </c>
    </row>
    <row r="121" spans="1:107" ht="15.6" thickTop="1" thickBot="1" x14ac:dyDescent="0.35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6"/>
      <c r="AA121" s="66"/>
      <c r="AB121" s="66"/>
      <c r="AC121" s="66"/>
      <c r="AD121" s="66"/>
      <c r="AE121" s="66"/>
      <c r="AF121" s="66"/>
      <c r="AG121" s="66"/>
      <c r="AH121" s="66"/>
      <c r="AI121" s="66"/>
      <c r="AJ121" s="66"/>
      <c r="AK121" s="66"/>
      <c r="AL121" s="66"/>
      <c r="AM121" s="66"/>
      <c r="AN121" s="66"/>
      <c r="AO121" s="66"/>
      <c r="AP121" s="66"/>
      <c r="AQ121" s="66"/>
      <c r="AR121" s="66"/>
      <c r="AS121" s="66"/>
      <c r="AT121" s="66"/>
      <c r="AU121" s="66"/>
      <c r="AV121" s="66"/>
      <c r="AW121" s="66"/>
      <c r="AX121" s="66"/>
      <c r="AY121" s="66"/>
      <c r="AZ121" s="66"/>
      <c r="BA121" s="66"/>
      <c r="BB121" s="66"/>
      <c r="BC121" s="66"/>
      <c r="BD121" s="71"/>
      <c r="BE121" s="71"/>
      <c r="BF121" s="71"/>
      <c r="BG121" s="71"/>
      <c r="BH121" s="71"/>
      <c r="BI121" s="71"/>
      <c r="BJ121" s="71"/>
      <c r="BK121" s="71"/>
      <c r="BL121" s="71"/>
      <c r="BM121" s="71"/>
      <c r="BN121" s="71"/>
      <c r="BO121" s="71"/>
      <c r="BP121" s="71"/>
      <c r="BQ121" s="71"/>
      <c r="BR121" s="71"/>
      <c r="BS121" s="71"/>
      <c r="BT121" s="71"/>
      <c r="BU121" s="71"/>
      <c r="BV121" s="71"/>
      <c r="BW121" s="71"/>
      <c r="BX121" s="71"/>
      <c r="BY121" s="71"/>
      <c r="BZ121" s="71"/>
      <c r="CA121" s="71"/>
      <c r="CB121" s="71"/>
      <c r="CC121" s="71"/>
      <c r="CD121" s="71"/>
      <c r="CE121" s="71"/>
      <c r="CF121" s="71"/>
      <c r="CG121" s="71"/>
      <c r="CH121" s="71"/>
      <c r="CI121" s="71"/>
      <c r="CJ121" s="71"/>
      <c r="CK121" s="71"/>
      <c r="CL121" s="71"/>
      <c r="CM121" s="71"/>
      <c r="CN121" s="71"/>
      <c r="CO121" s="71"/>
      <c r="CP121" s="71"/>
      <c r="CQ121" s="71"/>
      <c r="CR121" s="71"/>
      <c r="CS121" s="71"/>
      <c r="CT121" s="71"/>
      <c r="CU121" s="71"/>
      <c r="CV121" s="71"/>
      <c r="CW121" s="71"/>
      <c r="CX121" s="71"/>
      <c r="CY121" s="71"/>
      <c r="CZ121" s="71"/>
      <c r="DA121" s="71"/>
      <c r="DB121" s="71"/>
      <c r="DC121" s="74">
        <f t="shared" si="169"/>
        <v>0</v>
      </c>
    </row>
    <row r="122" spans="1:107" ht="15.6" thickTop="1" thickBot="1" x14ac:dyDescent="0.35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6"/>
      <c r="AA122" s="66"/>
      <c r="AB122" s="66"/>
      <c r="AC122" s="66"/>
      <c r="AD122" s="66"/>
      <c r="AE122" s="66"/>
      <c r="AF122" s="66"/>
      <c r="AG122" s="66"/>
      <c r="AH122" s="66"/>
      <c r="AI122" s="66"/>
      <c r="AJ122" s="66"/>
      <c r="AK122" s="66"/>
      <c r="AL122" s="66"/>
      <c r="AM122" s="66"/>
      <c r="AN122" s="66"/>
      <c r="AO122" s="66"/>
      <c r="AP122" s="66"/>
      <c r="AQ122" s="66"/>
      <c r="AR122" s="66"/>
      <c r="AS122" s="66"/>
      <c r="AT122" s="66"/>
      <c r="AU122" s="66"/>
      <c r="AV122" s="66"/>
      <c r="AW122" s="66"/>
      <c r="AX122" s="66"/>
      <c r="AY122" s="66"/>
      <c r="AZ122" s="66"/>
      <c r="BA122" s="66"/>
      <c r="BB122" s="66"/>
      <c r="BC122" s="66"/>
      <c r="BD122" s="71"/>
      <c r="BE122" s="71"/>
      <c r="BF122" s="71"/>
      <c r="BG122" s="71"/>
      <c r="BH122" s="71"/>
      <c r="BI122" s="71"/>
      <c r="BJ122" s="71"/>
      <c r="BK122" s="71"/>
      <c r="BL122" s="71"/>
      <c r="BM122" s="71"/>
      <c r="BN122" s="71"/>
      <c r="BO122" s="71"/>
      <c r="BP122" s="71"/>
      <c r="BQ122" s="71"/>
      <c r="BR122" s="71"/>
      <c r="BS122" s="71"/>
      <c r="BT122" s="71"/>
      <c r="BU122" s="71"/>
      <c r="BV122" s="71"/>
      <c r="BW122" s="71"/>
      <c r="BX122" s="71"/>
      <c r="BY122" s="71"/>
      <c r="BZ122" s="71"/>
      <c r="CA122" s="71"/>
      <c r="CB122" s="71"/>
      <c r="CC122" s="71"/>
      <c r="CD122" s="71"/>
      <c r="CE122" s="71"/>
      <c r="CF122" s="71"/>
      <c r="CG122" s="71"/>
      <c r="CH122" s="71"/>
      <c r="CI122" s="71"/>
      <c r="CJ122" s="71"/>
      <c r="CK122" s="71"/>
      <c r="CL122" s="71"/>
      <c r="CM122" s="71"/>
      <c r="CN122" s="71"/>
      <c r="CO122" s="71"/>
      <c r="CP122" s="71"/>
      <c r="CQ122" s="71"/>
      <c r="CR122" s="71"/>
      <c r="CS122" s="71"/>
      <c r="CT122" s="71"/>
      <c r="CU122" s="71"/>
      <c r="CV122" s="71"/>
      <c r="CW122" s="71"/>
      <c r="CX122" s="71"/>
      <c r="CY122" s="71"/>
      <c r="CZ122" s="71"/>
      <c r="DA122" s="71"/>
      <c r="DB122" s="71"/>
      <c r="DC122" s="74">
        <f t="shared" si="169"/>
        <v>0</v>
      </c>
    </row>
    <row r="123" spans="1:107" ht="15.6" thickTop="1" thickBot="1" x14ac:dyDescent="0.35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6"/>
      <c r="AA123" s="66"/>
      <c r="AB123" s="66"/>
      <c r="AC123" s="66"/>
      <c r="AD123" s="66"/>
      <c r="AE123" s="66"/>
      <c r="AF123" s="66"/>
      <c r="AG123" s="66"/>
      <c r="AH123" s="66"/>
      <c r="AI123" s="66"/>
      <c r="AJ123" s="66"/>
      <c r="AK123" s="66"/>
      <c r="AL123" s="66"/>
      <c r="AM123" s="66"/>
      <c r="AN123" s="66"/>
      <c r="AO123" s="66"/>
      <c r="AP123" s="66"/>
      <c r="AQ123" s="66"/>
      <c r="AR123" s="66"/>
      <c r="AS123" s="66"/>
      <c r="AT123" s="66"/>
      <c r="AU123" s="66"/>
      <c r="AV123" s="66"/>
      <c r="AW123" s="66"/>
      <c r="AX123" s="66"/>
      <c r="AY123" s="66"/>
      <c r="AZ123" s="66"/>
      <c r="BA123" s="66"/>
      <c r="BB123" s="66"/>
      <c r="BC123" s="66"/>
      <c r="BD123" s="71"/>
      <c r="BE123" s="71"/>
      <c r="BF123" s="71"/>
      <c r="BG123" s="71"/>
      <c r="BH123" s="71"/>
      <c r="BI123" s="71"/>
      <c r="BJ123" s="71"/>
      <c r="BK123" s="71"/>
      <c r="BL123" s="71"/>
      <c r="BM123" s="71"/>
      <c r="BN123" s="71"/>
      <c r="BO123" s="71"/>
      <c r="BP123" s="71"/>
      <c r="BQ123" s="71"/>
      <c r="BR123" s="71"/>
      <c r="BS123" s="71"/>
      <c r="BT123" s="71"/>
      <c r="BU123" s="71"/>
      <c r="BV123" s="71"/>
      <c r="BW123" s="71"/>
      <c r="BX123" s="71"/>
      <c r="BY123" s="71"/>
      <c r="BZ123" s="71"/>
      <c r="CA123" s="71"/>
      <c r="CB123" s="71"/>
      <c r="CC123" s="71"/>
      <c r="CD123" s="71"/>
      <c r="CE123" s="71"/>
      <c r="CF123" s="71"/>
      <c r="CG123" s="71"/>
      <c r="CH123" s="71"/>
      <c r="CI123" s="71"/>
      <c r="CJ123" s="71"/>
      <c r="CK123" s="71"/>
      <c r="CL123" s="71"/>
      <c r="CM123" s="71"/>
      <c r="CN123" s="71"/>
      <c r="CO123" s="71"/>
      <c r="CP123" s="71"/>
      <c r="CQ123" s="71"/>
      <c r="CR123" s="71"/>
      <c r="CS123" s="71"/>
      <c r="CT123" s="71"/>
      <c r="CU123" s="71"/>
      <c r="CV123" s="71"/>
      <c r="CW123" s="71"/>
      <c r="CX123" s="71"/>
      <c r="CY123" s="71"/>
      <c r="CZ123" s="71"/>
      <c r="DA123" s="71"/>
      <c r="DB123" s="71"/>
      <c r="DC123" s="74">
        <f t="shared" si="169"/>
        <v>0</v>
      </c>
    </row>
    <row r="124" spans="1:107" ht="15" thickTop="1" x14ac:dyDescent="0.3"/>
  </sheetData>
  <phoneticPr fontId="21" type="noConversion"/>
  <conditionalFormatting sqref="AA4">
    <cfRule type="cellIs" dxfId="551" priority="925" operator="equal">
      <formula>Z4</formula>
    </cfRule>
    <cfRule type="cellIs" dxfId="550" priority="926" operator="lessThan">
      <formula>Z4</formula>
    </cfRule>
    <cfRule type="cellIs" dxfId="549" priority="927" operator="greaterThan">
      <formula>Z4</formula>
    </cfRule>
  </conditionalFormatting>
  <conditionalFormatting sqref="AB4">
    <cfRule type="cellIs" dxfId="548" priority="913" operator="equal">
      <formula>AA4</formula>
    </cfRule>
    <cfRule type="cellIs" dxfId="547" priority="914" operator="lessThan">
      <formula>AA4</formula>
    </cfRule>
    <cfRule type="cellIs" dxfId="546" priority="915" operator="greaterThan">
      <formula>AA4</formula>
    </cfRule>
  </conditionalFormatting>
  <conditionalFormatting sqref="AC4">
    <cfRule type="cellIs" dxfId="545" priority="910" operator="equal">
      <formula>AB4</formula>
    </cfRule>
    <cfRule type="cellIs" dxfId="544" priority="911" operator="lessThan">
      <formula>AB4</formula>
    </cfRule>
    <cfRule type="cellIs" dxfId="543" priority="912" operator="greaterThan">
      <formula>AB4</formula>
    </cfRule>
  </conditionalFormatting>
  <conditionalFormatting sqref="AD4">
    <cfRule type="cellIs" dxfId="542" priority="907" operator="equal">
      <formula>AC4</formula>
    </cfRule>
    <cfRule type="cellIs" dxfId="541" priority="908" operator="lessThan">
      <formula>AC4</formula>
    </cfRule>
    <cfRule type="cellIs" dxfId="540" priority="909" operator="greaterThan">
      <formula>AC4</formula>
    </cfRule>
  </conditionalFormatting>
  <conditionalFormatting sqref="AE4">
    <cfRule type="cellIs" dxfId="539" priority="904" operator="equal">
      <formula>AD4</formula>
    </cfRule>
    <cfRule type="cellIs" dxfId="538" priority="905" operator="lessThan">
      <formula>AD4</formula>
    </cfRule>
    <cfRule type="cellIs" dxfId="537" priority="906" operator="greaterThan">
      <formula>AD4</formula>
    </cfRule>
  </conditionalFormatting>
  <conditionalFormatting sqref="AA5">
    <cfRule type="cellIs" dxfId="536" priority="901" operator="equal">
      <formula>Z5</formula>
    </cfRule>
    <cfRule type="cellIs" dxfId="535" priority="902" operator="lessThan">
      <formula>Z5</formula>
    </cfRule>
    <cfRule type="cellIs" dxfId="534" priority="903" operator="greaterThan">
      <formula>Z5</formula>
    </cfRule>
  </conditionalFormatting>
  <conditionalFormatting sqref="AB5">
    <cfRule type="cellIs" dxfId="533" priority="898" operator="equal">
      <formula>AA5</formula>
    </cfRule>
    <cfRule type="cellIs" dxfId="532" priority="899" operator="lessThan">
      <formula>AA5</formula>
    </cfRule>
    <cfRule type="cellIs" dxfId="531" priority="900" operator="greaterThan">
      <formula>AA5</formula>
    </cfRule>
  </conditionalFormatting>
  <conditionalFormatting sqref="AA6">
    <cfRule type="cellIs" dxfId="530" priority="895" operator="equal">
      <formula>Z6</formula>
    </cfRule>
    <cfRule type="cellIs" dxfId="529" priority="896" operator="lessThan">
      <formula>Z6</formula>
    </cfRule>
    <cfRule type="cellIs" dxfId="528" priority="897" operator="greaterThan">
      <formula>Z6</formula>
    </cfRule>
  </conditionalFormatting>
  <conditionalFormatting sqref="AB6">
    <cfRule type="cellIs" dxfId="527" priority="892" operator="equal">
      <formula>AA6</formula>
    </cfRule>
    <cfRule type="cellIs" dxfId="526" priority="893" operator="lessThan">
      <formula>AA6</formula>
    </cfRule>
    <cfRule type="cellIs" dxfId="525" priority="894" operator="greaterThan">
      <formula>AA6</formula>
    </cfRule>
  </conditionalFormatting>
  <conditionalFormatting sqref="AA7">
    <cfRule type="cellIs" dxfId="524" priority="889" operator="equal">
      <formula>Z7</formula>
    </cfRule>
    <cfRule type="cellIs" dxfId="523" priority="890" operator="lessThan">
      <formula>Z7</formula>
    </cfRule>
    <cfRule type="cellIs" dxfId="522" priority="891" operator="greaterThan">
      <formula>Z7</formula>
    </cfRule>
  </conditionalFormatting>
  <conditionalFormatting sqref="AB7">
    <cfRule type="cellIs" dxfId="521" priority="886" operator="equal">
      <formula>Z7</formula>
    </cfRule>
    <cfRule type="cellIs" dxfId="520" priority="887" operator="lessThan">
      <formula>Z7</formula>
    </cfRule>
    <cfRule type="cellIs" dxfId="519" priority="888" operator="greaterThan">
      <formula>Z7</formula>
    </cfRule>
  </conditionalFormatting>
  <conditionalFormatting sqref="AC7">
    <cfRule type="cellIs" dxfId="518" priority="883" operator="equal">
      <formula>AA7</formula>
    </cfRule>
    <cfRule type="cellIs" dxfId="517" priority="884" operator="lessThan">
      <formula>AA7</formula>
    </cfRule>
    <cfRule type="cellIs" dxfId="516" priority="885" operator="greaterThan">
      <formula>AA7</formula>
    </cfRule>
  </conditionalFormatting>
  <conditionalFormatting sqref="AA8">
    <cfRule type="cellIs" dxfId="515" priority="880" operator="equal">
      <formula>Z8</formula>
    </cfRule>
    <cfRule type="cellIs" dxfId="514" priority="881" operator="lessThan">
      <formula>Z8</formula>
    </cfRule>
    <cfRule type="cellIs" dxfId="513" priority="882" operator="greaterThan">
      <formula>Z8</formula>
    </cfRule>
  </conditionalFormatting>
  <conditionalFormatting sqref="AB8">
    <cfRule type="cellIs" dxfId="512" priority="877" operator="equal">
      <formula>AA8</formula>
    </cfRule>
    <cfRule type="cellIs" dxfId="511" priority="878" operator="lessThan">
      <formula>AA8</formula>
    </cfRule>
    <cfRule type="cellIs" dxfId="510" priority="879" operator="greaterThan">
      <formula>AA8</formula>
    </cfRule>
  </conditionalFormatting>
  <conditionalFormatting sqref="AA9">
    <cfRule type="cellIs" dxfId="509" priority="874" operator="equal">
      <formula>Z9</formula>
    </cfRule>
    <cfRule type="cellIs" dxfId="508" priority="875" operator="lessThan">
      <formula>Z9</formula>
    </cfRule>
    <cfRule type="cellIs" dxfId="507" priority="876" operator="greaterThan">
      <formula>Z9</formula>
    </cfRule>
  </conditionalFormatting>
  <conditionalFormatting sqref="AB9">
    <cfRule type="cellIs" dxfId="506" priority="871" operator="equal">
      <formula>AA9</formula>
    </cfRule>
    <cfRule type="cellIs" dxfId="505" priority="872" operator="lessThan">
      <formula>AA9</formula>
    </cfRule>
    <cfRule type="cellIs" dxfId="504" priority="873" operator="greaterThan">
      <formula>AA9</formula>
    </cfRule>
  </conditionalFormatting>
  <conditionalFormatting sqref="AA10">
    <cfRule type="cellIs" dxfId="503" priority="868" operator="equal">
      <formula>Z10</formula>
    </cfRule>
    <cfRule type="cellIs" dxfId="502" priority="869" operator="lessThan">
      <formula>Z10</formula>
    </cfRule>
    <cfRule type="cellIs" dxfId="501" priority="870" operator="greaterThan">
      <formula>Z10</formula>
    </cfRule>
  </conditionalFormatting>
  <conditionalFormatting sqref="AB10">
    <cfRule type="cellIs" dxfId="500" priority="865" operator="equal">
      <formula>AA10</formula>
    </cfRule>
    <cfRule type="cellIs" dxfId="499" priority="866" operator="lessThan">
      <formula>AA10</formula>
    </cfRule>
    <cfRule type="cellIs" dxfId="498" priority="867" operator="greaterThan">
      <formula>AA10</formula>
    </cfRule>
  </conditionalFormatting>
  <conditionalFormatting sqref="AC10">
    <cfRule type="cellIs" dxfId="497" priority="862" operator="equal">
      <formula>AB10</formula>
    </cfRule>
    <cfRule type="cellIs" dxfId="496" priority="863" operator="lessThan">
      <formula>AB10</formula>
    </cfRule>
    <cfRule type="cellIs" dxfId="495" priority="864" operator="greaterThan">
      <formula>AB10</formula>
    </cfRule>
  </conditionalFormatting>
  <conditionalFormatting sqref="AA11">
    <cfRule type="cellIs" dxfId="494" priority="859" operator="equal">
      <formula>Z11</formula>
    </cfRule>
    <cfRule type="cellIs" dxfId="493" priority="860" operator="lessThan">
      <formula>Z11</formula>
    </cfRule>
    <cfRule type="cellIs" dxfId="492" priority="861" operator="greaterThan">
      <formula>Z11</formula>
    </cfRule>
  </conditionalFormatting>
  <conditionalFormatting sqref="AB11">
    <cfRule type="cellIs" dxfId="491" priority="856" operator="equal">
      <formula>AA11</formula>
    </cfRule>
    <cfRule type="cellIs" dxfId="490" priority="857" operator="lessThan">
      <formula>AA11</formula>
    </cfRule>
    <cfRule type="cellIs" dxfId="489" priority="858" operator="greaterThan">
      <formula>AA11</formula>
    </cfRule>
  </conditionalFormatting>
  <conditionalFormatting sqref="AC11">
    <cfRule type="cellIs" dxfId="488" priority="853" operator="equal">
      <formula>AB11</formula>
    </cfRule>
    <cfRule type="cellIs" dxfId="487" priority="854" operator="lessThan">
      <formula>AB11</formula>
    </cfRule>
    <cfRule type="cellIs" dxfId="486" priority="855" operator="greaterThan">
      <formula>AB11</formula>
    </cfRule>
  </conditionalFormatting>
  <conditionalFormatting sqref="AA12">
    <cfRule type="cellIs" dxfId="485" priority="850" operator="equal">
      <formula>Z12</formula>
    </cfRule>
    <cfRule type="cellIs" dxfId="484" priority="851" operator="lessThan">
      <formula>Z12</formula>
    </cfRule>
    <cfRule type="cellIs" dxfId="483" priority="852" operator="greaterThan">
      <formula>Z12</formula>
    </cfRule>
  </conditionalFormatting>
  <conditionalFormatting sqref="AB12">
    <cfRule type="cellIs" dxfId="482" priority="847" operator="equal">
      <formula>AA12</formula>
    </cfRule>
    <cfRule type="cellIs" dxfId="481" priority="848" operator="lessThan">
      <formula>AA12</formula>
    </cfRule>
    <cfRule type="cellIs" dxfId="480" priority="849" operator="greaterThan">
      <formula>AA12</formula>
    </cfRule>
  </conditionalFormatting>
  <conditionalFormatting sqref="AC12">
    <cfRule type="cellIs" dxfId="479" priority="844" operator="equal">
      <formula>AB12</formula>
    </cfRule>
    <cfRule type="cellIs" dxfId="478" priority="845" operator="lessThan">
      <formula>AB12</formula>
    </cfRule>
    <cfRule type="cellIs" dxfId="477" priority="846" operator="greaterThan">
      <formula>AB12</formula>
    </cfRule>
  </conditionalFormatting>
  <conditionalFormatting sqref="AD12">
    <cfRule type="cellIs" dxfId="476" priority="841" operator="equal">
      <formula>AC12</formula>
    </cfRule>
    <cfRule type="cellIs" dxfId="475" priority="842" operator="lessThan">
      <formula>AC12</formula>
    </cfRule>
    <cfRule type="cellIs" dxfId="474" priority="843" operator="greaterThan">
      <formula>AC12</formula>
    </cfRule>
  </conditionalFormatting>
  <conditionalFormatting sqref="AA13">
    <cfRule type="cellIs" dxfId="473" priority="838" operator="equal">
      <formula>Z13</formula>
    </cfRule>
    <cfRule type="cellIs" dxfId="472" priority="839" operator="lessThan">
      <formula>Z13</formula>
    </cfRule>
    <cfRule type="cellIs" dxfId="471" priority="840" operator="greaterThan">
      <formula>Z13</formula>
    </cfRule>
  </conditionalFormatting>
  <conditionalFormatting sqref="AB13">
    <cfRule type="cellIs" dxfId="470" priority="835" operator="equal">
      <formula>AA13</formula>
    </cfRule>
    <cfRule type="cellIs" dxfId="469" priority="836" operator="lessThan">
      <formula>AA13</formula>
    </cfRule>
    <cfRule type="cellIs" dxfId="468" priority="837" operator="greaterThan">
      <formula>AA13</formula>
    </cfRule>
  </conditionalFormatting>
  <conditionalFormatting sqref="AC13">
    <cfRule type="cellIs" dxfId="467" priority="832" operator="equal">
      <formula>AB13</formula>
    </cfRule>
    <cfRule type="cellIs" dxfId="466" priority="833" operator="lessThan">
      <formula>AB13</formula>
    </cfRule>
    <cfRule type="cellIs" dxfId="465" priority="834" operator="greaterThan">
      <formula>AB13</formula>
    </cfRule>
  </conditionalFormatting>
  <conditionalFormatting sqref="AD13">
    <cfRule type="cellIs" dxfId="464" priority="829" operator="equal">
      <formula>AC13</formula>
    </cfRule>
    <cfRule type="cellIs" dxfId="463" priority="830" operator="lessThan">
      <formula>AC13</formula>
    </cfRule>
    <cfRule type="cellIs" dxfId="462" priority="831" operator="greaterThan">
      <formula>AC13</formula>
    </cfRule>
  </conditionalFormatting>
  <conditionalFormatting sqref="AE13">
    <cfRule type="cellIs" dxfId="461" priority="826" operator="equal">
      <formula>AD13</formula>
    </cfRule>
    <cfRule type="cellIs" dxfId="460" priority="827" operator="lessThan">
      <formula>AD13</formula>
    </cfRule>
    <cfRule type="cellIs" dxfId="459" priority="828" operator="greaterThan">
      <formula>AD13</formula>
    </cfRule>
  </conditionalFormatting>
  <conditionalFormatting sqref="AA15">
    <cfRule type="cellIs" dxfId="458" priority="823" operator="equal">
      <formula>Z15</formula>
    </cfRule>
    <cfRule type="cellIs" dxfId="457" priority="824" operator="lessThan">
      <formula>Z15</formula>
    </cfRule>
    <cfRule type="cellIs" dxfId="456" priority="825" operator="greaterThan">
      <formula>Z15</formula>
    </cfRule>
  </conditionalFormatting>
  <conditionalFormatting sqref="AB15">
    <cfRule type="cellIs" dxfId="455" priority="820" operator="equal">
      <formula>AA15</formula>
    </cfRule>
    <cfRule type="cellIs" dxfId="454" priority="821" operator="lessThan">
      <formula>AA15</formula>
    </cfRule>
    <cfRule type="cellIs" dxfId="453" priority="822" operator="greaterThan">
      <formula>AA15</formula>
    </cfRule>
  </conditionalFormatting>
  <conditionalFormatting sqref="AC15">
    <cfRule type="cellIs" dxfId="452" priority="817" operator="equal">
      <formula>AB15</formula>
    </cfRule>
    <cfRule type="cellIs" dxfId="451" priority="818" operator="lessThan">
      <formula>AB15</formula>
    </cfRule>
    <cfRule type="cellIs" dxfId="450" priority="819" operator="greaterThan">
      <formula>AB15</formula>
    </cfRule>
  </conditionalFormatting>
  <conditionalFormatting sqref="AD15">
    <cfRule type="cellIs" dxfId="449" priority="814" operator="equal">
      <formula>AC15</formula>
    </cfRule>
    <cfRule type="cellIs" dxfId="448" priority="815" operator="lessThan">
      <formula>AC15</formula>
    </cfRule>
    <cfRule type="cellIs" dxfId="447" priority="816" operator="greaterThan">
      <formula>AC15</formula>
    </cfRule>
  </conditionalFormatting>
  <conditionalFormatting sqref="AE15">
    <cfRule type="cellIs" dxfId="446" priority="811" operator="equal">
      <formula>AD15</formula>
    </cfRule>
    <cfRule type="cellIs" dxfId="445" priority="812" operator="lessThan">
      <formula>AD15</formula>
    </cfRule>
    <cfRule type="cellIs" dxfId="444" priority="813" operator="greaterThan">
      <formula>AD15</formula>
    </cfRule>
  </conditionalFormatting>
  <conditionalFormatting sqref="AA14">
    <cfRule type="cellIs" dxfId="443" priority="808" operator="equal">
      <formula>Z14</formula>
    </cfRule>
    <cfRule type="cellIs" dxfId="442" priority="809" operator="lessThan">
      <formula>Z14</formula>
    </cfRule>
    <cfRule type="cellIs" dxfId="441" priority="810" operator="greaterThan">
      <formula>Z14</formula>
    </cfRule>
  </conditionalFormatting>
  <conditionalFormatting sqref="AB14">
    <cfRule type="cellIs" dxfId="440" priority="805" operator="equal">
      <formula>AA14</formula>
    </cfRule>
    <cfRule type="cellIs" dxfId="439" priority="806" operator="lessThan">
      <formula>AA14</formula>
    </cfRule>
    <cfRule type="cellIs" dxfId="438" priority="807" operator="greaterThan">
      <formula>AA14</formula>
    </cfRule>
  </conditionalFormatting>
  <conditionalFormatting sqref="AC14">
    <cfRule type="cellIs" dxfId="437" priority="802" operator="equal">
      <formula>AB14</formula>
    </cfRule>
    <cfRule type="cellIs" dxfId="436" priority="803" operator="lessThan">
      <formula>AB14</formula>
    </cfRule>
    <cfRule type="cellIs" dxfId="435" priority="804" operator="greaterThan">
      <formula>AB14</formula>
    </cfRule>
  </conditionalFormatting>
  <conditionalFormatting sqref="AD14">
    <cfRule type="cellIs" dxfId="434" priority="799" operator="equal">
      <formula>AC14</formula>
    </cfRule>
    <cfRule type="cellIs" dxfId="433" priority="800" operator="lessThan">
      <formula>AC14</formula>
    </cfRule>
    <cfRule type="cellIs" dxfId="432" priority="801" operator="greaterThan">
      <formula>AC14</formula>
    </cfRule>
  </conditionalFormatting>
  <conditionalFormatting sqref="AA16">
    <cfRule type="cellIs" dxfId="431" priority="796" operator="equal">
      <formula>Z16</formula>
    </cfRule>
    <cfRule type="cellIs" dxfId="430" priority="797" operator="lessThan">
      <formula>Z16</formula>
    </cfRule>
    <cfRule type="cellIs" dxfId="429" priority="798" operator="greaterThan">
      <formula>Z16</formula>
    </cfRule>
  </conditionalFormatting>
  <conditionalFormatting sqref="AB16">
    <cfRule type="cellIs" dxfId="428" priority="793" operator="equal">
      <formula>AA16</formula>
    </cfRule>
    <cfRule type="cellIs" dxfId="427" priority="794" operator="lessThan">
      <formula>AA16</formula>
    </cfRule>
    <cfRule type="cellIs" dxfId="426" priority="795" operator="greaterThan">
      <formula>AA16</formula>
    </cfRule>
  </conditionalFormatting>
  <conditionalFormatting sqref="AA17">
    <cfRule type="cellIs" dxfId="425" priority="790" operator="equal">
      <formula>Z17</formula>
    </cfRule>
    <cfRule type="cellIs" dxfId="424" priority="791" operator="lessThan">
      <formula>Z17</formula>
    </cfRule>
    <cfRule type="cellIs" dxfId="423" priority="792" operator="greaterThan">
      <formula>Z17</formula>
    </cfRule>
  </conditionalFormatting>
  <conditionalFormatting sqref="AB17">
    <cfRule type="cellIs" dxfId="422" priority="787" operator="equal">
      <formula>AA17</formula>
    </cfRule>
    <cfRule type="cellIs" dxfId="421" priority="788" operator="lessThan">
      <formula>AA17</formula>
    </cfRule>
    <cfRule type="cellIs" dxfId="420" priority="789" operator="greaterThan">
      <formula>AA17</formula>
    </cfRule>
  </conditionalFormatting>
  <conditionalFormatting sqref="AA18">
    <cfRule type="cellIs" dxfId="419" priority="784" operator="equal">
      <formula>Z18</formula>
    </cfRule>
    <cfRule type="cellIs" dxfId="418" priority="785" operator="lessThan">
      <formula>Z18</formula>
    </cfRule>
    <cfRule type="cellIs" dxfId="417" priority="786" operator="greaterThan">
      <formula>Z18</formula>
    </cfRule>
  </conditionalFormatting>
  <conditionalFormatting sqref="AB18">
    <cfRule type="cellIs" dxfId="416" priority="781" operator="equal">
      <formula>AA18</formula>
    </cfRule>
    <cfRule type="cellIs" dxfId="415" priority="782" operator="lessThan">
      <formula>AA18</formula>
    </cfRule>
    <cfRule type="cellIs" dxfId="414" priority="783" operator="greaterThan">
      <formula>AA18</formula>
    </cfRule>
  </conditionalFormatting>
  <conditionalFormatting sqref="AC18">
    <cfRule type="cellIs" dxfId="413" priority="778" operator="equal">
      <formula>AB18</formula>
    </cfRule>
    <cfRule type="cellIs" dxfId="412" priority="779" operator="lessThan">
      <formula>AB18</formula>
    </cfRule>
    <cfRule type="cellIs" dxfId="411" priority="780" operator="greaterThan">
      <formula>AB18</formula>
    </cfRule>
  </conditionalFormatting>
  <conditionalFormatting sqref="AA20">
    <cfRule type="cellIs" dxfId="410" priority="775" operator="equal">
      <formula>Z20</formula>
    </cfRule>
    <cfRule type="cellIs" dxfId="409" priority="776" operator="lessThan">
      <formula>Z20</formula>
    </cfRule>
    <cfRule type="cellIs" dxfId="408" priority="777" operator="greaterThan">
      <formula>Z20</formula>
    </cfRule>
  </conditionalFormatting>
  <conditionalFormatting sqref="AB20">
    <cfRule type="cellIs" dxfId="407" priority="772" operator="equal">
      <formula>AA20</formula>
    </cfRule>
    <cfRule type="cellIs" dxfId="406" priority="773" operator="lessThan">
      <formula>AA20</formula>
    </cfRule>
    <cfRule type="cellIs" dxfId="405" priority="774" operator="greaterThan">
      <formula>AA20</formula>
    </cfRule>
  </conditionalFormatting>
  <conditionalFormatting sqref="AC20">
    <cfRule type="cellIs" dxfId="404" priority="769" operator="equal">
      <formula>AB20</formula>
    </cfRule>
    <cfRule type="cellIs" dxfId="403" priority="770" operator="lessThan">
      <formula>AB20</formula>
    </cfRule>
    <cfRule type="cellIs" dxfId="402" priority="771" operator="greaterThan">
      <formula>AB20</formula>
    </cfRule>
  </conditionalFormatting>
  <conditionalFormatting sqref="AA19">
    <cfRule type="cellIs" dxfId="401" priority="766" operator="equal">
      <formula>Z19</formula>
    </cfRule>
    <cfRule type="cellIs" dxfId="400" priority="767" operator="lessThan">
      <formula>Z19</formula>
    </cfRule>
    <cfRule type="cellIs" dxfId="399" priority="768" operator="greaterThan">
      <formula>Z19</formula>
    </cfRule>
  </conditionalFormatting>
  <conditionalFormatting sqref="AB19">
    <cfRule type="cellIs" dxfId="398" priority="763" operator="equal">
      <formula>AA19</formula>
    </cfRule>
    <cfRule type="cellIs" dxfId="397" priority="764" operator="lessThan">
      <formula>AA19</formula>
    </cfRule>
    <cfRule type="cellIs" dxfId="396" priority="765" operator="greaterThan">
      <formula>AA19</formula>
    </cfRule>
  </conditionalFormatting>
  <conditionalFormatting sqref="AC19">
    <cfRule type="cellIs" dxfId="395" priority="760" operator="equal">
      <formula>AB19</formula>
    </cfRule>
    <cfRule type="cellIs" dxfId="394" priority="761" operator="lessThan">
      <formula>AB19</formula>
    </cfRule>
    <cfRule type="cellIs" dxfId="393" priority="762" operator="greaterThan">
      <formula>AB19</formula>
    </cfRule>
  </conditionalFormatting>
  <conditionalFormatting sqref="AD19">
    <cfRule type="cellIs" dxfId="392" priority="757" operator="equal">
      <formula>AC19</formula>
    </cfRule>
    <cfRule type="cellIs" dxfId="391" priority="758" operator="lessThan">
      <formula>AC19</formula>
    </cfRule>
    <cfRule type="cellIs" dxfId="390" priority="759" operator="greaterThan">
      <formula>AC19</formula>
    </cfRule>
  </conditionalFormatting>
  <conditionalFormatting sqref="AA21">
    <cfRule type="cellIs" dxfId="389" priority="754" operator="equal">
      <formula>Z21</formula>
    </cfRule>
    <cfRule type="cellIs" dxfId="388" priority="755" operator="lessThan">
      <formula>Z21</formula>
    </cfRule>
    <cfRule type="cellIs" dxfId="387" priority="756" operator="greaterThan">
      <formula>Z21</formula>
    </cfRule>
  </conditionalFormatting>
  <conditionalFormatting sqref="AB21">
    <cfRule type="cellIs" dxfId="386" priority="751" operator="equal">
      <formula>AA21</formula>
    </cfRule>
    <cfRule type="cellIs" dxfId="385" priority="752" operator="lessThan">
      <formula>AA21</formula>
    </cfRule>
    <cfRule type="cellIs" dxfId="384" priority="753" operator="greaterThan">
      <formula>AA21</formula>
    </cfRule>
  </conditionalFormatting>
  <conditionalFormatting sqref="AC21">
    <cfRule type="cellIs" dxfId="383" priority="748" operator="equal">
      <formula>AB21</formula>
    </cfRule>
    <cfRule type="cellIs" dxfId="382" priority="749" operator="lessThan">
      <formula>AB21</formula>
    </cfRule>
    <cfRule type="cellIs" dxfId="381" priority="750" operator="greaterThan">
      <formula>AB21</formula>
    </cfRule>
  </conditionalFormatting>
  <conditionalFormatting sqref="AD21">
    <cfRule type="cellIs" dxfId="380" priority="745" operator="equal">
      <formula>AC21</formula>
    </cfRule>
    <cfRule type="cellIs" dxfId="379" priority="746" operator="lessThan">
      <formula>AC21</formula>
    </cfRule>
    <cfRule type="cellIs" dxfId="378" priority="747" operator="greaterThan">
      <formula>AC21</formula>
    </cfRule>
  </conditionalFormatting>
  <conditionalFormatting sqref="AA23">
    <cfRule type="cellIs" dxfId="377" priority="742" operator="equal">
      <formula>Z23</formula>
    </cfRule>
    <cfRule type="cellIs" dxfId="376" priority="743" operator="lessThan">
      <formula>Z23</formula>
    </cfRule>
    <cfRule type="cellIs" dxfId="375" priority="744" operator="greaterThan">
      <formula>Z23</formula>
    </cfRule>
  </conditionalFormatting>
  <conditionalFormatting sqref="AB23">
    <cfRule type="cellIs" dxfId="374" priority="739" operator="equal">
      <formula>AA23</formula>
    </cfRule>
    <cfRule type="cellIs" dxfId="373" priority="740" operator="lessThan">
      <formula>AA23</formula>
    </cfRule>
    <cfRule type="cellIs" dxfId="372" priority="741" operator="greaterThan">
      <formula>AA23</formula>
    </cfRule>
  </conditionalFormatting>
  <conditionalFormatting sqref="AC23">
    <cfRule type="cellIs" dxfId="371" priority="736" operator="equal">
      <formula>AB23</formula>
    </cfRule>
    <cfRule type="cellIs" dxfId="370" priority="737" operator="lessThan">
      <formula>AB23</formula>
    </cfRule>
    <cfRule type="cellIs" dxfId="369" priority="738" operator="greaterThan">
      <formula>AB23</formula>
    </cfRule>
  </conditionalFormatting>
  <conditionalFormatting sqref="AA25">
    <cfRule type="cellIs" dxfId="368" priority="733" operator="equal">
      <formula>Z25</formula>
    </cfRule>
    <cfRule type="cellIs" dxfId="367" priority="734" operator="lessThan">
      <formula>Z25</formula>
    </cfRule>
    <cfRule type="cellIs" dxfId="366" priority="735" operator="greaterThan">
      <formula>Z25</formula>
    </cfRule>
  </conditionalFormatting>
  <conditionalFormatting sqref="AB25">
    <cfRule type="cellIs" dxfId="365" priority="730" operator="equal">
      <formula>AA25</formula>
    </cfRule>
    <cfRule type="cellIs" dxfId="364" priority="731" operator="lessThan">
      <formula>AA25</formula>
    </cfRule>
    <cfRule type="cellIs" dxfId="363" priority="732" operator="greaterThan">
      <formula>AA25</formula>
    </cfRule>
  </conditionalFormatting>
  <conditionalFormatting sqref="AC25">
    <cfRule type="cellIs" dxfId="362" priority="727" operator="equal">
      <formula>AB25</formula>
    </cfRule>
    <cfRule type="cellIs" dxfId="361" priority="728" operator="lessThan">
      <formula>AB25</formula>
    </cfRule>
    <cfRule type="cellIs" dxfId="360" priority="729" operator="greaterThan">
      <formula>AB25</formula>
    </cfRule>
  </conditionalFormatting>
  <conditionalFormatting sqref="AA22">
    <cfRule type="cellIs" dxfId="359" priority="724" operator="equal">
      <formula>Z22</formula>
    </cfRule>
    <cfRule type="cellIs" dxfId="358" priority="725" operator="lessThan">
      <formula>Z22</formula>
    </cfRule>
    <cfRule type="cellIs" dxfId="357" priority="726" operator="greaterThan">
      <formula>Z22</formula>
    </cfRule>
  </conditionalFormatting>
  <conditionalFormatting sqref="AB22">
    <cfRule type="cellIs" dxfId="356" priority="721" operator="equal">
      <formula>AA22</formula>
    </cfRule>
    <cfRule type="cellIs" dxfId="355" priority="722" operator="lessThan">
      <formula>AA22</formula>
    </cfRule>
    <cfRule type="cellIs" dxfId="354" priority="723" operator="greaterThan">
      <formula>AA22</formula>
    </cfRule>
  </conditionalFormatting>
  <conditionalFormatting sqref="AA24">
    <cfRule type="cellIs" dxfId="353" priority="718" operator="equal">
      <formula>Z24</formula>
    </cfRule>
    <cfRule type="cellIs" dxfId="352" priority="719" operator="lessThan">
      <formula>Z24</formula>
    </cfRule>
    <cfRule type="cellIs" dxfId="351" priority="720" operator="greaterThan">
      <formula>Z24</formula>
    </cfRule>
  </conditionalFormatting>
  <conditionalFormatting sqref="AB24">
    <cfRule type="cellIs" dxfId="350" priority="715" operator="equal">
      <formula>AA24</formula>
    </cfRule>
    <cfRule type="cellIs" dxfId="349" priority="716" operator="lessThan">
      <formula>AA24</formula>
    </cfRule>
    <cfRule type="cellIs" dxfId="348" priority="717" operator="greaterThan">
      <formula>AA24</formula>
    </cfRule>
  </conditionalFormatting>
  <conditionalFormatting sqref="AA26">
    <cfRule type="cellIs" dxfId="347" priority="712" operator="equal">
      <formula>Z26</formula>
    </cfRule>
    <cfRule type="cellIs" dxfId="346" priority="713" operator="lessThan">
      <formula>Z26</formula>
    </cfRule>
    <cfRule type="cellIs" dxfId="345" priority="714" operator="greaterThan">
      <formula>Z26</formula>
    </cfRule>
  </conditionalFormatting>
  <conditionalFormatting sqref="AK27">
    <cfRule type="cellIs" dxfId="344" priority="706" operator="equal">
      <formula>Z27</formula>
    </cfRule>
    <cfRule type="cellIs" dxfId="343" priority="707" operator="lessThan">
      <formula>Z27</formula>
    </cfRule>
    <cfRule type="cellIs" dxfId="342" priority="708" operator="greaterThan">
      <formula>Z27</formula>
    </cfRule>
  </conditionalFormatting>
  <conditionalFormatting sqref="AH40">
    <cfRule type="cellIs" dxfId="341" priority="427" operator="lessThan">
      <formula>0</formula>
    </cfRule>
  </conditionalFormatting>
  <conditionalFormatting sqref="AB44">
    <cfRule type="cellIs" dxfId="340" priority="399" operator="lessThan">
      <formula>0</formula>
    </cfRule>
  </conditionalFormatting>
  <conditionalFormatting sqref="AC44">
    <cfRule type="cellIs" dxfId="339" priority="398" operator="lessThan">
      <formula>0</formula>
    </cfRule>
  </conditionalFormatting>
  <conditionalFormatting sqref="AD44">
    <cfRule type="cellIs" dxfId="338" priority="397" operator="lessThan">
      <formula>0</formula>
    </cfRule>
  </conditionalFormatting>
  <conditionalFormatting sqref="AE44">
    <cfRule type="cellIs" dxfId="337" priority="396" operator="lessThan">
      <formula>0</formula>
    </cfRule>
  </conditionalFormatting>
  <conditionalFormatting sqref="AF44">
    <cfRule type="cellIs" dxfId="336" priority="395" operator="lessThan">
      <formula>0</formula>
    </cfRule>
  </conditionalFormatting>
  <conditionalFormatting sqref="AG44">
    <cfRule type="cellIs" dxfId="335" priority="394" operator="lessThan">
      <formula>0</formula>
    </cfRule>
  </conditionalFormatting>
  <conditionalFormatting sqref="AH44">
    <cfRule type="cellIs" dxfId="334" priority="393" operator="lessThan">
      <formula>0</formula>
    </cfRule>
  </conditionalFormatting>
  <conditionalFormatting sqref="AI44">
    <cfRule type="cellIs" dxfId="333" priority="392" operator="lessThan">
      <formula>0</formula>
    </cfRule>
  </conditionalFormatting>
  <conditionalFormatting sqref="AJ44">
    <cfRule type="cellIs" dxfId="332" priority="391" operator="lessThan">
      <formula>0</formula>
    </cfRule>
  </conditionalFormatting>
  <conditionalFormatting sqref="AK44">
    <cfRule type="cellIs" dxfId="331" priority="390" operator="lessThan">
      <formula>0</formula>
    </cfRule>
  </conditionalFormatting>
  <conditionalFormatting sqref="AL44">
    <cfRule type="cellIs" dxfId="330" priority="389" operator="lessThan">
      <formula>0</formula>
    </cfRule>
  </conditionalFormatting>
  <conditionalFormatting sqref="AM44">
    <cfRule type="cellIs" dxfId="329" priority="388" operator="lessThan">
      <formula>0</formula>
    </cfRule>
  </conditionalFormatting>
  <conditionalFormatting sqref="AN44">
    <cfRule type="cellIs" dxfId="328" priority="387" operator="lessThan">
      <formula>0</formula>
    </cfRule>
  </conditionalFormatting>
  <conditionalFormatting sqref="AO44">
    <cfRule type="cellIs" dxfId="327" priority="386" operator="lessThan">
      <formula>0</formula>
    </cfRule>
  </conditionalFormatting>
  <conditionalFormatting sqref="AP44">
    <cfRule type="cellIs" dxfId="326" priority="385" operator="lessThan">
      <formula>0</formula>
    </cfRule>
  </conditionalFormatting>
  <conditionalFormatting sqref="AQ44">
    <cfRule type="cellIs" dxfId="325" priority="384" operator="lessThan">
      <formula>0</formula>
    </cfRule>
  </conditionalFormatting>
  <conditionalFormatting sqref="AR44">
    <cfRule type="cellIs" dxfId="324" priority="383" operator="lessThan">
      <formula>0</formula>
    </cfRule>
  </conditionalFormatting>
  <conditionalFormatting sqref="AS44">
    <cfRule type="cellIs" dxfId="323" priority="382" operator="lessThan">
      <formula>0</formula>
    </cfRule>
  </conditionalFormatting>
  <conditionalFormatting sqref="AA44">
    <cfRule type="cellIs" dxfId="322" priority="379" operator="equal">
      <formula>Z44</formula>
    </cfRule>
    <cfRule type="cellIs" dxfId="321" priority="380" operator="lessThan">
      <formula>Z44</formula>
    </cfRule>
    <cfRule type="cellIs" dxfId="320" priority="381" operator="greaterThan">
      <formula>Z44</formula>
    </cfRule>
  </conditionalFormatting>
  <conditionalFormatting sqref="AT44:AU44">
    <cfRule type="cellIs" dxfId="319" priority="378" operator="lessThan">
      <formula>0</formula>
    </cfRule>
  </conditionalFormatting>
  <conditionalFormatting sqref="AB45">
    <cfRule type="cellIs" dxfId="318" priority="375" operator="equal">
      <formula>Z45</formula>
    </cfRule>
    <cfRule type="cellIs" dxfId="317" priority="376" operator="lessThan">
      <formula>Z45</formula>
    </cfRule>
    <cfRule type="cellIs" dxfId="316" priority="377" operator="greaterThan">
      <formula>Z45</formula>
    </cfRule>
  </conditionalFormatting>
  <conditionalFormatting sqref="AC45">
    <cfRule type="cellIs" dxfId="315" priority="372" operator="equal">
      <formula>AA45</formula>
    </cfRule>
    <cfRule type="cellIs" dxfId="314" priority="373" operator="lessThan">
      <formula>AA45</formula>
    </cfRule>
    <cfRule type="cellIs" dxfId="313" priority="374" operator="greaterThan">
      <formula>AA45</formula>
    </cfRule>
  </conditionalFormatting>
  <conditionalFormatting sqref="AD45">
    <cfRule type="cellIs" dxfId="312" priority="369" operator="equal">
      <formula>AB45</formula>
    </cfRule>
    <cfRule type="cellIs" dxfId="311" priority="370" operator="lessThan">
      <formula>AB45</formula>
    </cfRule>
    <cfRule type="cellIs" dxfId="310" priority="371" operator="greaterThan">
      <formula>AB45</formula>
    </cfRule>
  </conditionalFormatting>
  <conditionalFormatting sqref="AE45">
    <cfRule type="cellIs" dxfId="309" priority="366" operator="equal">
      <formula>AC45</formula>
    </cfRule>
    <cfRule type="cellIs" dxfId="308" priority="367" operator="lessThan">
      <formula>AC45</formula>
    </cfRule>
    <cfRule type="cellIs" dxfId="307" priority="368" operator="greaterThan">
      <formula>AC45</formula>
    </cfRule>
  </conditionalFormatting>
  <conditionalFormatting sqref="AF45">
    <cfRule type="cellIs" dxfId="306" priority="363" operator="equal">
      <formula>AA45</formula>
    </cfRule>
    <cfRule type="cellIs" dxfId="305" priority="364" operator="lessThan">
      <formula>AA45</formula>
    </cfRule>
    <cfRule type="cellIs" dxfId="304" priority="365" operator="greaterThan">
      <formula>AA45</formula>
    </cfRule>
  </conditionalFormatting>
  <conditionalFormatting sqref="AA46">
    <cfRule type="cellIs" dxfId="303" priority="360" operator="equal">
      <formula>Z46</formula>
    </cfRule>
    <cfRule type="cellIs" dxfId="302" priority="361" operator="lessThan">
      <formula>Z46</formula>
    </cfRule>
    <cfRule type="cellIs" dxfId="301" priority="362" operator="greaterThan">
      <formula>Z46</formula>
    </cfRule>
  </conditionalFormatting>
  <conditionalFormatting sqref="AB46">
    <cfRule type="cellIs" dxfId="300" priority="357" operator="equal">
      <formula>AA46</formula>
    </cfRule>
    <cfRule type="cellIs" dxfId="299" priority="358" operator="lessThan">
      <formula>AA46</formula>
    </cfRule>
    <cfRule type="cellIs" dxfId="298" priority="359" operator="greaterThan">
      <formula>AA46</formula>
    </cfRule>
  </conditionalFormatting>
  <conditionalFormatting sqref="AC46">
    <cfRule type="cellIs" dxfId="297" priority="354" operator="equal">
      <formula>AB46</formula>
    </cfRule>
    <cfRule type="cellIs" dxfId="296" priority="355" operator="lessThan">
      <formula>AB46</formula>
    </cfRule>
    <cfRule type="cellIs" dxfId="295" priority="356" operator="greaterThan">
      <formula>AB46</formula>
    </cfRule>
  </conditionalFormatting>
  <conditionalFormatting sqref="AB47">
    <cfRule type="cellIs" dxfId="294" priority="351" operator="equal">
      <formula>AA47</formula>
    </cfRule>
    <cfRule type="cellIs" dxfId="293" priority="352" operator="lessThan">
      <formula>AA47</formula>
    </cfRule>
    <cfRule type="cellIs" dxfId="292" priority="353" operator="greaterThan">
      <formula>AA47</formula>
    </cfRule>
  </conditionalFormatting>
  <conditionalFormatting sqref="AD47">
    <cfRule type="cellIs" dxfId="291" priority="348" operator="equal">
      <formula>Z47</formula>
    </cfRule>
    <cfRule type="cellIs" dxfId="290" priority="349" operator="lessThan">
      <formula>Z47</formula>
    </cfRule>
    <cfRule type="cellIs" dxfId="289" priority="350" operator="greaterThan">
      <formula>Z47</formula>
    </cfRule>
  </conditionalFormatting>
  <conditionalFormatting sqref="AA48">
    <cfRule type="cellIs" dxfId="288" priority="345" operator="equal">
      <formula>Z48</formula>
    </cfRule>
    <cfRule type="cellIs" dxfId="287" priority="346" operator="lessThan">
      <formula>Z48</formula>
    </cfRule>
    <cfRule type="cellIs" dxfId="286" priority="347" operator="greaterThan">
      <formula>Z48</formula>
    </cfRule>
  </conditionalFormatting>
  <conditionalFormatting sqref="AB48">
    <cfRule type="cellIs" dxfId="285" priority="342" operator="equal">
      <formula>Z48</formula>
    </cfRule>
    <cfRule type="cellIs" dxfId="284" priority="343" operator="lessThan">
      <formula>Z48</formula>
    </cfRule>
    <cfRule type="cellIs" dxfId="283" priority="344" operator="greaterThan">
      <formula>Z48</formula>
    </cfRule>
  </conditionalFormatting>
  <conditionalFormatting sqref="AA49">
    <cfRule type="cellIs" dxfId="282" priority="339" operator="equal">
      <formula>Z49</formula>
    </cfRule>
    <cfRule type="cellIs" dxfId="281" priority="340" operator="lessThan">
      <formula>Z49</formula>
    </cfRule>
    <cfRule type="cellIs" dxfId="280" priority="341" operator="greaterThan">
      <formula>Z49</formula>
    </cfRule>
  </conditionalFormatting>
  <conditionalFormatting sqref="AB49">
    <cfRule type="cellIs" dxfId="279" priority="336" operator="equal">
      <formula>Z49</formula>
    </cfRule>
    <cfRule type="cellIs" dxfId="278" priority="337" operator="lessThan">
      <formula>Z49</formula>
    </cfRule>
    <cfRule type="cellIs" dxfId="277" priority="338" operator="greaterThan">
      <formula>Z49</formula>
    </cfRule>
  </conditionalFormatting>
  <conditionalFormatting sqref="AA50">
    <cfRule type="cellIs" dxfId="276" priority="333" operator="equal">
      <formula>Z50</formula>
    </cfRule>
    <cfRule type="cellIs" dxfId="275" priority="334" operator="lessThan">
      <formula>Z50</formula>
    </cfRule>
    <cfRule type="cellIs" dxfId="274" priority="335" operator="greaterThan">
      <formula>Z50</formula>
    </cfRule>
  </conditionalFormatting>
  <conditionalFormatting sqref="AB50">
    <cfRule type="cellIs" dxfId="273" priority="330" operator="equal">
      <formula>AA50</formula>
    </cfRule>
    <cfRule type="cellIs" dxfId="272" priority="331" operator="lessThan">
      <formula>AA50</formula>
    </cfRule>
    <cfRule type="cellIs" dxfId="271" priority="332" operator="greaterThan">
      <formula>AA50</formula>
    </cfRule>
  </conditionalFormatting>
  <conditionalFormatting sqref="AC51">
    <cfRule type="cellIs" dxfId="270" priority="327" operator="equal">
      <formula>Z51</formula>
    </cfRule>
    <cfRule type="cellIs" dxfId="269" priority="328" operator="lessThan">
      <formula>Z51</formula>
    </cfRule>
    <cfRule type="cellIs" dxfId="268" priority="329" operator="greaterThan">
      <formula>Z51</formula>
    </cfRule>
  </conditionalFormatting>
  <conditionalFormatting sqref="AD51">
    <cfRule type="cellIs" dxfId="267" priority="324" operator="equal">
      <formula>AA51</formula>
    </cfRule>
    <cfRule type="cellIs" dxfId="266" priority="325" operator="lessThan">
      <formula>AA51</formula>
    </cfRule>
    <cfRule type="cellIs" dxfId="265" priority="326" operator="greaterThan">
      <formula>AA51</formula>
    </cfRule>
  </conditionalFormatting>
  <conditionalFormatting sqref="AE51">
    <cfRule type="cellIs" dxfId="264" priority="321" operator="equal">
      <formula>AB51</formula>
    </cfRule>
    <cfRule type="cellIs" dxfId="263" priority="322" operator="lessThan">
      <formula>AB51</formula>
    </cfRule>
    <cfRule type="cellIs" dxfId="262" priority="323" operator="greaterThan">
      <formula>AB51</formula>
    </cfRule>
  </conditionalFormatting>
  <conditionalFormatting sqref="AF51">
    <cfRule type="cellIs" dxfId="261" priority="318" operator="equal">
      <formula>AC51</formula>
    </cfRule>
    <cfRule type="cellIs" dxfId="260" priority="319" operator="lessThan">
      <formula>AC51</formula>
    </cfRule>
    <cfRule type="cellIs" dxfId="259" priority="320" operator="greaterThan">
      <formula>AC51</formula>
    </cfRule>
  </conditionalFormatting>
  <conditionalFormatting sqref="AG51">
    <cfRule type="cellIs" dxfId="258" priority="315" operator="equal">
      <formula>AD51</formula>
    </cfRule>
    <cfRule type="cellIs" dxfId="257" priority="316" operator="lessThan">
      <formula>AD51</formula>
    </cfRule>
    <cfRule type="cellIs" dxfId="256" priority="317" operator="greaterThan">
      <formula>AD51</formula>
    </cfRule>
  </conditionalFormatting>
  <conditionalFormatting sqref="AH51">
    <cfRule type="cellIs" dxfId="255" priority="312" operator="equal">
      <formula>AE51</formula>
    </cfRule>
    <cfRule type="cellIs" dxfId="254" priority="313" operator="lessThan">
      <formula>AE51</formula>
    </cfRule>
    <cfRule type="cellIs" dxfId="253" priority="314" operator="greaterThan">
      <formula>AE51</formula>
    </cfRule>
  </conditionalFormatting>
  <conditionalFormatting sqref="AD52">
    <cfRule type="cellIs" dxfId="252" priority="309" operator="equal">
      <formula>Z52</formula>
    </cfRule>
    <cfRule type="cellIs" dxfId="251" priority="310" operator="lessThan">
      <formula>Z52</formula>
    </cfRule>
    <cfRule type="cellIs" dxfId="250" priority="311" operator="greaterThan">
      <formula>Z52</formula>
    </cfRule>
  </conditionalFormatting>
  <conditionalFormatting sqref="AE52">
    <cfRule type="cellIs" dxfId="249" priority="306" operator="equal">
      <formula>AA52</formula>
    </cfRule>
    <cfRule type="cellIs" dxfId="248" priority="307" operator="lessThan">
      <formula>AA52</formula>
    </cfRule>
    <cfRule type="cellIs" dxfId="247" priority="308" operator="greaterThan">
      <formula>AA52</formula>
    </cfRule>
  </conditionalFormatting>
  <conditionalFormatting sqref="AF52">
    <cfRule type="cellIs" dxfId="246" priority="303" operator="equal">
      <formula>AB52</formula>
    </cfRule>
    <cfRule type="cellIs" dxfId="245" priority="304" operator="lessThan">
      <formula>AB52</formula>
    </cfRule>
    <cfRule type="cellIs" dxfId="244" priority="305" operator="greaterThan">
      <formula>AB52</formula>
    </cfRule>
  </conditionalFormatting>
  <conditionalFormatting sqref="AG52">
    <cfRule type="cellIs" dxfId="243" priority="300" operator="equal">
      <formula>AC52</formula>
    </cfRule>
    <cfRule type="cellIs" dxfId="242" priority="301" operator="lessThan">
      <formula>AC52</formula>
    </cfRule>
    <cfRule type="cellIs" dxfId="241" priority="302" operator="greaterThan">
      <formula>AC52</formula>
    </cfRule>
  </conditionalFormatting>
  <conditionalFormatting sqref="AH52">
    <cfRule type="cellIs" dxfId="240" priority="297" operator="equal">
      <formula>AD52</formula>
    </cfRule>
    <cfRule type="cellIs" dxfId="239" priority="298" operator="lessThan">
      <formula>AD52</formula>
    </cfRule>
    <cfRule type="cellIs" dxfId="238" priority="299" operator="greaterThan">
      <formula>AD52</formula>
    </cfRule>
  </conditionalFormatting>
  <conditionalFormatting sqref="AI52">
    <cfRule type="cellIs" dxfId="237" priority="294" operator="equal">
      <formula>AE52</formula>
    </cfRule>
    <cfRule type="cellIs" dxfId="236" priority="295" operator="lessThan">
      <formula>AE52</formula>
    </cfRule>
    <cfRule type="cellIs" dxfId="235" priority="296" operator="greaterThan">
      <formula>AE52</formula>
    </cfRule>
  </conditionalFormatting>
  <conditionalFormatting sqref="AJ52">
    <cfRule type="cellIs" dxfId="234" priority="291" operator="equal">
      <formula>AF52</formula>
    </cfRule>
    <cfRule type="cellIs" dxfId="233" priority="292" operator="lessThan">
      <formula>AF52</formula>
    </cfRule>
    <cfRule type="cellIs" dxfId="232" priority="293" operator="greaterThan">
      <formula>AF52</formula>
    </cfRule>
  </conditionalFormatting>
  <conditionalFormatting sqref="AK52">
    <cfRule type="cellIs" dxfId="231" priority="288" operator="equal">
      <formula>AG52</formula>
    </cfRule>
    <cfRule type="cellIs" dxfId="230" priority="289" operator="lessThan">
      <formula>AG52</formula>
    </cfRule>
    <cfRule type="cellIs" dxfId="229" priority="290" operator="greaterThan">
      <formula>AG52</formula>
    </cfRule>
  </conditionalFormatting>
  <conditionalFormatting sqref="AA53">
    <cfRule type="cellIs" dxfId="228" priority="285" operator="equal">
      <formula>Z53</formula>
    </cfRule>
    <cfRule type="cellIs" dxfId="227" priority="286" operator="lessThan">
      <formula>Z53</formula>
    </cfRule>
    <cfRule type="cellIs" dxfId="226" priority="287" operator="greaterThan">
      <formula>Z53</formula>
    </cfRule>
  </conditionalFormatting>
  <conditionalFormatting sqref="AB53">
    <cfRule type="cellIs" dxfId="225" priority="282" operator="equal">
      <formula>AA53</formula>
    </cfRule>
    <cfRule type="cellIs" dxfId="224" priority="283" operator="lessThan">
      <formula>AA53</formula>
    </cfRule>
    <cfRule type="cellIs" dxfId="223" priority="284" operator="greaterThan">
      <formula>AA53</formula>
    </cfRule>
  </conditionalFormatting>
  <conditionalFormatting sqref="AC53">
    <cfRule type="cellIs" dxfId="222" priority="279" operator="equal">
      <formula>AB53</formula>
    </cfRule>
    <cfRule type="cellIs" dxfId="221" priority="280" operator="lessThan">
      <formula>AB53</formula>
    </cfRule>
    <cfRule type="cellIs" dxfId="220" priority="281" operator="greaterThan">
      <formula>AB53</formula>
    </cfRule>
  </conditionalFormatting>
  <conditionalFormatting sqref="AA54">
    <cfRule type="cellIs" dxfId="219" priority="276" operator="equal">
      <formula>Z54</formula>
    </cfRule>
    <cfRule type="cellIs" dxfId="218" priority="277" operator="lessThan">
      <formula>Z54</formula>
    </cfRule>
    <cfRule type="cellIs" dxfId="217" priority="278" operator="greaterThan">
      <formula>Z54</formula>
    </cfRule>
  </conditionalFormatting>
  <conditionalFormatting sqref="AB54">
    <cfRule type="cellIs" dxfId="216" priority="273" operator="equal">
      <formula>AA54</formula>
    </cfRule>
    <cfRule type="cellIs" dxfId="215" priority="274" operator="lessThan">
      <formula>AA54</formula>
    </cfRule>
    <cfRule type="cellIs" dxfId="214" priority="275" operator="greaterThan">
      <formula>AA54</formula>
    </cfRule>
  </conditionalFormatting>
  <conditionalFormatting sqref="Z55">
    <cfRule type="cellIs" dxfId="213" priority="272" operator="lessThan">
      <formula>0</formula>
    </cfRule>
  </conditionalFormatting>
  <conditionalFormatting sqref="AA55">
    <cfRule type="cellIs" dxfId="212" priority="271" operator="lessThan">
      <formula>0</formula>
    </cfRule>
  </conditionalFormatting>
  <conditionalFormatting sqref="AB55">
    <cfRule type="cellIs" dxfId="211" priority="270" operator="lessThan">
      <formula>0</formula>
    </cfRule>
  </conditionalFormatting>
  <conditionalFormatting sqref="AC55">
    <cfRule type="cellIs" dxfId="210" priority="269" operator="lessThan">
      <formula>0</formula>
    </cfRule>
  </conditionalFormatting>
  <conditionalFormatting sqref="AD55">
    <cfRule type="cellIs" dxfId="209" priority="268" operator="lessThan">
      <formula>0</formula>
    </cfRule>
  </conditionalFormatting>
  <conditionalFormatting sqref="AE55">
    <cfRule type="cellIs" dxfId="208" priority="267" operator="lessThan">
      <formula>0</formula>
    </cfRule>
  </conditionalFormatting>
  <conditionalFormatting sqref="AF55">
    <cfRule type="cellIs" dxfId="207" priority="266" operator="lessThan">
      <formula>0</formula>
    </cfRule>
  </conditionalFormatting>
  <conditionalFormatting sqref="AA56">
    <cfRule type="cellIs" dxfId="206" priority="263" operator="equal">
      <formula>Z56</formula>
    </cfRule>
    <cfRule type="cellIs" dxfId="205" priority="264" operator="lessThan">
      <formula>Z56</formula>
    </cfRule>
    <cfRule type="cellIs" dxfId="204" priority="265" operator="greaterThan">
      <formula>Z56</formula>
    </cfRule>
  </conditionalFormatting>
  <conditionalFormatting sqref="AC56">
    <cfRule type="cellIs" dxfId="203" priority="260" operator="equal">
      <formula>AB56</formula>
    </cfRule>
    <cfRule type="cellIs" dxfId="202" priority="261" operator="lessThan">
      <formula>AB56</formula>
    </cfRule>
    <cfRule type="cellIs" dxfId="201" priority="262" operator="greaterThan">
      <formula>AB56</formula>
    </cfRule>
  </conditionalFormatting>
  <conditionalFormatting sqref="AD56">
    <cfRule type="cellIs" dxfId="200" priority="257" operator="equal">
      <formula>AC56</formula>
    </cfRule>
    <cfRule type="cellIs" dxfId="199" priority="258" operator="lessThan">
      <formula>AC56</formula>
    </cfRule>
    <cfRule type="cellIs" dxfId="198" priority="259" operator="greaterThan">
      <formula>AC56</formula>
    </cfRule>
  </conditionalFormatting>
  <conditionalFormatting sqref="AA57">
    <cfRule type="cellIs" dxfId="197" priority="254" operator="equal">
      <formula>Z57</formula>
    </cfRule>
    <cfRule type="cellIs" dxfId="196" priority="255" operator="lessThan">
      <formula>Z57</formula>
    </cfRule>
    <cfRule type="cellIs" dxfId="195" priority="256" operator="greaterThan">
      <formula>Z57</formula>
    </cfRule>
  </conditionalFormatting>
  <conditionalFormatting sqref="AB57">
    <cfRule type="cellIs" dxfId="194" priority="251" operator="equal">
      <formula>AA57</formula>
    </cfRule>
    <cfRule type="cellIs" dxfId="193" priority="252" operator="lessThan">
      <formula>AA57</formula>
    </cfRule>
    <cfRule type="cellIs" dxfId="192" priority="253" operator="greaterThan">
      <formula>AA57</formula>
    </cfRule>
  </conditionalFormatting>
  <conditionalFormatting sqref="AA58">
    <cfRule type="cellIs" dxfId="191" priority="242" operator="equal">
      <formula>Z58</formula>
    </cfRule>
    <cfRule type="cellIs" dxfId="190" priority="243" operator="lessThan">
      <formula>Z58</formula>
    </cfRule>
    <cfRule type="cellIs" dxfId="189" priority="244" operator="greaterThan">
      <formula>Z58</formula>
    </cfRule>
  </conditionalFormatting>
  <conditionalFormatting sqref="AA59">
    <cfRule type="cellIs" dxfId="188" priority="239" operator="equal">
      <formula>Z59</formula>
    </cfRule>
    <cfRule type="cellIs" dxfId="187" priority="240" operator="lessThan">
      <formula>Z59</formula>
    </cfRule>
    <cfRule type="cellIs" dxfId="186" priority="241" operator="greaterThan">
      <formula>Z59</formula>
    </cfRule>
  </conditionalFormatting>
  <conditionalFormatting sqref="AB60">
    <cfRule type="cellIs" dxfId="185" priority="236" operator="equal">
      <formula>Z60</formula>
    </cfRule>
    <cfRule type="cellIs" dxfId="184" priority="237" operator="lessThan">
      <formula>Z60</formula>
    </cfRule>
    <cfRule type="cellIs" dxfId="183" priority="238" operator="greaterThan">
      <formula>Z60</formula>
    </cfRule>
  </conditionalFormatting>
  <conditionalFormatting sqref="AC60">
    <cfRule type="cellIs" dxfId="182" priority="233" operator="equal">
      <formula>AA60</formula>
    </cfRule>
    <cfRule type="cellIs" dxfId="181" priority="234" operator="lessThan">
      <formula>AA60</formula>
    </cfRule>
    <cfRule type="cellIs" dxfId="180" priority="235" operator="greaterThan">
      <formula>AA60</formula>
    </cfRule>
  </conditionalFormatting>
  <conditionalFormatting sqref="EW26:FG27">
    <cfRule type="cellIs" dxfId="179" priority="216" operator="lessThan">
      <formula>0</formula>
    </cfRule>
  </conditionalFormatting>
  <conditionalFormatting sqref="EW26:FG26">
    <cfRule type="cellIs" dxfId="178" priority="212" operator="lessThan">
      <formula>0</formula>
    </cfRule>
  </conditionalFormatting>
  <conditionalFormatting sqref="FF26">
    <cfRule type="cellIs" dxfId="177" priority="205" operator="lessThan">
      <formula>0</formula>
    </cfRule>
  </conditionalFormatting>
  <conditionalFormatting sqref="FG26">
    <cfRule type="cellIs" dxfId="176" priority="204" operator="lessThan">
      <formula>0</formula>
    </cfRule>
  </conditionalFormatting>
  <conditionalFormatting sqref="FG26">
    <cfRule type="cellIs" dxfId="175" priority="203" operator="lessThan">
      <formula>0</formula>
    </cfRule>
  </conditionalFormatting>
  <conditionalFormatting sqref="AB26">
    <cfRule type="cellIs" dxfId="174" priority="199" operator="lessThan">
      <formula>0</formula>
    </cfRule>
  </conditionalFormatting>
  <conditionalFormatting sqref="AB26">
    <cfRule type="expression" dxfId="173" priority="198">
      <formula>AND(UPPER($A$14)="TARE",AB26&lt;AB$14,AB26&gt;0)</formula>
    </cfRule>
  </conditionalFormatting>
  <conditionalFormatting sqref="AC26:AK26">
    <cfRule type="cellIs" dxfId="172" priority="175" operator="lessThan">
      <formula>0</formula>
    </cfRule>
  </conditionalFormatting>
  <conditionalFormatting sqref="AC26:AK26">
    <cfRule type="expression" dxfId="171" priority="174">
      <formula>AND(UPPER($A$14)="TARE",AC26&lt;AC$14,AC26&gt;0)</formula>
    </cfRule>
  </conditionalFormatting>
  <conditionalFormatting sqref="AA27:AJ27">
    <cfRule type="cellIs" dxfId="170" priority="173" operator="lessThan">
      <formula>0</formula>
    </cfRule>
  </conditionalFormatting>
  <conditionalFormatting sqref="AA27:AJ27">
    <cfRule type="expression" dxfId="169" priority="172">
      <formula>AND(UPPER($A$14)="TARE",AA27&lt;AA$14,AA27&gt;0)</formula>
    </cfRule>
  </conditionalFormatting>
  <conditionalFormatting sqref="Z28:AO28">
    <cfRule type="cellIs" dxfId="168" priority="171" operator="lessThan">
      <formula>0</formula>
    </cfRule>
  </conditionalFormatting>
  <conditionalFormatting sqref="Z28:AO28">
    <cfRule type="expression" dxfId="167" priority="170">
      <formula>AND(UPPER($A$14)="TARE",Z28&lt;Z$14,Z28&gt;0)</formula>
    </cfRule>
  </conditionalFormatting>
  <conditionalFormatting sqref="Z29:AN29">
    <cfRule type="cellIs" dxfId="166" priority="169" operator="lessThan">
      <formula>0</formula>
    </cfRule>
  </conditionalFormatting>
  <conditionalFormatting sqref="Z29:AN29">
    <cfRule type="expression" dxfId="165" priority="168">
      <formula>AND(UPPER($A$14)="TARE",Z29&lt;Z$14,Z29&gt;0)</formula>
    </cfRule>
  </conditionalFormatting>
  <conditionalFormatting sqref="Z30:AK30">
    <cfRule type="cellIs" dxfId="164" priority="167" operator="lessThan">
      <formula>0</formula>
    </cfRule>
  </conditionalFormatting>
  <conditionalFormatting sqref="Z30:AK30">
    <cfRule type="expression" dxfId="163" priority="166">
      <formula>AND(UPPER($A$14)="TARE",Z30&lt;Z$14,Z30&gt;0)</formula>
    </cfRule>
  </conditionalFormatting>
  <conditionalFormatting sqref="Z31:AR31">
    <cfRule type="cellIs" dxfId="162" priority="165" operator="lessThan">
      <formula>0</formula>
    </cfRule>
  </conditionalFormatting>
  <conditionalFormatting sqref="Z31:AR31">
    <cfRule type="expression" dxfId="161" priority="164">
      <formula>AND(UPPER($A$14)="TARE",Z31&lt;Z$14,Z31&gt;0)</formula>
    </cfRule>
  </conditionalFormatting>
  <conditionalFormatting sqref="Z32:AM32">
    <cfRule type="cellIs" dxfId="160" priority="163" operator="lessThan">
      <formula>0</formula>
    </cfRule>
  </conditionalFormatting>
  <conditionalFormatting sqref="Z32:AM32">
    <cfRule type="expression" dxfId="159" priority="162">
      <formula>AND(UPPER($A$14)="TARE",Z32&lt;Z$14,Z32&gt;0)</formula>
    </cfRule>
  </conditionalFormatting>
  <conditionalFormatting sqref="Z33:AG33">
    <cfRule type="cellIs" dxfId="158" priority="161" operator="lessThan">
      <formula>0</formula>
    </cfRule>
  </conditionalFormatting>
  <conditionalFormatting sqref="Z33:AG33">
    <cfRule type="expression" dxfId="157" priority="160">
      <formula>AND(UPPER($A$14)="TARE",Z33&lt;Z$14,Z33&gt;0)</formula>
    </cfRule>
  </conditionalFormatting>
  <conditionalFormatting sqref="Z34:AG34">
    <cfRule type="cellIs" dxfId="156" priority="159" operator="lessThan">
      <formula>0</formula>
    </cfRule>
  </conditionalFormatting>
  <conditionalFormatting sqref="Z34:AG34">
    <cfRule type="expression" dxfId="155" priority="158">
      <formula>AND(UPPER($A$14)="TARE",Z34&lt;Z$14,Z34&gt;0)</formula>
    </cfRule>
  </conditionalFormatting>
  <conditionalFormatting sqref="Z35:AI35">
    <cfRule type="cellIs" dxfId="154" priority="157" operator="lessThan">
      <formula>0</formula>
    </cfRule>
  </conditionalFormatting>
  <conditionalFormatting sqref="Z35:AI35">
    <cfRule type="expression" dxfId="153" priority="156">
      <formula>AND(UPPER($A$14)="TARE",Z35&lt;Z$14,Z35&gt;0)</formula>
    </cfRule>
  </conditionalFormatting>
  <conditionalFormatting sqref="Z36:AE36">
    <cfRule type="cellIs" dxfId="152" priority="155" operator="lessThan">
      <formula>0</formula>
    </cfRule>
  </conditionalFormatting>
  <conditionalFormatting sqref="Z36:AE36">
    <cfRule type="expression" dxfId="151" priority="154">
      <formula>AND(UPPER($A$14)="TARE",Z36&lt;Z$14,Z36&gt;0)</formula>
    </cfRule>
  </conditionalFormatting>
  <conditionalFormatting sqref="Z37:AI37">
    <cfRule type="cellIs" dxfId="150" priority="153" operator="lessThan">
      <formula>0</formula>
    </cfRule>
  </conditionalFormatting>
  <conditionalFormatting sqref="Z37:AI37">
    <cfRule type="expression" dxfId="149" priority="152">
      <formula>AND(UPPER($A$14)="TARE",Z37&lt;Z$14,Z37&gt;0)</formula>
    </cfRule>
  </conditionalFormatting>
  <conditionalFormatting sqref="Z38:AQ38">
    <cfRule type="cellIs" dxfId="148" priority="151" operator="lessThan">
      <formula>0</formula>
    </cfRule>
  </conditionalFormatting>
  <conditionalFormatting sqref="Z38:AQ38">
    <cfRule type="expression" dxfId="147" priority="150">
      <formula>AND(UPPER($A$14)="TARE",Z38&lt;Z$14,Z38&gt;0)</formula>
    </cfRule>
  </conditionalFormatting>
  <conditionalFormatting sqref="Z39:AH39">
    <cfRule type="cellIs" dxfId="146" priority="149" operator="lessThan">
      <formula>0</formula>
    </cfRule>
  </conditionalFormatting>
  <conditionalFormatting sqref="Z39:AH39">
    <cfRule type="expression" dxfId="145" priority="148">
      <formula>AND(UPPER($A$14)="TARE",Z39&lt;Z$14,Z39&gt;0)</formula>
    </cfRule>
  </conditionalFormatting>
  <conditionalFormatting sqref="Z40:AG40">
    <cfRule type="cellIs" dxfId="144" priority="147" operator="lessThan">
      <formula>0</formula>
    </cfRule>
  </conditionalFormatting>
  <conditionalFormatting sqref="Z40:AG40">
    <cfRule type="expression" dxfId="143" priority="146">
      <formula>AND(UPPER($A$14)="TARE",Z40&lt;Z$14,Z40&gt;0)</formula>
    </cfRule>
  </conditionalFormatting>
  <conditionalFormatting sqref="AA41:AG41">
    <cfRule type="cellIs" dxfId="142" priority="145" operator="lessThan">
      <formula>0</formula>
    </cfRule>
  </conditionalFormatting>
  <conditionalFormatting sqref="AA41:AG41">
    <cfRule type="expression" dxfId="141" priority="144">
      <formula>AND(UPPER($A$14)="TARE",AA41&lt;AA$14,AA41&gt;0)</formula>
    </cfRule>
  </conditionalFormatting>
  <conditionalFormatting sqref="Z42:AG42">
    <cfRule type="cellIs" dxfId="140" priority="143" operator="lessThan">
      <formula>0</formula>
    </cfRule>
  </conditionalFormatting>
  <conditionalFormatting sqref="Z42:AG42">
    <cfRule type="expression" dxfId="139" priority="142">
      <formula>AND(UPPER($A$14)="TARE",Z42&lt;Z$14,Z42&gt;0)</formula>
    </cfRule>
  </conditionalFormatting>
  <conditionalFormatting sqref="Z43:AJ43">
    <cfRule type="cellIs" dxfId="138" priority="141" operator="lessThan">
      <formula>0</formula>
    </cfRule>
  </conditionalFormatting>
  <conditionalFormatting sqref="Z43:AJ43">
    <cfRule type="expression" dxfId="137" priority="140">
      <formula>AND(UPPER($A$14)="TARE",Z43&lt;Z$14,Z43&gt;0)</formula>
    </cfRule>
  </conditionalFormatting>
  <conditionalFormatting sqref="EH4:EL4">
    <cfRule type="cellIs" dxfId="136" priority="138" operator="lessThan">
      <formula>0</formula>
    </cfRule>
    <cfRule type="cellIs" dxfId="135" priority="139" operator="greaterThan">
      <formula>0</formula>
    </cfRule>
  </conditionalFormatting>
  <conditionalFormatting sqref="EH5:EK5">
    <cfRule type="cellIs" dxfId="134" priority="136" operator="lessThan">
      <formula>0</formula>
    </cfRule>
    <cfRule type="cellIs" dxfId="133" priority="137" operator="greaterThan">
      <formula>0</formula>
    </cfRule>
  </conditionalFormatting>
  <conditionalFormatting sqref="EH6:EK6">
    <cfRule type="cellIs" dxfId="132" priority="134" operator="lessThan">
      <formula>0</formula>
    </cfRule>
    <cfRule type="cellIs" dxfId="131" priority="135" operator="greaterThan">
      <formula>0</formula>
    </cfRule>
  </conditionalFormatting>
  <conditionalFormatting sqref="EH7:EI7">
    <cfRule type="cellIs" dxfId="130" priority="132" operator="lessThan">
      <formula>0</formula>
    </cfRule>
    <cfRule type="cellIs" dxfId="129" priority="133" operator="greaterThan">
      <formula>0</formula>
    </cfRule>
  </conditionalFormatting>
  <conditionalFormatting sqref="EL7:EM7">
    <cfRule type="cellIs" dxfId="128" priority="130" operator="lessThan">
      <formula>0</formula>
    </cfRule>
    <cfRule type="cellIs" dxfId="127" priority="131" operator="greaterThan">
      <formula>0</formula>
    </cfRule>
  </conditionalFormatting>
  <conditionalFormatting sqref="EH8:EH15">
    <cfRule type="cellIs" dxfId="126" priority="128" operator="lessThan">
      <formula>EI8</formula>
    </cfRule>
    <cfRule type="cellIs" dxfId="125" priority="129" operator="greaterThan">
      <formula>EI8</formula>
    </cfRule>
  </conditionalFormatting>
  <conditionalFormatting sqref="AF71:AF77 EI8:EI25 ED26:ED27 AC79:AE79 AC81:AE81">
    <cfRule type="cellIs" dxfId="124" priority="126" operator="lessThan">
      <formula>AB8</formula>
    </cfRule>
    <cfRule type="cellIs" dxfId="123" priority="127" operator="greaterThan">
      <formula>AB8</formula>
    </cfRule>
  </conditionalFormatting>
  <conditionalFormatting sqref="EK10:EK15">
    <cfRule type="cellIs" dxfId="122" priority="124" operator="lessThan">
      <formula>EI10</formula>
    </cfRule>
    <cfRule type="cellIs" dxfId="121" priority="125" operator="greaterThan">
      <formula>EI10</formula>
    </cfRule>
  </conditionalFormatting>
  <conditionalFormatting sqref="EL10:EL15">
    <cfRule type="cellIs" dxfId="120" priority="122" operator="lessThan">
      <formula>EK10</formula>
    </cfRule>
    <cfRule type="cellIs" dxfId="119" priority="123" operator="greaterThan">
      <formula>EK10</formula>
    </cfRule>
  </conditionalFormatting>
  <conditionalFormatting sqref="EN12:EN15">
    <cfRule type="cellIs" dxfId="118" priority="120" operator="lessThan">
      <formula>EK12</formula>
    </cfRule>
    <cfRule type="cellIs" dxfId="117" priority="121" operator="greaterThan">
      <formula>EK12</formula>
    </cfRule>
  </conditionalFormatting>
  <conditionalFormatting sqref="ER13">
    <cfRule type="cellIs" dxfId="116" priority="118" operator="lessThan">
      <formula>EN13</formula>
    </cfRule>
    <cfRule type="cellIs" dxfId="115" priority="119" operator="greaterThan">
      <formula>EN13</formula>
    </cfRule>
  </conditionalFormatting>
  <conditionalFormatting sqref="ER15">
    <cfRule type="cellIs" dxfId="114" priority="116" operator="lessThan">
      <formula>EN15</formula>
    </cfRule>
    <cfRule type="cellIs" dxfId="113" priority="117" operator="greaterThan">
      <formula>EN15</formula>
    </cfRule>
  </conditionalFormatting>
  <conditionalFormatting sqref="EK18:EK21">
    <cfRule type="cellIs" dxfId="112" priority="112" operator="lessThan">
      <formula>EH18</formula>
    </cfRule>
    <cfRule type="cellIs" dxfId="111" priority="113" operator="greaterThan">
      <formula>EH18</formula>
    </cfRule>
  </conditionalFormatting>
  <conditionalFormatting sqref="EK25 EK23">
    <cfRule type="cellIs" dxfId="110" priority="110" operator="lessThan">
      <formula>EH23</formula>
    </cfRule>
    <cfRule type="cellIs" dxfId="109" priority="111" operator="greaterThan">
      <formula>EH23</formula>
    </cfRule>
  </conditionalFormatting>
  <conditionalFormatting sqref="EL18:EL21">
    <cfRule type="cellIs" dxfId="108" priority="108" operator="lessThan">
      <formula>EK18</formula>
    </cfRule>
    <cfRule type="cellIs" dxfId="107" priority="109" operator="greaterThan">
      <formula>EK18</formula>
    </cfRule>
  </conditionalFormatting>
  <conditionalFormatting sqref="EL25 EL23">
    <cfRule type="cellIs" dxfId="106" priority="106" operator="lessThan">
      <formula>EK23</formula>
    </cfRule>
    <cfRule type="cellIs" dxfId="105" priority="107" operator="greaterThan">
      <formula>EK23</formula>
    </cfRule>
  </conditionalFormatting>
  <conditionalFormatting sqref="AA66:AA77 AA79:AA81">
    <cfRule type="cellIs" dxfId="104" priority="104" operator="lessThan">
      <formula>Z66</formula>
    </cfRule>
    <cfRule type="cellIs" dxfId="103" priority="105" operator="greaterThan">
      <formula>Z66</formula>
    </cfRule>
  </conditionalFormatting>
  <conditionalFormatting sqref="AB66">
    <cfRule type="cellIs" dxfId="102" priority="102" operator="lessThan">
      <formula>AA66</formula>
    </cfRule>
    <cfRule type="cellIs" dxfId="101" priority="103" operator="greaterThan">
      <formula>AA66</formula>
    </cfRule>
  </conditionalFormatting>
  <conditionalFormatting sqref="AD66">
    <cfRule type="cellIs" dxfId="100" priority="100" operator="lessThan">
      <formula>AC66</formula>
    </cfRule>
    <cfRule type="cellIs" dxfId="99" priority="101" operator="greaterThan">
      <formula>AC66</formula>
    </cfRule>
  </conditionalFormatting>
  <conditionalFormatting sqref="AE66:AE70">
    <cfRule type="cellIs" dxfId="98" priority="98" operator="lessThan">
      <formula>AD66</formula>
    </cfRule>
    <cfRule type="cellIs" dxfId="97" priority="99" operator="greaterThan">
      <formula>AD66</formula>
    </cfRule>
  </conditionalFormatting>
  <conditionalFormatting sqref="AD67:AD70">
    <cfRule type="cellIs" dxfId="96" priority="92" operator="lessThan">
      <formula>AC67</formula>
    </cfRule>
    <cfRule type="cellIs" dxfId="95" priority="93" operator="greaterThan">
      <formula>AC67</formula>
    </cfRule>
  </conditionalFormatting>
  <conditionalFormatting sqref="AB67:AB70 AB74:AB77">
    <cfRule type="cellIs" dxfId="94" priority="88" operator="lessThan">
      <formula>AA67</formula>
    </cfRule>
    <cfRule type="cellIs" dxfId="93" priority="89" operator="greaterThan">
      <formula>AA67</formula>
    </cfRule>
  </conditionalFormatting>
  <conditionalFormatting sqref="ES26:FG27 EH29:FA43 ER28:FK28">
    <cfRule type="cellIs" dxfId="92" priority="87" operator="lessThan">
      <formula>0</formula>
    </cfRule>
  </conditionalFormatting>
  <conditionalFormatting sqref="AA82:AA84">
    <cfRule type="cellIs" dxfId="91" priority="83" operator="lessThan">
      <formula>Z82</formula>
    </cfRule>
    <cfRule type="cellIs" dxfId="90" priority="84" operator="greaterThan">
      <formula>Z82</formula>
    </cfRule>
  </conditionalFormatting>
  <conditionalFormatting sqref="AB82:AB84">
    <cfRule type="cellIs" dxfId="89" priority="81" operator="lessThan">
      <formula>AA82</formula>
    </cfRule>
    <cfRule type="cellIs" dxfId="88" priority="82" operator="greaterThan">
      <formula>AA82</formula>
    </cfRule>
  </conditionalFormatting>
  <conditionalFormatting sqref="AC82:AC84">
    <cfRule type="cellIs" dxfId="87" priority="79" operator="lessThan">
      <formula>AB82</formula>
    </cfRule>
    <cfRule type="cellIs" dxfId="86" priority="80" operator="greaterThan">
      <formula>AB82</formula>
    </cfRule>
  </conditionalFormatting>
  <conditionalFormatting sqref="AB71:AB73">
    <cfRule type="cellIs" dxfId="85" priority="77" operator="lessThan">
      <formula>AA71</formula>
    </cfRule>
    <cfRule type="cellIs" dxfId="84" priority="78" operator="greaterThan">
      <formula>AA71</formula>
    </cfRule>
  </conditionalFormatting>
  <conditionalFormatting sqref="AE71:AE73">
    <cfRule type="cellIs" dxfId="83" priority="75" operator="lessThan">
      <formula>AD71</formula>
    </cfRule>
    <cfRule type="cellIs" dxfId="82" priority="76" operator="greaterThan">
      <formula>AD71</formula>
    </cfRule>
  </conditionalFormatting>
  <conditionalFormatting sqref="AE74:AE77">
    <cfRule type="cellIs" dxfId="81" priority="71" operator="lessThan">
      <formula>AD74</formula>
    </cfRule>
    <cfRule type="cellIs" dxfId="80" priority="72" operator="greaterThan">
      <formula>AD74</formula>
    </cfRule>
  </conditionalFormatting>
  <conditionalFormatting sqref="AC71:AC77">
    <cfRule type="cellIs" dxfId="79" priority="66" operator="lessThan">
      <formula>BE71</formula>
    </cfRule>
    <cfRule type="cellIs" dxfId="78" priority="67" operator="greaterThan">
      <formula>BE71</formula>
    </cfRule>
  </conditionalFormatting>
  <conditionalFormatting sqref="AE66:AE70 AF71:AF77 AE79:AE81">
    <cfRule type="cellIs" dxfId="77" priority="65" operator="lessThan">
      <formula>AC66</formula>
    </cfRule>
  </conditionalFormatting>
  <conditionalFormatting sqref="Z79:Z81">
    <cfRule type="cellIs" dxfId="76" priority="60" operator="lessThan">
      <formula>#REF!</formula>
    </cfRule>
    <cfRule type="cellIs" dxfId="75" priority="61" operator="greaterThan">
      <formula>#REF!</formula>
    </cfRule>
  </conditionalFormatting>
  <conditionalFormatting sqref="AB79:AB81">
    <cfRule type="cellIs" dxfId="74" priority="58" operator="lessThan">
      <formula>#REF!</formula>
    </cfRule>
    <cfRule type="cellIs" dxfId="73" priority="59" operator="greaterThan">
      <formula>#REF!</formula>
    </cfRule>
  </conditionalFormatting>
  <conditionalFormatting sqref="AA79:AA81">
    <cfRule type="cellIs" dxfId="72" priority="1651" operator="lessThan">
      <formula>BG79</formula>
    </cfRule>
    <cfRule type="cellIs" dxfId="71" priority="1652" operator="greaterThan">
      <formula>BG79</formula>
    </cfRule>
  </conditionalFormatting>
  <conditionalFormatting sqref="AC79:AC81">
    <cfRule type="cellIs" dxfId="70" priority="1669" operator="lessThan">
      <formula>#REF!</formula>
    </cfRule>
  </conditionalFormatting>
  <conditionalFormatting sqref="AB79:AB81">
    <cfRule type="cellIs" dxfId="69" priority="1670" operator="lessThan">
      <formula>BI79</formula>
    </cfRule>
    <cfRule type="cellIs" dxfId="68" priority="1671" operator="greaterThan">
      <formula>BI79</formula>
    </cfRule>
  </conditionalFormatting>
  <conditionalFormatting sqref="AB85">
    <cfRule type="cellIs" dxfId="67" priority="45" operator="lessThan">
      <formula>AA85</formula>
    </cfRule>
    <cfRule type="cellIs" dxfId="66" priority="46" operator="greaterThan">
      <formula>AA85</formula>
    </cfRule>
  </conditionalFormatting>
  <conditionalFormatting sqref="AQ85">
    <cfRule type="cellIs" dxfId="65" priority="42" operator="lessThan">
      <formula>Z85</formula>
    </cfRule>
    <cfRule type="cellIs" dxfId="64" priority="43" operator="greaterThan">
      <formula>Z85</formula>
    </cfRule>
  </conditionalFormatting>
  <conditionalFormatting sqref="AI85:AJ85">
    <cfRule type="cellIs" dxfId="63" priority="40" operator="lessThan">
      <formula>AB85</formula>
    </cfRule>
    <cfRule type="cellIs" dxfId="62" priority="41" operator="greaterThan">
      <formula>AB85</formula>
    </cfRule>
  </conditionalFormatting>
  <conditionalFormatting sqref="AK85:AP85">
    <cfRule type="cellIs" dxfId="61" priority="38" operator="lessThan">
      <formula>AC85</formula>
    </cfRule>
    <cfRule type="cellIs" dxfId="60" priority="39" operator="greaterThan">
      <formula>AC85</formula>
    </cfRule>
  </conditionalFormatting>
  <conditionalFormatting sqref="AV85:AW85">
    <cfRule type="cellIs" dxfId="59" priority="36" operator="lessThan">
      <formula>AU85</formula>
    </cfRule>
    <cfRule type="cellIs" dxfId="58" priority="37" operator="greaterThan">
      <formula>AU85</formula>
    </cfRule>
  </conditionalFormatting>
  <conditionalFormatting sqref="AY85:AZ85">
    <cfRule type="cellIs" dxfId="57" priority="34" operator="lessThan">
      <formula>AX85</formula>
    </cfRule>
    <cfRule type="cellIs" dxfId="56" priority="35" operator="greaterThan">
      <formula>AX85</formula>
    </cfRule>
  </conditionalFormatting>
  <conditionalFormatting sqref="AM26:AN27">
    <cfRule type="cellIs" dxfId="55" priority="28" operator="equal">
      <formula>AL26</formula>
    </cfRule>
    <cfRule type="cellIs" dxfId="54" priority="29" operator="lessThan">
      <formula>AL26</formula>
    </cfRule>
    <cfRule type="cellIs" dxfId="53" priority="30" operator="greaterThan">
      <formula>AL26</formula>
    </cfRule>
  </conditionalFormatting>
  <conditionalFormatting sqref="AC80:AE80">
    <cfRule type="cellIs" dxfId="52" priority="26" operator="lessThan">
      <formula>AB80</formula>
    </cfRule>
    <cfRule type="cellIs" dxfId="51" priority="27" operator="greaterThan">
      <formula>AB80</formula>
    </cfRule>
  </conditionalFormatting>
  <conditionalFormatting sqref="AE64:AF65">
    <cfRule type="cellIs" dxfId="50" priority="24" operator="lessThan">
      <formula>AD64</formula>
    </cfRule>
    <cfRule type="cellIs" dxfId="49" priority="25" operator="greaterThan">
      <formula>AD64</formula>
    </cfRule>
  </conditionalFormatting>
  <conditionalFormatting sqref="AA64:AA65">
    <cfRule type="cellIs" dxfId="48" priority="22" operator="lessThan">
      <formula>Z64</formula>
    </cfRule>
    <cfRule type="cellIs" dxfId="47" priority="23" operator="greaterThan">
      <formula>Z64</formula>
    </cfRule>
  </conditionalFormatting>
  <conditionalFormatting sqref="AB64:AB65">
    <cfRule type="cellIs" dxfId="46" priority="20" operator="lessThan">
      <formula>AA64</formula>
    </cfRule>
    <cfRule type="cellIs" dxfId="45" priority="21" operator="greaterThan">
      <formula>AA64</formula>
    </cfRule>
  </conditionalFormatting>
  <conditionalFormatting sqref="AF64:AF65">
    <cfRule type="cellIs" dxfId="44" priority="19" operator="lessThan">
      <formula>AD64</formula>
    </cfRule>
  </conditionalFormatting>
  <conditionalFormatting sqref="AC78">
    <cfRule type="cellIs" dxfId="43" priority="12" operator="lessThan">
      <formula>AB78</formula>
    </cfRule>
    <cfRule type="cellIs" dxfId="42" priority="13" operator="greaterThan">
      <formula>AB78</formula>
    </cfRule>
  </conditionalFormatting>
  <conditionalFormatting sqref="Z78">
    <cfRule type="cellIs" dxfId="41" priority="10" operator="lessThan">
      <formula>#REF!</formula>
    </cfRule>
    <cfRule type="cellIs" dxfId="40" priority="11" operator="greaterThan">
      <formula>#REF!</formula>
    </cfRule>
  </conditionalFormatting>
  <conditionalFormatting sqref="AB78">
    <cfRule type="cellIs" dxfId="39" priority="8" operator="lessThan">
      <formula>#REF!</formula>
    </cfRule>
    <cfRule type="cellIs" dxfId="38" priority="9" operator="greaterThan">
      <formula>#REF!</formula>
    </cfRule>
  </conditionalFormatting>
  <conditionalFormatting sqref="AA78">
    <cfRule type="cellIs" dxfId="37" priority="6" operator="lessThan">
      <formula>Z78</formula>
    </cfRule>
    <cfRule type="cellIs" dxfId="36" priority="7" operator="greaterThan">
      <formula>Z78</formula>
    </cfRule>
  </conditionalFormatting>
  <conditionalFormatting sqref="AE78">
    <cfRule type="cellIs" dxfId="35" priority="4" operator="lessThan">
      <formula>AD78</formula>
    </cfRule>
    <cfRule type="cellIs" dxfId="34" priority="5" operator="greaterThan">
      <formula>AD78</formula>
    </cfRule>
  </conditionalFormatting>
  <conditionalFormatting sqref="AE78">
    <cfRule type="cellIs" dxfId="33" priority="3" operator="lessThan">
      <formula>AC78</formula>
    </cfRule>
  </conditionalFormatting>
  <conditionalFormatting sqref="AD78">
    <cfRule type="cellIs" dxfId="32" priority="1" operator="lessThan">
      <formula>AC78</formula>
    </cfRule>
    <cfRule type="cellIs" dxfId="31" priority="2" operator="greaterThan">
      <formula>AC78</formula>
    </cfRule>
  </conditionalFormatting>
  <conditionalFormatting sqref="AA78">
    <cfRule type="cellIs" dxfId="30" priority="14" operator="lessThan">
      <formula>BG78</formula>
    </cfRule>
    <cfRule type="cellIs" dxfId="29" priority="15" operator="greaterThan">
      <formula>BG78</formula>
    </cfRule>
  </conditionalFormatting>
  <conditionalFormatting sqref="AC78">
    <cfRule type="cellIs" dxfId="28" priority="16" operator="lessThan">
      <formula>#REF!</formula>
    </cfRule>
  </conditionalFormatting>
  <conditionalFormatting sqref="AB78">
    <cfRule type="cellIs" dxfId="27" priority="17" operator="lessThan">
      <formula>BI78</formula>
    </cfRule>
    <cfRule type="cellIs" dxfId="26" priority="18" operator="greaterThan">
      <formula>BI78</formula>
    </cfRule>
  </conditionalFormatting>
  <pageMargins left="0.7" right="0.7" top="0.75" bottom="0.75" header="0.3" footer="0.3"/>
  <pageSetup paperSize="9" orientation="portrait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46F5E-1D82-481B-89D5-8FEB3DFF246C}">
  <sheetPr codeName="Sheet2"/>
  <dimension ref="A1:K22"/>
  <sheetViews>
    <sheetView workbookViewId="0">
      <selection activeCell="A22" sqref="A22:B22"/>
    </sheetView>
  </sheetViews>
  <sheetFormatPr defaultColWidth="9.109375"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9.109375" style="1"/>
  </cols>
  <sheetData>
    <row r="1" spans="1:11" ht="29.4" x14ac:dyDescent="0.65">
      <c r="A1" s="122" t="s">
        <v>843</v>
      </c>
      <c r="B1" s="122"/>
      <c r="C1" s="122"/>
      <c r="D1" s="122"/>
      <c r="E1" s="122"/>
      <c r="F1" s="122"/>
      <c r="G1" s="122"/>
      <c r="H1" s="122"/>
      <c r="I1" s="122"/>
      <c r="J1" s="122"/>
    </row>
    <row r="2" spans="1:11" ht="16.8" x14ac:dyDescent="0.3">
      <c r="A2" s="123" t="s">
        <v>31</v>
      </c>
      <c r="B2" s="123"/>
      <c r="C2" s="123"/>
      <c r="D2" s="123"/>
      <c r="E2" s="123"/>
      <c r="F2" s="123"/>
      <c r="G2" s="123"/>
      <c r="H2" s="123"/>
      <c r="I2" s="123"/>
      <c r="J2" s="123"/>
    </row>
    <row r="3" spans="1:11" ht="33.450000000000003" customHeight="1" x14ac:dyDescent="0.45">
      <c r="A3" s="124" t="s">
        <v>32</v>
      </c>
      <c r="B3" s="124"/>
      <c r="C3" s="124"/>
      <c r="D3" s="124"/>
      <c r="E3" s="124"/>
      <c r="F3" s="124"/>
      <c r="G3" s="124"/>
      <c r="H3" s="124"/>
      <c r="I3" s="124"/>
      <c r="J3" s="124"/>
      <c r="K3" s="124"/>
    </row>
    <row r="4" spans="1:11" ht="15" x14ac:dyDescent="0.3">
      <c r="A4" s="21" t="s">
        <v>33</v>
      </c>
      <c r="B4" s="21" t="s">
        <v>10</v>
      </c>
      <c r="C4" s="21" t="s">
        <v>12</v>
      </c>
      <c r="D4" s="21" t="s">
        <v>13</v>
      </c>
      <c r="E4" s="21" t="s">
        <v>14</v>
      </c>
      <c r="F4" s="21" t="s">
        <v>15</v>
      </c>
      <c r="G4" s="21" t="s">
        <v>16</v>
      </c>
      <c r="H4" s="21" t="s">
        <v>17</v>
      </c>
      <c r="I4" s="21" t="s">
        <v>18</v>
      </c>
      <c r="J4" s="21" t="s">
        <v>19</v>
      </c>
      <c r="K4" s="21" t="s">
        <v>20</v>
      </c>
    </row>
    <row r="5" spans="1:11" ht="19.5" customHeight="1" x14ac:dyDescent="0.3">
      <c r="A5" s="23">
        <v>45625.662517256947</v>
      </c>
      <c r="B5" s="46" t="s">
        <v>972</v>
      </c>
      <c r="C5" s="22"/>
      <c r="D5" s="22"/>
      <c r="E5" s="22"/>
      <c r="F5" s="22"/>
      <c r="G5" s="22"/>
      <c r="H5" s="22"/>
      <c r="I5" s="22"/>
      <c r="J5" s="22"/>
      <c r="K5" s="22"/>
    </row>
    <row r="6" spans="1:11" ht="33.450000000000003" customHeight="1" x14ac:dyDescent="0.45">
      <c r="A6" s="125" t="s">
        <v>73</v>
      </c>
      <c r="B6" s="125"/>
      <c r="C6" s="125"/>
      <c r="D6" s="125"/>
      <c r="E6" s="125"/>
      <c r="F6" s="125"/>
      <c r="G6" s="125"/>
      <c r="H6" s="125"/>
      <c r="I6" s="125"/>
      <c r="J6" s="125"/>
      <c r="K6" s="125"/>
    </row>
    <row r="7" spans="1:11" ht="15" x14ac:dyDescent="0.3">
      <c r="A7" s="21" t="s">
        <v>33</v>
      </c>
      <c r="B7" s="21" t="s">
        <v>10</v>
      </c>
      <c r="C7" s="21" t="s">
        <v>12</v>
      </c>
      <c r="D7" s="21" t="s">
        <v>13</v>
      </c>
      <c r="E7" s="21" t="s">
        <v>14</v>
      </c>
      <c r="F7" s="21" t="s">
        <v>15</v>
      </c>
      <c r="G7" s="21" t="s">
        <v>16</v>
      </c>
      <c r="H7" s="21" t="s">
        <v>17</v>
      </c>
      <c r="I7" s="21" t="s">
        <v>18</v>
      </c>
      <c r="J7" s="21" t="s">
        <v>19</v>
      </c>
      <c r="K7" s="21" t="s">
        <v>20</v>
      </c>
    </row>
    <row r="8" spans="1:11" ht="19.5" customHeight="1" x14ac:dyDescent="0.3">
      <c r="A8" s="26"/>
      <c r="B8" s="24"/>
      <c r="C8" s="24"/>
      <c r="D8" s="24"/>
      <c r="E8" s="24"/>
      <c r="F8" s="24"/>
      <c r="G8" s="24"/>
      <c r="H8" s="24"/>
      <c r="I8" s="24"/>
      <c r="J8" s="24"/>
      <c r="K8" s="24"/>
    </row>
    <row r="9" spans="1:11" ht="19.5" customHeight="1" x14ac:dyDescent="0.3">
      <c r="A9" s="27"/>
      <c r="B9" s="25"/>
      <c r="C9" s="25"/>
      <c r="D9" s="25"/>
      <c r="E9" s="25"/>
      <c r="F9" s="25"/>
      <c r="G9" s="25"/>
      <c r="H9" s="25"/>
      <c r="I9" s="25"/>
      <c r="J9" s="25"/>
      <c r="K9" s="25"/>
    </row>
    <row r="10" spans="1:11" ht="19.5" customHeight="1" x14ac:dyDescent="0.3">
      <c r="A10" s="27"/>
      <c r="B10" s="25"/>
      <c r="C10" s="25"/>
      <c r="D10" s="25"/>
      <c r="E10" s="25"/>
      <c r="F10" s="25"/>
      <c r="G10" s="25"/>
      <c r="H10" s="25"/>
      <c r="I10" s="25"/>
      <c r="J10" s="25"/>
      <c r="K10" s="25"/>
    </row>
    <row r="11" spans="1:11" ht="19.5" customHeight="1" x14ac:dyDescent="0.3">
      <c r="A11" s="27"/>
      <c r="B11" s="25"/>
      <c r="C11" s="25"/>
      <c r="D11" s="25"/>
      <c r="E11" s="25"/>
      <c r="F11" s="25"/>
      <c r="G11" s="25"/>
      <c r="H11" s="25"/>
      <c r="I11" s="25"/>
      <c r="J11" s="25"/>
      <c r="K11" s="25"/>
    </row>
    <row r="12" spans="1:11" ht="19.5" customHeight="1" x14ac:dyDescent="0.3">
      <c r="A12" s="27"/>
      <c r="B12" s="25"/>
      <c r="C12" s="25"/>
      <c r="D12" s="25"/>
      <c r="E12" s="25"/>
      <c r="F12" s="25"/>
      <c r="G12" s="25"/>
      <c r="H12" s="25"/>
      <c r="I12" s="25"/>
      <c r="J12" s="25"/>
      <c r="K12" s="25"/>
    </row>
    <row r="13" spans="1:11" ht="19.5" customHeight="1" x14ac:dyDescent="0.3">
      <c r="A13" s="27"/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1" ht="19.5" customHeight="1" x14ac:dyDescent="0.3">
      <c r="A14" s="27"/>
      <c r="B14" s="25"/>
      <c r="C14" s="25"/>
      <c r="D14" s="25"/>
      <c r="E14" s="25"/>
      <c r="F14" s="25"/>
      <c r="G14" s="25"/>
      <c r="H14" s="25"/>
      <c r="I14" s="25"/>
      <c r="J14" s="25"/>
      <c r="K14" s="25"/>
    </row>
    <row r="15" spans="1:11" ht="19.5" customHeight="1" x14ac:dyDescent="0.3">
      <c r="A15" s="27"/>
      <c r="B15" s="25"/>
      <c r="C15" s="25"/>
      <c r="D15" s="25"/>
      <c r="E15" s="25"/>
      <c r="F15" s="25"/>
      <c r="G15" s="25"/>
      <c r="H15" s="25"/>
      <c r="I15" s="25"/>
      <c r="J15" s="25"/>
      <c r="K15" s="25"/>
    </row>
    <row r="16" spans="1:11" ht="19.5" customHeight="1" x14ac:dyDescent="0.3">
      <c r="A16" s="27"/>
      <c r="B16" s="25"/>
      <c r="C16" s="25"/>
      <c r="D16" s="25"/>
      <c r="E16" s="25"/>
      <c r="F16" s="25"/>
      <c r="G16" s="25"/>
      <c r="H16" s="25"/>
      <c r="I16" s="25"/>
      <c r="J16" s="25"/>
      <c r="K16" s="25"/>
    </row>
    <row r="17" spans="1:11" ht="19.5" customHeight="1" x14ac:dyDescent="0.3">
      <c r="A17" s="27"/>
      <c r="B17" s="25"/>
      <c r="C17" s="25"/>
      <c r="D17" s="25"/>
      <c r="E17" s="25"/>
      <c r="F17" s="25"/>
      <c r="G17" s="25"/>
      <c r="H17" s="25"/>
      <c r="I17" s="25"/>
      <c r="J17" s="25"/>
      <c r="K17" s="25"/>
    </row>
    <row r="18" spans="1:11" ht="19.5" customHeight="1" x14ac:dyDescent="0.3">
      <c r="A18" s="27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ht="19.5" customHeight="1" x14ac:dyDescent="0.3">
      <c r="A19" s="27"/>
      <c r="B19" s="25"/>
      <c r="C19" s="25"/>
      <c r="D19" s="25"/>
      <c r="E19" s="25"/>
      <c r="F19" s="25"/>
      <c r="G19" s="25"/>
      <c r="H19" s="25"/>
      <c r="I19" s="25"/>
      <c r="J19" s="25"/>
      <c r="K19" s="25"/>
    </row>
    <row r="20" spans="1:11" ht="19.5" customHeight="1" x14ac:dyDescent="0.3">
      <c r="A20" s="27"/>
      <c r="B20" s="25"/>
      <c r="C20" s="25"/>
      <c r="D20" s="25"/>
      <c r="E20" s="25"/>
      <c r="F20" s="25"/>
      <c r="G20" s="25"/>
      <c r="H20" s="25"/>
      <c r="I20" s="25"/>
      <c r="J20" s="25"/>
      <c r="K20" s="25"/>
    </row>
    <row r="21" spans="1:11" ht="19.5" customHeight="1" x14ac:dyDescent="0.3">
      <c r="A21" s="27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ht="19.5" customHeight="1" x14ac:dyDescent="0.3">
      <c r="A22" s="28">
        <v>45625.662517256947</v>
      </c>
      <c r="B22" s="47" t="s">
        <v>972</v>
      </c>
      <c r="C22" s="29"/>
      <c r="D22" s="29"/>
      <c r="E22" s="29"/>
      <c r="F22" s="29"/>
      <c r="G22" s="29"/>
      <c r="H22" s="29"/>
      <c r="I22" s="29"/>
      <c r="J22" s="29"/>
      <c r="K22" s="29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07A907C3-063D-4423-95A4-FCD9E0818427}"/>
    <dataValidation allowBlank="1" showInputMessage="1" showErrorMessage="1" prompt="TBL_CUR[CH1]" sqref="B5" xr:uid="{6260BC3D-2A7F-4044-8F04-D0B142874191}"/>
    <dataValidation allowBlank="1" showInputMessage="1" showErrorMessage="1" prompt="TBL_CUR[CH2]" sqref="C5" xr:uid="{0081617E-98FF-40F9-B1EC-9E14EF1433D1}"/>
    <dataValidation allowBlank="1" showInputMessage="1" showErrorMessage="1" prompt="TBL_CUR[CH3]" sqref="D5" xr:uid="{75CAAD49-BA00-4264-B63A-DCAD92FCAA36}"/>
    <dataValidation allowBlank="1" showInputMessage="1" showErrorMessage="1" prompt="TBL_CUR[CH4]" sqref="E5" xr:uid="{77F46416-6E63-44C7-A6EC-708FC9C6330D}"/>
    <dataValidation allowBlank="1" showInputMessage="1" showErrorMessage="1" prompt="TBL_CUR[CH5]" sqref="F5" xr:uid="{6E980924-EEA8-4FF9-993C-E926C031DED2}"/>
    <dataValidation allowBlank="1" showInputMessage="1" showErrorMessage="1" prompt="TBL_CUR[CH6]" sqref="G5" xr:uid="{9DCC49BA-2FBB-41F6-A953-A63E4957F0A6}"/>
    <dataValidation allowBlank="1" showInputMessage="1" showErrorMessage="1" prompt="TBL_CUR[CH7]" sqref="H5" xr:uid="{D97A24F7-3C53-417D-92A2-7621000D5742}"/>
    <dataValidation allowBlank="1" showInputMessage="1" showErrorMessage="1" prompt="TBL_CUR[CH8]" sqref="I5" xr:uid="{7A871484-C689-40B0-9A29-96F3B39C32F6}"/>
    <dataValidation allowBlank="1" showInputMessage="1" showErrorMessage="1" prompt="TBL_CUR[CH9]" sqref="J5" xr:uid="{C24D0B67-0C26-4804-8C03-006F2F621EC2}"/>
    <dataValidation allowBlank="1" showInputMessage="1" showErrorMessage="1" prompt="TBL_CUR[CH10]" sqref="K5" xr:uid="{B8D94261-54A7-4CB7-8D35-E8B92C13511D}"/>
    <dataValidation allowBlank="1" showInputMessage="1" showErrorMessage="1" prompt="Time_x000d__x000a__x000d__x000a_TBL_HST[TIME]" sqref="A8:A22" xr:uid="{335B26DE-31B0-4F86-96F3-9A9B9390CFEE}"/>
    <dataValidation allowBlank="1" showInputMessage="1" showErrorMessage="1" prompt="TBL_HST[CH1]" sqref="B8:B22" xr:uid="{6556F01C-AE3D-410A-A787-ACD6856D7330}"/>
    <dataValidation allowBlank="1" showInputMessage="1" showErrorMessage="1" prompt="TBL_HST[CH2]" sqref="C8:C22" xr:uid="{852337E1-CB4A-4FA9-8282-B6C003AE2BAC}"/>
    <dataValidation allowBlank="1" showInputMessage="1" showErrorMessage="1" prompt="TBL_HST[CH3]" sqref="D8:D22" xr:uid="{D9687D35-A18D-4DC4-9175-AD68471A4785}"/>
    <dataValidation allowBlank="1" showInputMessage="1" showErrorMessage="1" prompt="TBL_HST[CH4]" sqref="E8:E22" xr:uid="{A12382E3-62E9-42AD-B9D5-FC2A9A767FB8}"/>
    <dataValidation allowBlank="1" showInputMessage="1" showErrorMessage="1" prompt="TBL_HST[CH5]" sqref="F8:F22" xr:uid="{3EBE1016-3D49-4448-8CEF-4F4F7AD9BCBB}"/>
    <dataValidation allowBlank="1" showInputMessage="1" showErrorMessage="1" prompt="TBL_HST[CH6]" sqref="G8:G22" xr:uid="{2C0452D0-CFDB-4F44-AD59-E0EC67CDA791}"/>
    <dataValidation allowBlank="1" showInputMessage="1" showErrorMessage="1" prompt="TBL_HST[CH7]" sqref="H8:H22" xr:uid="{C6FC24F6-B515-4A7F-8164-D9C10996F6A3}"/>
    <dataValidation allowBlank="1" showInputMessage="1" showErrorMessage="1" prompt="TBL_HST[CH8]" sqref="I8:I22" xr:uid="{EA22A929-8EC1-4516-8B0A-A50DE3FE3E23}"/>
    <dataValidation allowBlank="1" showInputMessage="1" showErrorMessage="1" prompt="TBL_HST[CH9]" sqref="J8:J22" xr:uid="{8BA7F5D5-2956-42A0-8980-BB5004D8A353}"/>
    <dataValidation allowBlank="1" showInputMessage="1" showErrorMessage="1" prompt="TBL_HST[CH10]" sqref="K8:K22" xr:uid="{6B9BB898-D4D1-435D-BD41-FC76FCBDDAE1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2EFB7-C195-462E-94CC-355E298E6C33}">
  <sheetPr codeName="Sheet3"/>
  <dimension ref="A1:J5"/>
  <sheetViews>
    <sheetView workbookViewId="0">
      <selection sqref="A1:H1"/>
    </sheetView>
  </sheetViews>
  <sheetFormatPr defaultRowHeight="14.4" x14ac:dyDescent="0.3"/>
  <cols>
    <col min="1" max="10" width="11.5546875" customWidth="1"/>
  </cols>
  <sheetData>
    <row r="1" spans="1:10" ht="29.4" x14ac:dyDescent="0.65">
      <c r="A1" s="126" t="s">
        <v>29</v>
      </c>
      <c r="B1" s="126"/>
      <c r="C1" s="126"/>
      <c r="D1" s="126"/>
      <c r="E1" s="126"/>
      <c r="F1" s="126"/>
      <c r="G1" s="126"/>
      <c r="H1" s="126"/>
    </row>
    <row r="2" spans="1:10" ht="16.8" x14ac:dyDescent="0.3">
      <c r="A2" s="127" t="s">
        <v>30</v>
      </c>
      <c r="B2" s="127"/>
      <c r="C2" s="127"/>
      <c r="D2" s="127"/>
      <c r="E2" s="127"/>
      <c r="F2" s="127"/>
      <c r="G2" s="127"/>
      <c r="H2" s="127"/>
    </row>
    <row r="3" spans="1:10" ht="17.55" customHeight="1" x14ac:dyDescent="0.3"/>
    <row r="4" spans="1:10" ht="19.5" customHeight="1" x14ac:dyDescent="0.3">
      <c r="A4" s="18" t="s">
        <v>10</v>
      </c>
      <c r="B4" s="19" t="s">
        <v>12</v>
      </c>
      <c r="C4" s="19" t="s">
        <v>13</v>
      </c>
      <c r="D4" s="19" t="s">
        <v>14</v>
      </c>
      <c r="E4" s="19" t="s">
        <v>15</v>
      </c>
      <c r="F4" s="19" t="s">
        <v>16</v>
      </c>
      <c r="G4" s="19" t="s">
        <v>17</v>
      </c>
      <c r="H4" s="19" t="s">
        <v>18</v>
      </c>
      <c r="I4" s="19" t="s">
        <v>19</v>
      </c>
      <c r="J4" s="19" t="s">
        <v>20</v>
      </c>
    </row>
    <row r="5" spans="1:10" ht="27" customHeight="1" x14ac:dyDescent="0.3">
      <c r="A5" s="20"/>
      <c r="B5" s="20"/>
      <c r="C5" s="20"/>
      <c r="D5" s="20"/>
      <c r="E5" s="20"/>
      <c r="F5" s="20"/>
      <c r="G5" s="20"/>
      <c r="H5" s="20"/>
      <c r="I5" s="20"/>
      <c r="J5" s="20"/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52077-EA73-4C84-A5E8-6CE0406DB3EB}">
  <sheetPr codeName="Sheet4"/>
  <dimension ref="A1:E13"/>
  <sheetViews>
    <sheetView workbookViewId="0">
      <selection sqref="A1:E1"/>
    </sheetView>
  </sheetViews>
  <sheetFormatPr defaultColWidth="9.109375" defaultRowHeight="14.4" x14ac:dyDescent="0.3"/>
  <cols>
    <col min="1" max="1" width="30.77734375" style="14" customWidth="1"/>
    <col min="2" max="2" width="0.21875" style="14" customWidth="1"/>
    <col min="3" max="3" width="30.77734375" style="14" customWidth="1"/>
    <col min="4" max="16384" width="9.109375" style="14"/>
  </cols>
  <sheetData>
    <row r="1" spans="1:5" ht="29.4" x14ac:dyDescent="0.65">
      <c r="A1" s="128" t="s">
        <v>21</v>
      </c>
      <c r="B1" s="128"/>
      <c r="C1" s="128"/>
      <c r="D1" s="128"/>
      <c r="E1" s="128"/>
    </row>
    <row r="2" spans="1:5" ht="49.95" customHeight="1" x14ac:dyDescent="0.3">
      <c r="A2" s="129" t="s">
        <v>22</v>
      </c>
      <c r="B2" s="129"/>
      <c r="C2" s="129"/>
      <c r="D2" s="129"/>
      <c r="E2" s="129"/>
    </row>
    <row r="3" spans="1:5" ht="4.5" customHeight="1" x14ac:dyDescent="0.3"/>
    <row r="4" spans="1:5" ht="24" customHeight="1" x14ac:dyDescent="0.3">
      <c r="A4" s="15" t="s">
        <v>23</v>
      </c>
      <c r="B4" s="16">
        <v>150</v>
      </c>
      <c r="C4" s="17">
        <v>150</v>
      </c>
    </row>
    <row r="5" spans="1:5" ht="4.5" customHeight="1" x14ac:dyDescent="0.3"/>
    <row r="6" spans="1:5" ht="24" customHeight="1" x14ac:dyDescent="0.3">
      <c r="A6" s="15" t="s">
        <v>24</v>
      </c>
      <c r="B6" s="16">
        <v>15</v>
      </c>
      <c r="C6" s="17">
        <v>15</v>
      </c>
    </row>
    <row r="7" spans="1:5" ht="4.5" customHeight="1" x14ac:dyDescent="0.3"/>
    <row r="8" spans="1:5" ht="24" customHeight="1" x14ac:dyDescent="0.3">
      <c r="A8" s="15" t="s">
        <v>25</v>
      </c>
      <c r="B8" s="16">
        <v>10</v>
      </c>
      <c r="C8" s="17">
        <v>10</v>
      </c>
    </row>
    <row r="9" spans="1:5" ht="4.5" customHeight="1" x14ac:dyDescent="0.3"/>
    <row r="10" spans="1:5" ht="24" customHeight="1" x14ac:dyDescent="0.3">
      <c r="A10" s="15" t="s">
        <v>26</v>
      </c>
      <c r="B10" s="16" t="s">
        <v>27</v>
      </c>
      <c r="C10" s="17" t="s">
        <v>27</v>
      </c>
    </row>
    <row r="13" spans="1:5" ht="49.95" customHeight="1" x14ac:dyDescent="0.3">
      <c r="A13" s="130" t="s">
        <v>28</v>
      </c>
      <c r="B13" s="130"/>
      <c r="C13" s="130"/>
      <c r="D13" s="130"/>
      <c r="E13" s="130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7493752F-8396-4EA8-8D29-EA98D4B852B8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12B7840E-105E-46E4-AA09-53C2CD460973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67439894-80D9-43AB-8376-198BB3D83D64}">
      <formula1>1</formula1>
      <formula2>1000</formula2>
    </dataValidation>
    <dataValidation type="list" errorStyle="information" allowBlank="1" showInputMessage="1" sqref="C10" xr:uid="{425D3483-BFDE-4B11-A4D7-88DE4B6957DA}">
      <formula1>"Newest first,Newest last"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ED690-C072-43D5-A638-24DC8711787E}">
  <sheetPr codeName="Sheet5"/>
  <dimension ref="A1:L16"/>
  <sheetViews>
    <sheetView workbookViewId="0">
      <selection sqref="A1:G1"/>
    </sheetView>
  </sheetViews>
  <sheetFormatPr defaultColWidth="9.109375"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9.109375" style="2"/>
    <col min="9" max="9" width="16.77734375" style="2" customWidth="1"/>
    <col min="10" max="10" width="60.77734375" style="2" customWidth="1"/>
    <col min="11" max="16384" width="9.109375" style="2"/>
  </cols>
  <sheetData>
    <row r="1" spans="1:12" ht="29.4" x14ac:dyDescent="0.65">
      <c r="A1" s="133" t="s">
        <v>842</v>
      </c>
      <c r="B1" s="133"/>
      <c r="C1" s="133"/>
      <c r="D1" s="133"/>
      <c r="E1" s="133"/>
      <c r="F1" s="133"/>
      <c r="G1" s="133"/>
      <c r="L1" s="3" t="s">
        <v>971</v>
      </c>
    </row>
    <row r="2" spans="1:12" ht="48" customHeight="1" x14ac:dyDescent="0.3">
      <c r="A2" s="134" t="s">
        <v>4</v>
      </c>
      <c r="B2" s="134"/>
      <c r="C2" s="134"/>
      <c r="D2" s="134"/>
      <c r="E2" s="134"/>
      <c r="F2" s="134"/>
      <c r="G2" s="134"/>
    </row>
    <row r="3" spans="1:12" ht="25.95" customHeight="1" x14ac:dyDescent="0.55000000000000004">
      <c r="B3" s="138" t="s">
        <v>0</v>
      </c>
      <c r="C3" s="138"/>
      <c r="D3" s="138"/>
      <c r="E3" s="138"/>
      <c r="F3" s="138"/>
      <c r="G3" s="138"/>
      <c r="H3" s="138"/>
    </row>
    <row r="4" spans="1:12" ht="25.95" customHeight="1" x14ac:dyDescent="0.4">
      <c r="B4" s="135"/>
      <c r="C4" s="135"/>
      <c r="D4" s="135"/>
      <c r="E4" s="135"/>
      <c r="F4" s="135"/>
      <c r="G4" s="135"/>
      <c r="I4" s="131" t="s">
        <v>1</v>
      </c>
      <c r="J4" s="131"/>
    </row>
    <row r="5" spans="1:12" ht="24" customHeight="1" x14ac:dyDescent="0.3">
      <c r="B5" s="136"/>
      <c r="C5" s="4" t="s">
        <v>5</v>
      </c>
      <c r="D5" s="4" t="s">
        <v>6</v>
      </c>
      <c r="E5" s="4" t="s">
        <v>7</v>
      </c>
      <c r="F5" s="4" t="s">
        <v>8</v>
      </c>
      <c r="G5" s="4" t="s">
        <v>9</v>
      </c>
      <c r="I5" s="132" t="s">
        <v>970</v>
      </c>
      <c r="J5" s="132"/>
      <c r="K5" s="3">
        <v>1</v>
      </c>
    </row>
    <row r="6" spans="1:12" ht="24" customHeight="1" x14ac:dyDescent="0.4">
      <c r="B6" s="136"/>
      <c r="C6" s="6" t="s">
        <v>10</v>
      </c>
      <c r="D6" s="7" t="s">
        <v>10</v>
      </c>
      <c r="E6" s="7"/>
      <c r="F6" s="7"/>
      <c r="G6" s="5" t="s">
        <v>11</v>
      </c>
      <c r="I6" s="131" t="s">
        <v>2</v>
      </c>
      <c r="J6" s="131"/>
    </row>
    <row r="7" spans="1:12" ht="24" customHeight="1" x14ac:dyDescent="0.3">
      <c r="B7" s="136"/>
      <c r="C7" s="9" t="s">
        <v>12</v>
      </c>
      <c r="D7" s="10" t="s">
        <v>12</v>
      </c>
      <c r="E7" s="10"/>
      <c r="F7" s="10"/>
      <c r="G7" s="8" t="s">
        <v>11</v>
      </c>
      <c r="I7" s="115">
        <v>150</v>
      </c>
    </row>
    <row r="8" spans="1:12" ht="24" customHeight="1" x14ac:dyDescent="0.4">
      <c r="B8" s="136"/>
      <c r="C8" s="9" t="s">
        <v>13</v>
      </c>
      <c r="D8" s="10" t="s">
        <v>13</v>
      </c>
      <c r="E8" s="10"/>
      <c r="F8" s="10"/>
      <c r="G8" s="8" t="s">
        <v>11</v>
      </c>
      <c r="I8" s="131" t="s">
        <v>3</v>
      </c>
      <c r="J8" s="131"/>
    </row>
    <row r="9" spans="1:12" ht="24" customHeight="1" x14ac:dyDescent="0.3">
      <c r="B9" s="136"/>
      <c r="C9" s="9" t="s">
        <v>14</v>
      </c>
      <c r="D9" s="10" t="s">
        <v>14</v>
      </c>
      <c r="E9" s="10"/>
      <c r="F9" s="10"/>
      <c r="G9" s="8" t="s">
        <v>11</v>
      </c>
      <c r="I9" s="115">
        <v>1200</v>
      </c>
    </row>
    <row r="10" spans="1:12" ht="24" customHeight="1" x14ac:dyDescent="0.3">
      <c r="B10" s="136"/>
      <c r="C10" s="9" t="s">
        <v>15</v>
      </c>
      <c r="D10" s="10" t="s">
        <v>15</v>
      </c>
      <c r="E10" s="10"/>
      <c r="F10" s="10"/>
      <c r="G10" s="8" t="s">
        <v>11</v>
      </c>
    </row>
    <row r="11" spans="1:12" ht="24" customHeight="1" x14ac:dyDescent="0.3">
      <c r="B11" s="136"/>
      <c r="C11" s="9" t="s">
        <v>16</v>
      </c>
      <c r="D11" s="10" t="s">
        <v>16</v>
      </c>
      <c r="E11" s="10"/>
      <c r="F11" s="10"/>
      <c r="G11" s="8" t="s">
        <v>11</v>
      </c>
    </row>
    <row r="12" spans="1:12" ht="24" customHeight="1" x14ac:dyDescent="0.3">
      <c r="B12" s="136"/>
      <c r="C12" s="9" t="s">
        <v>17</v>
      </c>
      <c r="D12" s="10" t="s">
        <v>17</v>
      </c>
      <c r="E12" s="10"/>
      <c r="F12" s="10"/>
      <c r="G12" s="8" t="s">
        <v>11</v>
      </c>
    </row>
    <row r="13" spans="1:12" ht="24" customHeight="1" x14ac:dyDescent="0.3">
      <c r="B13" s="136"/>
      <c r="C13" s="9" t="s">
        <v>18</v>
      </c>
      <c r="D13" s="10" t="s">
        <v>18</v>
      </c>
      <c r="E13" s="10"/>
      <c r="F13" s="10"/>
      <c r="G13" s="8" t="s">
        <v>11</v>
      </c>
    </row>
    <row r="14" spans="1:12" ht="24" customHeight="1" x14ac:dyDescent="0.3">
      <c r="B14" s="136"/>
      <c r="C14" s="9" t="s">
        <v>19</v>
      </c>
      <c r="D14" s="10" t="s">
        <v>19</v>
      </c>
      <c r="E14" s="10"/>
      <c r="F14" s="10"/>
      <c r="G14" s="8" t="s">
        <v>11</v>
      </c>
    </row>
    <row r="15" spans="1:12" ht="24" customHeight="1" thickBot="1" x14ac:dyDescent="0.35">
      <c r="B15" s="137"/>
      <c r="C15" s="11" t="s">
        <v>20</v>
      </c>
      <c r="D15" s="12" t="s">
        <v>20</v>
      </c>
      <c r="E15" s="12"/>
      <c r="F15" s="12"/>
      <c r="G15" s="13" t="s">
        <v>11</v>
      </c>
    </row>
    <row r="16" spans="1:12" ht="15" thickTop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Sheet1</vt:lpstr>
      <vt:lpstr>Setups</vt:lpstr>
      <vt:lpstr>Data In</vt:lpstr>
      <vt:lpstr>Data Out</vt:lpstr>
      <vt:lpstr>Settings</vt:lpstr>
      <vt:lpstr>Manifest</vt:lpstr>
      <vt:lpstr>avertime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  <vt:lpstr>Setups!Print_Area</vt:lpstr>
    </vt:vector>
  </TitlesOfParts>
  <Company>University of Plymouth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Richard Hartley</dc:creator>
  <cp:lastModifiedBy>laser-sizer</cp:lastModifiedBy>
  <cp:lastPrinted>2024-02-16T09:07:09Z</cp:lastPrinted>
  <dcterms:created xsi:type="dcterms:W3CDTF">2023-12-14T09:32:42Z</dcterms:created>
  <dcterms:modified xsi:type="dcterms:W3CDTF">2024-11-29T15:55:37Z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d5ba3948-a61d-459b-8814-ca8671e98543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